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 state="visible" name="vocabs" sheetId="5" r:id="rId8"/>
  </sheets>
  <definedNames/>
  <calcPr/>
  <extLst>
    <ext uri="GoogleSheetsCustomDataVersion2">
      <go:sheetsCustomData xmlns:go="http://customooxmlschemas.google.com/" r:id="rId9" roundtripDataChecksum="duTMu/K6kTzhRe+UAVtYBMZMRgje1mBMRM93JltEsiU="/>
    </ext>
  </extLst>
</workbook>
</file>

<file path=xl/sharedStrings.xml><?xml version="1.0" encoding="utf-8"?>
<sst xmlns="http://schemas.openxmlformats.org/spreadsheetml/2006/main" count="668" uniqueCount="343">
  <si>
    <t>On this sheet, each row corresponds to a unique stratgraphic depth at which the age has been estimated</t>
  </si>
  <si>
    <t>GENERAL INSTRUCTIONS FOR ALL PROXIES</t>
  </si>
  <si>
    <t>Franks gas-exchange model</t>
  </si>
  <si>
    <t>Note: columns D-J autopopulate, enter data in all other columns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</si>
  <si>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</si>
  <si>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</si>
  <si>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CO2 estimate is based on at least five cuticle fragments.</t>
  </si>
  <si>
    <t>· Change the "author" in the filename to the first author of the study (please do not capitalize) and change "year" to the year of publication. In the case of more than one publication for an author in a single year, add "a" and "b" after the year (e.g., "stomata_si_royer_2001a").</t>
  </si>
  <si>
    <t xml:space="preserve"> in row </t>
  </si>
  <si>
    <t>· The core inputs (stomatal density, stomatal size, leaf δ13C) are measured on fossils from the same locality.</t>
  </si>
  <si>
    <t>Age-depth data</t>
  </si>
  <si>
    <t>type in your name</t>
  </si>
  <si>
    <t>Full citation (format is flexible)</t>
  </si>
  <si>
    <t>e.g., specimen or site number</t>
  </si>
  <si>
    <t>Stratigraphic ages</t>
  </si>
  <si>
    <t>Where are the fossils?</t>
  </si>
  <si>
    <t>e.g., meter level</t>
  </si>
  <si>
    <t>· Atmospheric δ13C is inferred from an independent proxy (e.g., shallow marine carbonate), not from leaf δ13C</t>
  </si>
  <si>
    <t>Give as an absolute age (not +/-)</t>
  </si>
  <si>
    <t>important for sites constrained by biostrat</t>
  </si>
  <si>
    <t>Provide a general description; add an extra tab (worksheet) with detailed information, if needed (e.g., a detailed stratigraphic section)</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</si>
  <si>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</si>
  <si>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</si>
  <si>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</si>
  <si>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</si>
  <si>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</si>
  <si>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</si>
  <si>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</si>
  <si>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</si>
  <si>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Radiometric ages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</si>
  <si>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</si>
  <si>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</si>
  <si>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</si>
  <si>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</si>
  <si>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</si>
  <si>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</si>
  <si>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</si>
  <si>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</si>
  <si>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</si>
  <si>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 Every cell should be filled. If no information is available for a particular cell, type in "NA".</t>
  </si>
  <si>
    <t>Age_uncertainty_pos_ka</t>
  </si>
  <si>
    <t>Age_uncertainty_neg_ka</t>
  </si>
  <si>
    <t>CO2_ppm</t>
  </si>
  <si>
    <t>CO2_uncertainty_pos_ppm</t>
  </si>
  <si>
    <t>CO2_uncertainty_neg_ppm</t>
  </si>
  <si>
    <t>person who entered data</t>
  </si>
  <si>
    <t>email of individual entering the data</t>
  </si>
  <si>
    <t>Magnetostratigraphy</t>
  </si>
  <si>
    <t>Reference of the data product</t>
  </si>
  <si>
    <t>Sample
name</t>
  </si>
  <si>
    <t>Family</t>
  </si>
  <si>
    <t>Biostratigraphy</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</si>
  <si>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</si>
  <si>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Stomatal frequency</t>
  </si>
  <si>
    <t>Genus</t>
  </si>
  <si>
    <t>Species</t>
  </si>
  <si>
    <t>Sample
Repository</t>
  </si>
  <si>
    <t>Chemostratigraphy</t>
  </si>
  <si>
    <t>Geologic
Formation</t>
  </si>
  <si>
    <t>Stratigraphic Level</t>
  </si>
  <si>
    <t>Age (Ma)</t>
  </si>
  <si>
    <t>Relevant for all stratigraphic ages</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</si>
  <si>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</si>
  <si>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</si>
  <si>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</si>
  <si>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</si>
  <si>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</si>
  <si>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</si>
  <si>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</si>
  <si>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</si>
  <si>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If CO2 estimates reported in the study come from more than one section (sedimentary sequence), this column should be used to disambigute sections. This is especially useful for linking data on this tab with the appropriate rows on the paleosol data tab.</t>
  </si>
  <si>
    <t>Paleo Longitude (decimal degree, west negative)</t>
  </si>
  <si>
    <t>Number of stomatal counts per leaf sample</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</si>
  <si>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</si>
  <si>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Counting Method
(microscope, published image)</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</si>
  <si>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</si>
  <si>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Counting box dimensions
(µm × µm)</t>
  </si>
  <si>
    <t># Stomata</t>
  </si>
  <si>
    <t># Epidermal Cells</t>
  </si>
  <si>
    <t>enter chron or chron boundary name if it provides unique information with which to construct an age-depth model, otherwise enter NA</t>
  </si>
  <si>
    <t>Mean stomatal density (n/mm2)</t>
  </si>
  <si>
    <t>LEAF-BASED ESTIMATES (stomatal frequency and leaf gas-exchange)</t>
  </si>
  <si>
    <t>if applicable, enter the publication in which the magnetostratigraphy was reported</t>
  </si>
  <si>
    <t>SD error (+/- 1 s.e.m.)</t>
  </si>
  <si>
    <t>What independent age information was used to determine which chrons the observed polarity reversals might align with?</t>
  </si>
  <si>
    <t>Mean epidermal density (n/mm2)</t>
  </si>
  <si>
    <t>· CO2 estimate is based on stomatal index, not stomatal density or stomatal ratio: the former is influenced by many environmental factors and the latter produces semi-quantitative CO2 estimates.</t>
  </si>
  <si>
    <t>ED error (+/- 1 s.e.m.)</t>
  </si>
  <si>
    <t>enter biozone or biozone boundary name if it provides unique information with which to construct an age-depth model, otherwise enter NA</t>
  </si>
  <si>
    <t>Mean stomatal index (%)</t>
  </si>
  <si>
    <t>if applicable, enter the publication in which the biostratigraphy was reported</t>
  </si>
  <si>
    <t>SI error (+/- 1 s.e.m.)</t>
  </si>
  <si>
    <t>Nearest 
Living
Equivalent
species</t>
  </si>
  <si>
    <t>NLE 
SD/SI 
value</t>
  </si>
  <si>
    <t>Standardization (Modern or Carboniferous)</t>
  </si>
  <si>
    <t>Reported mean CO2 (ppm)</t>
  </si>
  <si>
    <t>the exact positions of boundaries are not known. This column allows entry of the lowest stratigraphic level at which a boundary could occur</t>
  </si>
  <si>
    <t>Reported CO2 Uncertainty (Low)</t>
  </si>
  <si>
    <t>· You can find pointers for filling in the cells in row 2.</t>
  </si>
  <si>
    <t>Reported CO2 Uncertainty (High)</t>
  </si>
  <si>
    <t>the exact positions of boundaries are not known. This column allows entry of the highest stratigraphic level at which a boundary could occur</t>
  </si>
  <si>
    <t>What is the uncertainty range?</t>
  </si>
  <si>
    <t>Enter the version of the geologic timescale (or other reference) used to evalaute the numerical age based on bio-, chemo- or magnetostratigraphic data</t>
  </si>
  <si>
    <t>· Stomatal index is measured directly from fossils, not from previously published plates or figures.</t>
  </si>
  <si>
    <t>Remarks</t>
  </si>
  <si>
    <t>Select from pull-down menu</t>
  </si>
  <si>
    <t>stomata-SR</t>
  </si>
  <si>
    <t>if other is selected in previous column, enter name of other type of deposit. Otherwise enter NA</t>
  </si>
  <si>
    <t>Chen</t>
  </si>
  <si>
    <t>if other is selected in previous column, enter name of other mineral. Otherwise enter NA</t>
  </si>
  <si>
    <t>· Tips in video form.</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</si>
  <si>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</si>
  <si>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</si>
  <si>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</si>
  <si>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</si>
  <si>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</si>
  <si>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</si>
  <si>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</si>
  <si>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</si>
  <si>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</si>
  <si>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</si>
  <si>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</si>
  <si>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 The measured stomatal index falls within the bounds of what has been measured in the extant calibration (in other words, no extrapolation beyond the calibrated space).</t>
  </si>
  <si>
    <t>age (Ma)</t>
  </si>
  <si>
    <t xml:space="preserve"> age uncertainty (±2s)</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</si>
  <si>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</si>
  <si>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</si>
  <si>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</si>
  <si>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</si>
  <si>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</si>
  <si>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</si>
  <si>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</si>
  <si>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</si>
  <si>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</si>
  <si>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 For studies with multiple species per locality, add a final row that gives the average stomatal frequency (and uncertainty) and estimated CO2 (and uncertainty).</t>
  </si>
  <si>
    <t>NA</t>
  </si>
  <si>
    <t>reference for carbon isotope data used to infer C-isotope segments</t>
  </si>
  <si>
    <t>Xiaoqing Zhang</t>
  </si>
  <si>
    <t>Name of C-cycle perturbation (e.g., Toarcian OAE, Selli Event, etc. )</t>
  </si>
  <si>
    <t>xzhang04@wesleyan.edu</t>
  </si>
  <si>
    <t>bottom stratigraphic level for boundary</t>
  </si>
  <si>
    <t>top stratigraphic level for boundary</t>
  </si>
  <si>
    <t>Geologic timescale used</t>
  </si>
  <si>
    <t>type of deposit for radiometric age</t>
  </si>
  <si>
    <t>other type of deposit</t>
  </si>
  <si>
    <t>· If multiple CO2 proxies have been applied to a single locality, fill out a separate template for each proxy. The CO2-PIP team will flag this and adjust accordingly in our statistical analysis (to prevent, for example, pseudo-replication).</t>
  </si>
  <si>
    <t>· The uncertainties in estimated CO2 are fully propagated: this must include uncertainties in both the calibration regression and the measured stomatal indices in the fossils (contact Dana Royer if you are unsure about this; droyer@wesleyan.edu).</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</si>
  <si>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</si>
  <si>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</si>
  <si>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</si>
  <si>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</si>
  <si>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</si>
  <si>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</si>
  <si>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</si>
  <si>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</si>
  <si>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</si>
  <si>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</si>
  <si>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</si>
  <si>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Chen, Y.Q., Ma, L.T., Peng, L., Liu, J., Zhang,L.,Fan,J.J.,Yan,D.F.,2017. The paleoenvironmental significance of Ginkgoites aganzhenensis Yang from the Middle Jurassic in the Baojishan Basin, Gansu Province. Acta Sedimentologica Sinica 35 (1), 57–66(in Chinese, with English abstract).</t>
  </si>
  <si>
    <t>10.14027/j.cnki.cjxb.2017.01.006</t>
  </si>
  <si>
    <t>Notes</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</si>
  <si>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</si>
  <si>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Ginkgoaceae</t>
  </si>
  <si>
    <t>Ginkgoites</t>
  </si>
  <si>
    <t>Baojishan Basin</t>
  </si>
  <si>
    <t>aganzhenensis</t>
  </si>
  <si>
    <t>Paleontological Laboratory of Lanzhou University, Lanzhou, China</t>
  </si>
  <si>
    <t>Yaojie Formation</t>
  </si>
  <si>
    <t>Aalenian-Bajocian</t>
  </si>
  <si>
    <t>&lt;</t>
  </si>
  <si>
    <t>· For the Franks model template, columns AM-CJ follow the format of input file presented in Kowalczyk et al. (2018; https://doi.org/10.1029/2018PA003356), except that a sample size column is added for most inputs ("N_").</t>
  </si>
  <si>
    <t>GTS2020</t>
  </si>
  <si>
    <t>Coniopteris-Ginkgoites</t>
  </si>
  <si>
    <t>Sun, 1992; Liu, 1982 (Both in Chinese)</t>
  </si>
  <si>
    <t>Pedogenic carbonate</t>
  </si>
  <si>
    <t>Ginkgo biloba</t>
  </si>
  <si>
    <t>SI = 12.1</t>
  </si>
  <si>
    <t>Carboniferous</t>
  </si>
  <si>
    <t>Numeric ages derived from GTS2020; source paper does not report numeric ages directly, only biostratigraphic stage names.</t>
  </si>
  <si>
    <t>SOIL-BASED ESTIMATES (pedogenic carbonate)</t>
  </si>
  <si>
    <t>&gt;</t>
  </si>
  <si>
    <t>· d13Cr determined from d13C values of paleosol organic matter (or other proxy for local vegetation, e.g. tooth enamel)</t>
  </si>
  <si>
    <t>· S(z) determined by semi-quantitative proxy including soil order- and MAP-based proxies</t>
  </si>
  <si>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</si>
  <si>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</si>
  <si>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</si>
  <si>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</si>
  <si>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</si>
  <si>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</si>
  <si>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Average</t>
  </si>
  <si>
    <t>+/- 1 standard deviation of the SR's</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</si>
  <si>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</si>
  <si>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</si>
  <si>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</si>
  <si>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</si>
  <si>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</si>
  <si>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</si>
  <si>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</si>
  <si>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</si>
  <si>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</si>
  <si>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</si>
  <si>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</si>
  <si>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</si>
  <si>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</si>
  <si>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</si>
  <si>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</si>
  <si>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</si>
  <si>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</si>
  <si>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</si>
  <si>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</si>
  <si>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</si>
  <si>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</si>
  <si>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</si>
  <si>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</si>
  <si>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</si>
  <si>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</si>
  <si>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</si>
  <si>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</si>
  <si>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</si>
  <si>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other</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</si>
  <si>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</si>
  <si>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</si>
  <si>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</si>
  <si>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</si>
  <si>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</si>
  <si>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pull down menu with following options: Volcanic ash, lava, volcaniclastic deposit, sedimentary deposit, authigenic deposit</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</si>
  <si>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</si>
  <si>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</si>
  <si>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</si>
  <si>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</si>
  <si>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</si>
  <si>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</si>
  <si>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</si>
  <si>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</si>
  <si>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</si>
  <si>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</si>
  <si>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</si>
  <si>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</si>
  <si>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</si>
  <si>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</si>
  <si>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</si>
  <si>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</si>
  <si>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</si>
  <si>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</si>
  <si>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</si>
  <si>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</si>
  <si>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</si>
  <si>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</si>
  <si>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</si>
  <si>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</si>
  <si>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pull down menu with following options: sanidine, zircon, biotite, apatite, carbonate, other</t>
  </si>
  <si>
    <t>sanidine</t>
  </si>
  <si>
    <t>from d13C  values of marine carbonates (e.g. following Passey et al 2002 or Tipple et al. 2010</t>
  </si>
  <si>
    <t>zircon</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</si>
  <si>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</si>
  <si>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</si>
  <si>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</si>
  <si>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</si>
  <si>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</si>
  <si>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</si>
  <si>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</si>
  <si>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</si>
  <si>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</si>
  <si>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</si>
  <si>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</si>
  <si>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pull down menu with following options: K-Ar, Ar-Ar, U-Pb, fission track, 14C, U-series, other</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</si>
  <si>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</si>
  <si>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</si>
  <si>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</si>
  <si>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</si>
  <si>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</si>
  <si>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</si>
  <si>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</si>
  <si>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</si>
  <si>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</si>
  <si>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</si>
  <si>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</si>
  <si>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</si>
  <si>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</si>
  <si>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</si>
  <si>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</si>
  <si>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</si>
  <si>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</si>
  <si>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</si>
  <si>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pull down menu with LA ICPMS, solution mode ICPMS, TIMS, SIMS, AMS, etc.</t>
  </si>
  <si>
    <t>D47, CDES</t>
  </si>
  <si>
    <t>mixed</t>
  </si>
  <si>
    <t>LA ICPMS</t>
  </si>
  <si>
    <t>D47, I-CDES</t>
  </si>
  <si>
    <t>solution mode ICPMS</t>
  </si>
  <si>
    <t>D47, HG (archive data only)</t>
  </si>
  <si>
    <t>TIMS</t>
  </si>
  <si>
    <t>D47D48, CDES</t>
  </si>
  <si>
    <t>SIMS</t>
  </si>
  <si>
    <t>D47D47, I-CDES, D683, CDES, D638,I-CDES</t>
  </si>
  <si>
    <t>AMS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</si>
  <si>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</si>
  <si>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</si>
  <si>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</si>
  <si>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</si>
  <si>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</si>
  <si>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</si>
  <si>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</si>
  <si>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</si>
  <si>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</si>
  <si>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Pull down menu with the following options: youngest single grain, youngest graphical peak, youngest grain cluster at 1s, youngest grain cluster at 2s, youngest detrital zircon, TuffZirc 6+ (Tucker et al., 2013), youngest three zircons, t method (Barbeau et al., 2009), other, NA</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</si>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</sst>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b/>
      <sz val="12.0"/>
      <color theme="1"/>
      <name val="Calibri"/>
    </font>
    <font>
      <sz val="12.0"/>
      <color theme="1"/>
      <name val="Calibri"/>
    </font>
    <font>
      <sz val="11.0"/>
      <color theme="1"/>
      <name val="Calibri"/>
    </font>
    <font>
      <sz val="12.0"/>
      <color rgb="FF000000"/>
      <name val="Calibri"/>
    </font>
    <font/>
    <font>
      <sz val="10.0"/>
      <color theme="1"/>
      <name val="Arial"/>
    </font>
    <font>
      <b/>
      <sz val="12.0"/>
      <color rgb="FF000000"/>
      <name val="Calibri"/>
    </font>
    <font>
      <u/>
      <sz val="11.0"/>
      <color theme="10"/>
      <name val="Calibri"/>
    </font>
    <font>
      <sz val="13.0"/>
      <color theme="1"/>
      <name val="Calibri"/>
    </font>
    <font>
      <sz val="13.0"/>
      <color rgb="FF000000"/>
      <name val="Calibri"/>
    </font>
    <font>
      <u/>
      <sz val="12.0"/>
      <color rgb="FF0000FF"/>
      <name val="Calibri"/>
    </font>
    <font>
      <sz val="12.0"/>
      <color theme="1"/>
      <name val="Arial"/>
    </font>
    <font>
      <color theme="1"/>
      <name val="Calibri"/>
    </font>
    <font>
      <sz val="12.0"/>
      <color rgb="FFFF0000"/>
      <name val="Arial"/>
    </font>
    <font>
      <sz val="12.0"/>
      <color rgb="FFFF0000"/>
      <name val="Calibri"/>
    </font>
    <font>
      <b/>
      <sz val="18.0"/>
      <color rgb="FFFF0000"/>
      <name val="Arial"/>
    </font>
  </fonts>
  <fills count="12">
    <fill>
      <patternFill patternType="none"/>
    </fill>
    <fill>
      <patternFill patternType="lightGray"/>
    </fill>
    <fill>
      <patternFill patternType="solid">
        <fgColor rgb="FFF2F2F2"/>
        <bgColor rgb="FFF2F2F2"/>
      </patternFill>
    </fill>
    <fill>
      <patternFill patternType="solid">
        <fgColor rgb="FFFBE4D5"/>
        <bgColor rgb="FFFBE4D5"/>
      </patternFill>
    </fill>
    <fill>
      <patternFill patternType="solid">
        <fgColor rgb="FFDEEAF6"/>
        <bgColor rgb="FFDEEAF6"/>
      </patternFill>
    </fill>
    <fill>
      <patternFill patternType="solid">
        <fgColor rgb="FFD9E2F3"/>
        <bgColor rgb="FFD9E2F3"/>
      </patternFill>
    </fill>
    <fill>
      <patternFill patternType="solid">
        <fgColor rgb="FFCCFFCC"/>
        <bgColor rgb="FFCCFFCC"/>
      </patternFill>
    </fill>
    <fill>
      <patternFill patternType="solid">
        <fgColor rgb="FFCDFFCD"/>
        <bgColor rgb="FFCDFFCD"/>
      </patternFill>
    </fill>
    <fill>
      <patternFill patternType="solid">
        <fgColor rgb="FFFFFFFF"/>
        <bgColor rgb="FFFFFFFF"/>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4">
    <border/>
    <border>
      <left style="thin">
        <color rgb="FF000000"/>
      </left>
      <right/>
      <top style="thin">
        <color rgb="FF000000"/>
      </top>
      <bottom/>
    </border>
    <border>
      <left style="medium">
        <color rgb="FFCCCCCC"/>
      </left>
      <right style="medium">
        <color rgb="FFCCCCCC"/>
      </right>
      <top style="medium">
        <color rgb="FFCCCCCC"/>
      </top>
      <bottom style="medium">
        <color rgb="FFCCCCCC"/>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Border="1" applyFill="1" applyFont="1"/>
    <xf borderId="2" fillId="0" fontId="1" numFmtId="0" xfId="0" applyAlignment="1" applyBorder="1" applyFont="1">
      <alignment shrinkToFit="0" wrapText="1"/>
    </xf>
    <xf borderId="3" fillId="2" fontId="2" numFmtId="0" xfId="0" applyBorder="1" applyFont="1"/>
    <xf borderId="0" fillId="0" fontId="3" numFmtId="0" xfId="0" applyFont="1"/>
    <xf borderId="0" fillId="0" fontId="4" numFmtId="0" xfId="0" applyFont="1"/>
    <xf borderId="4" fillId="2" fontId="2" numFmtId="0" xfId="0" applyBorder="1" applyFont="1"/>
    <xf borderId="5" fillId="3" fontId="2" numFmtId="0" xfId="0" applyBorder="1" applyFill="1" applyFont="1"/>
    <xf borderId="6" fillId="0" fontId="1" numFmtId="0" xfId="0" applyBorder="1" applyFont="1"/>
    <xf borderId="7" fillId="4" fontId="4" numFmtId="0" xfId="0" applyBorder="1" applyFill="1" applyFont="1"/>
    <xf borderId="2" fillId="0" fontId="2" numFmtId="0" xfId="0" applyAlignment="1" applyBorder="1" applyFont="1">
      <alignment shrinkToFit="0" wrapText="1"/>
    </xf>
    <xf borderId="8" fillId="4" fontId="4" numFmtId="0" xfId="0" applyBorder="1" applyFont="1"/>
    <xf borderId="1" fillId="5" fontId="2" numFmtId="0" xfId="0" applyBorder="1" applyFill="1" applyFont="1"/>
    <xf borderId="3" fillId="5" fontId="2" numFmtId="0" xfId="0" applyBorder="1" applyFont="1"/>
    <xf borderId="4" fillId="5" fontId="2" numFmtId="0" xfId="0" applyBorder="1" applyFont="1"/>
    <xf borderId="9" fillId="0" fontId="2" numFmtId="0" xfId="0" applyBorder="1" applyFont="1"/>
    <xf borderId="0" fillId="0" fontId="4" numFmtId="0" xfId="0" applyAlignment="1" applyFont="1">
      <alignment shrinkToFit="0" wrapText="1"/>
    </xf>
    <xf borderId="10" fillId="4" fontId="4" numFmtId="0" xfId="0" applyAlignment="1" applyBorder="1" applyFont="1">
      <alignment shrinkToFit="0" wrapText="1"/>
    </xf>
    <xf borderId="7" fillId="4" fontId="4" numFmtId="0" xfId="0" applyAlignment="1" applyBorder="1" applyFont="1">
      <alignment shrinkToFit="0" wrapText="1"/>
    </xf>
    <xf borderId="11" fillId="2" fontId="2" numFmtId="0" xfId="0" applyAlignment="1" applyBorder="1" applyFont="1">
      <alignment horizontal="center" vertical="center"/>
    </xf>
    <xf borderId="8" fillId="4" fontId="4" numFmtId="0" xfId="0" applyAlignment="1" applyBorder="1" applyFont="1">
      <alignment shrinkToFit="0" wrapText="1"/>
    </xf>
    <xf borderId="12" fillId="0" fontId="5" numFmtId="0" xfId="0" applyBorder="1" applyFont="1"/>
    <xf borderId="0" fillId="0" fontId="2" numFmtId="0" xfId="0" applyAlignment="1" applyFont="1">
      <alignment shrinkToFit="0" wrapText="1"/>
    </xf>
    <xf borderId="13" fillId="0" fontId="5" numFmtId="0" xfId="0" applyBorder="1" applyFont="1"/>
    <xf borderId="14" fillId="3" fontId="2" numFmtId="0" xfId="0" applyAlignment="1" applyBorder="1" applyFont="1">
      <alignment horizontal="center"/>
    </xf>
    <xf borderId="15" fillId="0" fontId="5" numFmtId="0" xfId="0" applyBorder="1" applyFont="1"/>
    <xf borderId="16" fillId="0" fontId="5" numFmtId="0" xfId="0" applyBorder="1" applyFont="1"/>
    <xf borderId="11" fillId="5" fontId="2" numFmtId="0" xfId="0" applyAlignment="1" applyBorder="1" applyFont="1">
      <alignment horizontal="center" vertical="center"/>
    </xf>
    <xf borderId="0" fillId="0" fontId="4" numFmtId="0" xfId="0" applyAlignment="1" applyFont="1">
      <alignment shrinkToFit="0" vertical="top" wrapText="1"/>
    </xf>
    <xf borderId="2" fillId="0" fontId="6" numFmtId="0" xfId="0" applyAlignment="1" applyBorder="1" applyFont="1">
      <alignment shrinkToFit="0" wrapText="1"/>
    </xf>
    <xf borderId="0" fillId="0" fontId="1" numFmtId="0" xfId="0" applyAlignment="1" applyFont="1">
      <alignment shrinkToFit="0" vertical="top" wrapText="1"/>
    </xf>
    <xf borderId="17" fillId="0" fontId="5" numFmtId="0" xfId="0" applyBorder="1" applyFont="1"/>
    <xf borderId="18" fillId="0" fontId="5" numFmtId="0" xfId="0" applyBorder="1" applyFont="1"/>
    <xf borderId="7" fillId="6" fontId="7" numFmtId="0" xfId="0" applyAlignment="1" applyBorder="1" applyFill="1" applyFont="1">
      <alignment shrinkToFit="0" vertical="top" wrapText="1"/>
    </xf>
    <xf borderId="19" fillId="0" fontId="5" numFmtId="0" xfId="0" applyBorder="1" applyFont="1"/>
    <xf borderId="7" fillId="7" fontId="7" numFmtId="0" xfId="0" applyAlignment="1" applyBorder="1" applyFill="1" applyFont="1">
      <alignment shrinkToFit="0" vertical="top" wrapText="1"/>
    </xf>
    <xf borderId="14" fillId="3" fontId="2" numFmtId="0" xfId="0" applyAlignment="1" applyBorder="1" applyFont="1">
      <alignment horizontal="center" vertical="center"/>
    </xf>
    <xf borderId="20" fillId="0" fontId="5" numFmtId="0" xfId="0" applyBorder="1" applyFont="1"/>
    <xf borderId="21" fillId="7" fontId="1" numFmtId="0" xfId="0" applyAlignment="1" applyBorder="1" applyFont="1">
      <alignment horizontal="center" shrinkToFit="0" vertical="top" wrapText="1"/>
    </xf>
    <xf borderId="5" fillId="2" fontId="2" numFmtId="0" xfId="0" applyAlignment="1" applyBorder="1" applyFont="1">
      <alignment shrinkToFit="0" vertical="center" wrapText="1"/>
    </xf>
    <xf borderId="7" fillId="6" fontId="7" numFmtId="0" xfId="0" applyAlignment="1" applyBorder="1" applyFont="1">
      <alignment horizontal="center" shrinkToFit="0" vertical="top" wrapText="1"/>
    </xf>
    <xf borderId="5" fillId="3" fontId="2" numFmtId="0" xfId="0" applyAlignment="1" applyBorder="1" applyFont="1">
      <alignment shrinkToFit="0" vertical="center" wrapText="1"/>
    </xf>
    <xf borderId="7" fillId="6" fontId="1" numFmtId="0" xfId="0" applyAlignment="1" applyBorder="1" applyFont="1">
      <alignment shrinkToFit="0" vertical="top" wrapText="1"/>
    </xf>
    <xf borderId="5" fillId="5" fontId="2" numFmtId="0" xfId="0" applyBorder="1" applyFont="1"/>
    <xf borderId="0" fillId="0" fontId="2" numFmtId="0" xfId="0" applyFont="1"/>
    <xf borderId="5" fillId="5" fontId="2" numFmtId="0" xfId="0" applyAlignment="1" applyBorder="1" applyFont="1">
      <alignment shrinkToFit="0" vertical="center" wrapText="1"/>
    </xf>
    <xf borderId="22" fillId="5" fontId="2" numFmtId="0" xfId="0" applyAlignment="1" applyBorder="1" applyFont="1">
      <alignment shrinkToFit="0" vertical="center" wrapText="1"/>
    </xf>
    <xf borderId="10" fillId="4" fontId="2" numFmtId="0" xfId="0" applyBorder="1" applyFont="1"/>
    <xf borderId="2" fillId="0" fontId="8" numFmtId="0" xfId="0" applyAlignment="1" applyBorder="1" applyFont="1">
      <alignment shrinkToFit="0" wrapText="1"/>
    </xf>
    <xf borderId="5" fillId="0" fontId="2" numFmtId="0" xfId="0" applyAlignment="1" applyBorder="1" applyFont="1">
      <alignment shrinkToFit="0" vertical="center" wrapText="1"/>
    </xf>
    <xf borderId="23" fillId="2" fontId="9" numFmtId="0" xfId="0" applyAlignment="1" applyBorder="1" applyFont="1">
      <alignment horizontal="left" shrinkToFit="0" vertical="center" wrapText="1"/>
    </xf>
    <xf borderId="7" fillId="4" fontId="2" numFmtId="0" xfId="0" applyBorder="1" applyFont="1"/>
    <xf borderId="23" fillId="2" fontId="10" numFmtId="0" xfId="0" applyAlignment="1" applyBorder="1" applyFont="1">
      <alignment horizontal="left" shrinkToFit="0" vertical="center" wrapText="1"/>
    </xf>
    <xf borderId="23" fillId="3" fontId="2" numFmtId="0" xfId="0" applyAlignment="1" applyBorder="1" applyFont="1">
      <alignment horizontal="left" shrinkToFit="0" vertical="center" wrapText="1"/>
    </xf>
    <xf borderId="7" fillId="4" fontId="2" numFmtId="1" xfId="0" applyBorder="1" applyFont="1" applyNumberFormat="1"/>
    <xf borderId="23" fillId="5" fontId="2" numFmtId="0" xfId="0" applyAlignment="1" applyBorder="1" applyFont="1">
      <alignment horizontal="left" shrinkToFit="0" vertical="center" wrapText="1"/>
    </xf>
    <xf borderId="0" fillId="0" fontId="11" numFmtId="0" xfId="0" applyFont="1"/>
    <xf borderId="23" fillId="0" fontId="2" numFmtId="0" xfId="0" applyAlignment="1" applyBorder="1" applyFont="1">
      <alignment horizontal="left" shrinkToFit="0" vertical="center" wrapText="1"/>
    </xf>
    <xf borderId="22" fillId="2" fontId="2" numFmtId="0" xfId="0" applyBorder="1" applyFont="1"/>
    <xf borderId="22" fillId="2" fontId="12" numFmtId="0" xfId="0" applyAlignment="1" applyBorder="1" applyFont="1">
      <alignment horizontal="center"/>
    </xf>
    <xf borderId="22" fillId="3" fontId="2" numFmtId="0" xfId="0" applyBorder="1" applyFont="1"/>
    <xf borderId="0" fillId="0" fontId="4" numFmtId="0" xfId="0" applyAlignment="1" applyFont="1">
      <alignment horizontal="right" vertical="bottom"/>
    </xf>
    <xf borderId="22" fillId="5" fontId="2" numFmtId="0" xfId="0" applyBorder="1" applyFont="1"/>
    <xf borderId="0" fillId="0" fontId="4" numFmtId="0" xfId="0" applyAlignment="1" applyFont="1">
      <alignment readingOrder="0"/>
    </xf>
    <xf borderId="20" fillId="0" fontId="2" numFmtId="0" xfId="0" applyBorder="1" applyFont="1"/>
    <xf borderId="2" fillId="8" fontId="2" numFmtId="0" xfId="0" applyAlignment="1" applyBorder="1" applyFill="1" applyFont="1">
      <alignment shrinkToFit="0" wrapText="1"/>
    </xf>
    <xf borderId="2" fillId="8" fontId="6" numFmtId="0" xfId="0" applyAlignment="1" applyBorder="1" applyFont="1">
      <alignment shrinkToFit="0" wrapText="1"/>
    </xf>
    <xf borderId="8" fillId="4" fontId="2" numFmtId="0" xfId="0" applyBorder="1" applyFont="1"/>
    <xf quotePrefix="1" borderId="0" fillId="0" fontId="4" numFmtId="0" xfId="0" applyAlignment="1" applyFont="1">
      <alignment readingOrder="0"/>
    </xf>
    <xf borderId="10" fillId="4" fontId="4" numFmtId="0" xfId="0" applyBorder="1" applyFont="1"/>
    <xf borderId="5" fillId="2" fontId="2" numFmtId="0" xfId="0" applyBorder="1" applyFont="1"/>
    <xf borderId="5" fillId="0" fontId="2" numFmtId="0" xfId="0" applyBorder="1" applyFont="1"/>
    <xf borderId="0" fillId="0" fontId="13" numFmtId="0" xfId="0" applyFont="1"/>
    <xf borderId="5" fillId="2" fontId="14" numFmtId="0" xfId="0" applyAlignment="1" applyBorder="1" applyFont="1">
      <alignment shrinkToFit="0" wrapText="1"/>
    </xf>
    <xf borderId="5" fillId="9" fontId="14" numFmtId="0" xfId="0" applyAlignment="1" applyBorder="1" applyFill="1" applyFont="1">
      <alignment shrinkToFit="0" wrapText="1"/>
    </xf>
    <xf borderId="5" fillId="10" fontId="14" numFmtId="0" xfId="0" applyAlignment="1" applyBorder="1" applyFill="1" applyFont="1">
      <alignment shrinkToFit="0" wrapText="1"/>
    </xf>
    <xf borderId="22" fillId="5" fontId="15" numFmtId="0" xfId="0" applyAlignment="1" applyBorder="1" applyFont="1">
      <alignment shrinkToFit="0" vertical="center" wrapText="1"/>
    </xf>
    <xf borderId="5" fillId="11" fontId="16"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10" Type="http://schemas.openxmlformats.org/officeDocument/2006/relationships/drawing" Target="../drawings/drawing1.xml"/><Relationship Id="rId9"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33"/>
    <col customWidth="1" min="3" max="3" width="10.22"/>
    <col customWidth="1" min="4" max="4" width="11.22"/>
    <col customWidth="1" min="5" max="10" width="8.78"/>
    <col customWidth="1" min="11" max="11" width="18.22"/>
    <col customWidth="1" min="12" max="12" width="10.22"/>
    <col customWidth="1" min="13" max="13" width="25.22"/>
    <col customWidth="1" min="14" max="14" width="8.78"/>
    <col customWidth="1" min="15" max="15" width="11.78"/>
    <col customWidth="1" min="16" max="16" width="12.33"/>
    <col customWidth="1" min="17" max="17" width="6.22"/>
    <col customWidth="1" min="18" max="18" width="7.22"/>
    <col customWidth="1" min="19" max="19" width="10.22"/>
    <col customWidth="1" min="20" max="20" width="9.33"/>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8.78"/>
    <col customWidth="1" min="36" max="36" width="10.11"/>
    <col customWidth="1" min="37" max="38" width="8.78"/>
    <col customWidth="1" min="39" max="39" width="9.78"/>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ht="15.75" customHeight="1">
      <c r="A1" s="5"/>
      <c r="B1" s="5"/>
      <c r="C1" s="5"/>
      <c r="D1" s="8" t="s">
        <v>3</v>
      </c>
      <c r="E1" s="9"/>
      <c r="F1" s="9"/>
      <c r="G1" s="9"/>
      <c r="H1" s="9"/>
      <c r="I1" s="9"/>
      <c r="J1" s="11"/>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row>
    <row r="2" ht="62.25" customHeight="1">
      <c r="A2" s="16" t="s">
        <v>8</v>
      </c>
      <c r="B2" s="16"/>
      <c r="C2" s="16"/>
      <c r="D2" s="17"/>
      <c r="E2" s="18"/>
      <c r="F2" s="18"/>
      <c r="G2" s="18"/>
      <c r="H2" s="18"/>
      <c r="I2" s="18"/>
      <c r="J2" s="20"/>
      <c r="K2" s="22" t="s">
        <v>11</v>
      </c>
      <c r="L2" s="22"/>
      <c r="M2" s="22" t="s">
        <v>12</v>
      </c>
      <c r="N2" s="22"/>
      <c r="O2" s="22" t="s">
        <v>13</v>
      </c>
      <c r="P2" s="22"/>
      <c r="Q2" s="22"/>
      <c r="R2" s="22"/>
      <c r="S2" s="22" t="s">
        <v>15</v>
      </c>
      <c r="T2" s="22"/>
      <c r="U2" s="22" t="s">
        <v>16</v>
      </c>
      <c r="V2" s="22"/>
      <c r="W2" s="22" t="s">
        <v>18</v>
      </c>
      <c r="X2" s="22" t="s">
        <v>18</v>
      </c>
      <c r="Y2" s="22" t="s">
        <v>19</v>
      </c>
      <c r="Z2" s="22" t="s">
        <v>20</v>
      </c>
      <c r="AA2" s="22"/>
      <c r="AB2" s="22"/>
      <c r="AC2" s="16"/>
      <c r="AD2" s="22" t="s">
        <v>22</v>
      </c>
      <c r="AE2" s="22" t="s">
        <v>22</v>
      </c>
      <c r="AF2" s="22" t="s">
        <v>23</v>
      </c>
      <c r="AG2" s="22" t="s">
        <v>24</v>
      </c>
      <c r="AH2" s="22" t="s">
        <v>25</v>
      </c>
      <c r="AI2" s="16"/>
      <c r="AJ2" s="16"/>
      <c r="AK2" s="16"/>
      <c r="AL2" s="16" t="s">
        <v>26</v>
      </c>
      <c r="AM2" s="16"/>
      <c r="AN2" s="16" t="s">
        <v>26</v>
      </c>
      <c r="AO2" s="16"/>
      <c r="AP2" s="16" t="s">
        <v>26</v>
      </c>
      <c r="AQ2" s="16" t="s">
        <v>27</v>
      </c>
      <c r="AR2" s="16" t="s">
        <v>28</v>
      </c>
      <c r="AS2" s="16" t="s">
        <v>30</v>
      </c>
      <c r="AT2" s="16"/>
      <c r="AU2" s="22" t="s">
        <v>31</v>
      </c>
      <c r="AV2" s="22" t="s">
        <v>31</v>
      </c>
      <c r="AW2" s="22" t="s">
        <v>32</v>
      </c>
      <c r="AX2" s="22" t="s">
        <v>33</v>
      </c>
    </row>
    <row r="3" ht="66.0" customHeight="1">
      <c r="A3" s="28" t="s">
        <v>34</v>
      </c>
      <c r="B3" s="28" t="s">
        <v>35</v>
      </c>
      <c r="C3" s="28" t="s">
        <v>36</v>
      </c>
      <c r="D3" s="28" t="s">
        <v>37</v>
      </c>
      <c r="E3" s="28" t="s">
        <v>38</v>
      </c>
      <c r="F3" s="28" t="s">
        <v>40</v>
      </c>
      <c r="G3" s="28" t="s">
        <v>41</v>
      </c>
      <c r="H3" s="30" t="s">
        <v>42</v>
      </c>
      <c r="I3" s="30" t="s">
        <v>43</v>
      </c>
      <c r="J3" s="30" t="s">
        <v>44</v>
      </c>
      <c r="K3" s="33" t="s">
        <v>45</v>
      </c>
      <c r="L3" s="35" t="s">
        <v>46</v>
      </c>
      <c r="M3" s="33" t="s">
        <v>48</v>
      </c>
      <c r="N3" s="33" t="s">
        <v>37</v>
      </c>
      <c r="O3" s="33" t="s">
        <v>49</v>
      </c>
      <c r="P3" s="33" t="s">
        <v>50</v>
      </c>
      <c r="Q3" s="33" t="s">
        <v>54</v>
      </c>
      <c r="R3" s="33" t="s">
        <v>55</v>
      </c>
      <c r="S3" s="33" t="s">
        <v>56</v>
      </c>
      <c r="T3" s="33" t="s">
        <v>58</v>
      </c>
      <c r="U3" s="33" t="s">
        <v>59</v>
      </c>
      <c r="V3" s="33" t="s">
        <v>60</v>
      </c>
      <c r="W3" s="33" t="s">
        <v>62</v>
      </c>
      <c r="X3" s="33" t="s">
        <v>63</v>
      </c>
      <c r="Y3" s="33" t="s">
        <v>64</v>
      </c>
      <c r="Z3" s="33" t="s">
        <v>65</v>
      </c>
      <c r="AA3" s="33" t="s">
        <v>66</v>
      </c>
      <c r="AB3" s="33" t="s">
        <v>67</v>
      </c>
      <c r="AC3" s="33" t="s">
        <v>68</v>
      </c>
      <c r="AD3" s="38" t="s">
        <v>69</v>
      </c>
      <c r="AE3" s="38" t="s">
        <v>71</v>
      </c>
      <c r="AF3" s="40" t="s">
        <v>72</v>
      </c>
      <c r="AG3" s="40" t="s">
        <v>74</v>
      </c>
      <c r="AH3" s="40" t="s">
        <v>76</v>
      </c>
      <c r="AI3" s="40" t="s">
        <v>77</v>
      </c>
      <c r="AJ3" s="40" t="s">
        <v>78</v>
      </c>
      <c r="AK3" s="42" t="s">
        <v>80</v>
      </c>
      <c r="AL3" s="33" t="s">
        <v>83</v>
      </c>
      <c r="AM3" s="42" t="s">
        <v>85</v>
      </c>
      <c r="AN3" s="33" t="s">
        <v>87</v>
      </c>
      <c r="AO3" s="33" t="s">
        <v>89</v>
      </c>
      <c r="AP3" s="33" t="s">
        <v>91</v>
      </c>
      <c r="AQ3" s="33" t="s">
        <v>92</v>
      </c>
      <c r="AR3" s="33" t="s">
        <v>93</v>
      </c>
      <c r="AS3" s="33" t="s">
        <v>94</v>
      </c>
      <c r="AT3" s="40" t="s">
        <v>95</v>
      </c>
      <c r="AU3" s="40" t="s">
        <v>97</v>
      </c>
      <c r="AV3" s="40" t="s">
        <v>99</v>
      </c>
      <c r="AW3" s="33" t="s">
        <v>101</v>
      </c>
      <c r="AX3" s="33" t="s">
        <v>104</v>
      </c>
    </row>
    <row r="4" ht="15.75" customHeight="1">
      <c r="A4" s="44" t="s">
        <v>106</v>
      </c>
      <c r="B4" s="5" t="s">
        <v>108</v>
      </c>
      <c r="C4" s="5">
        <v>2017.0</v>
      </c>
      <c r="D4" s="47" t="str">
        <f t="shared" ref="D4:D12" si="1">N4</f>
        <v>10.14027/j.cnki.cjxb.2017.01.006</v>
      </c>
      <c r="E4" s="51">
        <f t="shared" ref="E4:E12" si="2">V4*1000</f>
        <v>171450</v>
      </c>
      <c r="F4" s="51">
        <f t="shared" ref="F4:F12" si="3">(W4-V4)*1000</f>
        <v>3250</v>
      </c>
      <c r="G4" s="51">
        <f t="shared" ref="G4:G12" si="4">(V4-X4)*1000</f>
        <v>3250</v>
      </c>
      <c r="H4" s="54">
        <f t="shared" ref="H4:H12" si="5">AT4</f>
        <v>1528</v>
      </c>
      <c r="I4" s="51" t="s">
        <v>135</v>
      </c>
      <c r="J4" s="51" t="s">
        <v>135</v>
      </c>
      <c r="K4" s="5" t="s">
        <v>137</v>
      </c>
      <c r="L4" s="56" t="s">
        <v>139</v>
      </c>
      <c r="M4" s="5" t="s">
        <v>158</v>
      </c>
      <c r="N4" s="5" t="s">
        <v>159</v>
      </c>
      <c r="O4" s="5">
        <v>1.0</v>
      </c>
      <c r="P4" s="5" t="s">
        <v>162</v>
      </c>
      <c r="Q4" s="5" t="s">
        <v>163</v>
      </c>
      <c r="R4" s="5" t="s">
        <v>165</v>
      </c>
      <c r="S4" s="5" t="s">
        <v>166</v>
      </c>
      <c r="T4" s="5" t="s">
        <v>167</v>
      </c>
      <c r="U4" s="5" t="s">
        <v>168</v>
      </c>
      <c r="V4" s="5">
        <f t="shared" ref="V4:V12" si="6">(W4+X4)/2</f>
        <v>171.45</v>
      </c>
      <c r="W4" s="5">
        <v>174.7</v>
      </c>
      <c r="X4" s="5">
        <v>168.2</v>
      </c>
      <c r="Y4" s="5" t="s">
        <v>171</v>
      </c>
      <c r="Z4" s="5" t="s">
        <v>51</v>
      </c>
      <c r="AA4" s="5">
        <v>1.0</v>
      </c>
      <c r="AB4" s="61">
        <v>36.4166665</v>
      </c>
      <c r="AC4" s="61">
        <v>104.166667</v>
      </c>
      <c r="AD4" s="5" t="s">
        <v>135</v>
      </c>
      <c r="AE4" s="5" t="s">
        <v>135</v>
      </c>
      <c r="AF4" s="5" t="s">
        <v>135</v>
      </c>
      <c r="AG4" s="5" t="s">
        <v>135</v>
      </c>
      <c r="AH4" s="5" t="s">
        <v>135</v>
      </c>
      <c r="AI4" s="5" t="s">
        <v>135</v>
      </c>
      <c r="AJ4" s="5" t="s">
        <v>135</v>
      </c>
      <c r="AK4" s="5">
        <v>25.0</v>
      </c>
      <c r="AL4" s="5" t="s">
        <v>135</v>
      </c>
      <c r="AM4" s="5">
        <v>537.0</v>
      </c>
      <c r="AN4" s="5" t="s">
        <v>135</v>
      </c>
      <c r="AO4" s="5">
        <v>4.45</v>
      </c>
      <c r="AP4" s="5" t="s">
        <v>135</v>
      </c>
      <c r="AQ4" s="5" t="s">
        <v>175</v>
      </c>
      <c r="AR4" s="5" t="s">
        <v>176</v>
      </c>
      <c r="AS4" s="5" t="s">
        <v>177</v>
      </c>
      <c r="AT4" s="5">
        <v>1528.0</v>
      </c>
      <c r="AU4" s="5" t="s">
        <v>135</v>
      </c>
      <c r="AV4" s="5" t="s">
        <v>135</v>
      </c>
      <c r="AW4" s="63" t="s">
        <v>135</v>
      </c>
      <c r="AX4" s="5" t="s">
        <v>178</v>
      </c>
    </row>
    <row r="5" ht="15.75" customHeight="1">
      <c r="A5" s="44" t="s">
        <v>106</v>
      </c>
      <c r="B5" s="5" t="s">
        <v>108</v>
      </c>
      <c r="C5" s="5">
        <v>2017.0</v>
      </c>
      <c r="D5" s="47" t="str">
        <f t="shared" si="1"/>
        <v>10.14027/j.cnki.cjxb.2017.01.006</v>
      </c>
      <c r="E5" s="51">
        <f t="shared" si="2"/>
        <v>171450</v>
      </c>
      <c r="F5" s="51">
        <f t="shared" si="3"/>
        <v>3250</v>
      </c>
      <c r="G5" s="51">
        <f t="shared" si="4"/>
        <v>3250</v>
      </c>
      <c r="H5" s="54">
        <f t="shared" si="5"/>
        <v>1775</v>
      </c>
      <c r="I5" s="51" t="s">
        <v>135</v>
      </c>
      <c r="J5" s="51" t="s">
        <v>135</v>
      </c>
      <c r="K5" s="5" t="s">
        <v>137</v>
      </c>
      <c r="L5" s="56" t="s">
        <v>139</v>
      </c>
      <c r="M5" s="5" t="s">
        <v>158</v>
      </c>
      <c r="N5" s="5" t="s">
        <v>159</v>
      </c>
      <c r="O5" s="5">
        <v>2.0</v>
      </c>
      <c r="P5" s="5" t="s">
        <v>162</v>
      </c>
      <c r="Q5" s="5" t="s">
        <v>163</v>
      </c>
      <c r="R5" s="5" t="s">
        <v>165</v>
      </c>
      <c r="S5" s="5" t="s">
        <v>166</v>
      </c>
      <c r="T5" s="5" t="s">
        <v>167</v>
      </c>
      <c r="U5" s="5" t="s">
        <v>168</v>
      </c>
      <c r="V5" s="5">
        <f t="shared" si="6"/>
        <v>171.45</v>
      </c>
      <c r="W5" s="5">
        <v>174.7</v>
      </c>
      <c r="X5" s="5">
        <v>168.2</v>
      </c>
      <c r="Y5" s="5" t="s">
        <v>171</v>
      </c>
      <c r="Z5" s="5" t="s">
        <v>51</v>
      </c>
      <c r="AA5" s="5">
        <v>1.0</v>
      </c>
      <c r="AB5" s="61">
        <v>36.4166665</v>
      </c>
      <c r="AC5" s="61">
        <v>104.166667</v>
      </c>
      <c r="AD5" s="5" t="s">
        <v>135</v>
      </c>
      <c r="AE5" s="5" t="s">
        <v>135</v>
      </c>
      <c r="AF5" s="5" t="s">
        <v>135</v>
      </c>
      <c r="AG5" s="5" t="s">
        <v>135</v>
      </c>
      <c r="AH5" s="5" t="s">
        <v>135</v>
      </c>
      <c r="AI5" s="5" t="s">
        <v>135</v>
      </c>
      <c r="AJ5" s="5" t="s">
        <v>135</v>
      </c>
      <c r="AK5" s="5">
        <v>17.0</v>
      </c>
      <c r="AL5" s="5" t="s">
        <v>135</v>
      </c>
      <c r="AM5" s="5">
        <v>427.0</v>
      </c>
      <c r="AN5" s="5" t="s">
        <v>135</v>
      </c>
      <c r="AO5" s="5">
        <v>3.83</v>
      </c>
      <c r="AP5" s="5" t="s">
        <v>135</v>
      </c>
      <c r="AQ5" s="5" t="s">
        <v>175</v>
      </c>
      <c r="AR5" s="5" t="s">
        <v>176</v>
      </c>
      <c r="AS5" s="5" t="s">
        <v>177</v>
      </c>
      <c r="AT5" s="5">
        <v>1775.0</v>
      </c>
      <c r="AU5" s="5" t="s">
        <v>135</v>
      </c>
      <c r="AV5" s="5" t="s">
        <v>135</v>
      </c>
      <c r="AW5" s="63" t="s">
        <v>135</v>
      </c>
      <c r="AX5" s="5" t="s">
        <v>178</v>
      </c>
    </row>
    <row r="6" ht="15.75" customHeight="1">
      <c r="A6" s="44" t="s">
        <v>106</v>
      </c>
      <c r="B6" s="5" t="s">
        <v>108</v>
      </c>
      <c r="C6" s="5">
        <v>2017.0</v>
      </c>
      <c r="D6" s="47" t="str">
        <f t="shared" si="1"/>
        <v>10.14027/j.cnki.cjxb.2017.01.006</v>
      </c>
      <c r="E6" s="51">
        <f t="shared" si="2"/>
        <v>171450</v>
      </c>
      <c r="F6" s="51">
        <f t="shared" si="3"/>
        <v>3250</v>
      </c>
      <c r="G6" s="51">
        <f t="shared" si="4"/>
        <v>3250</v>
      </c>
      <c r="H6" s="54">
        <f t="shared" si="5"/>
        <v>2154</v>
      </c>
      <c r="I6" s="51" t="s">
        <v>135</v>
      </c>
      <c r="J6" s="51" t="s">
        <v>135</v>
      </c>
      <c r="K6" s="5" t="s">
        <v>137</v>
      </c>
      <c r="L6" s="56" t="s">
        <v>139</v>
      </c>
      <c r="M6" s="5" t="s">
        <v>158</v>
      </c>
      <c r="N6" s="5" t="s">
        <v>159</v>
      </c>
      <c r="O6" s="5">
        <v>3.0</v>
      </c>
      <c r="P6" s="5" t="s">
        <v>162</v>
      </c>
      <c r="Q6" s="5" t="s">
        <v>163</v>
      </c>
      <c r="R6" s="5" t="s">
        <v>165</v>
      </c>
      <c r="S6" s="5" t="s">
        <v>166</v>
      </c>
      <c r="T6" s="5" t="s">
        <v>167</v>
      </c>
      <c r="U6" s="5" t="s">
        <v>168</v>
      </c>
      <c r="V6" s="5">
        <f t="shared" si="6"/>
        <v>171.45</v>
      </c>
      <c r="W6" s="5">
        <v>174.7</v>
      </c>
      <c r="X6" s="5">
        <v>168.2</v>
      </c>
      <c r="Y6" s="5" t="s">
        <v>171</v>
      </c>
      <c r="Z6" s="5" t="s">
        <v>51</v>
      </c>
      <c r="AA6" s="5">
        <v>1.0</v>
      </c>
      <c r="AB6" s="61">
        <v>36.4166665</v>
      </c>
      <c r="AC6" s="61">
        <v>104.166667</v>
      </c>
      <c r="AD6" s="5" t="s">
        <v>135</v>
      </c>
      <c r="AE6" s="5" t="s">
        <v>135</v>
      </c>
      <c r="AF6" s="5" t="s">
        <v>135</v>
      </c>
      <c r="AG6" s="5" t="s">
        <v>135</v>
      </c>
      <c r="AH6" s="5" t="s">
        <v>135</v>
      </c>
      <c r="AI6" s="5" t="s">
        <v>135</v>
      </c>
      <c r="AJ6" s="5" t="s">
        <v>135</v>
      </c>
      <c r="AK6" s="5">
        <v>19.0</v>
      </c>
      <c r="AL6" s="5" t="s">
        <v>135</v>
      </c>
      <c r="AM6" s="5">
        <v>583.0</v>
      </c>
      <c r="AN6" s="5" t="s">
        <v>135</v>
      </c>
      <c r="AO6" s="5">
        <v>3.16</v>
      </c>
      <c r="AP6" s="5" t="s">
        <v>135</v>
      </c>
      <c r="AQ6" s="5" t="s">
        <v>175</v>
      </c>
      <c r="AR6" s="5" t="s">
        <v>176</v>
      </c>
      <c r="AS6" s="5" t="s">
        <v>177</v>
      </c>
      <c r="AT6" s="5">
        <v>2154.0</v>
      </c>
      <c r="AU6" s="5" t="s">
        <v>135</v>
      </c>
      <c r="AV6" s="5" t="s">
        <v>135</v>
      </c>
      <c r="AW6" s="63" t="s">
        <v>135</v>
      </c>
      <c r="AX6" s="5" t="s">
        <v>178</v>
      </c>
    </row>
    <row r="7" ht="15.75" customHeight="1">
      <c r="A7" s="44" t="s">
        <v>106</v>
      </c>
      <c r="B7" s="5" t="s">
        <v>108</v>
      </c>
      <c r="C7" s="5">
        <v>2017.0</v>
      </c>
      <c r="D7" s="47" t="str">
        <f t="shared" si="1"/>
        <v>10.14027/j.cnki.cjxb.2017.01.006</v>
      </c>
      <c r="E7" s="51">
        <f t="shared" si="2"/>
        <v>171450</v>
      </c>
      <c r="F7" s="51">
        <f t="shared" si="3"/>
        <v>3250</v>
      </c>
      <c r="G7" s="51">
        <f t="shared" si="4"/>
        <v>3250</v>
      </c>
      <c r="H7" s="54">
        <f t="shared" si="5"/>
        <v>1868</v>
      </c>
      <c r="I7" s="51" t="s">
        <v>135</v>
      </c>
      <c r="J7" s="51" t="s">
        <v>135</v>
      </c>
      <c r="K7" s="5" t="s">
        <v>137</v>
      </c>
      <c r="L7" s="56" t="s">
        <v>139</v>
      </c>
      <c r="M7" s="5" t="s">
        <v>158</v>
      </c>
      <c r="N7" s="5" t="s">
        <v>159</v>
      </c>
      <c r="O7" s="5">
        <v>4.0</v>
      </c>
      <c r="P7" s="5" t="s">
        <v>162</v>
      </c>
      <c r="Q7" s="5" t="s">
        <v>163</v>
      </c>
      <c r="R7" s="5" t="s">
        <v>165</v>
      </c>
      <c r="S7" s="5" t="s">
        <v>166</v>
      </c>
      <c r="T7" s="5" t="s">
        <v>167</v>
      </c>
      <c r="U7" s="5" t="s">
        <v>168</v>
      </c>
      <c r="V7" s="5">
        <f t="shared" si="6"/>
        <v>171.45</v>
      </c>
      <c r="W7" s="5">
        <v>174.7</v>
      </c>
      <c r="X7" s="5">
        <v>168.2</v>
      </c>
      <c r="Y7" s="5" t="s">
        <v>171</v>
      </c>
      <c r="Z7" s="5" t="s">
        <v>51</v>
      </c>
      <c r="AA7" s="5">
        <v>1.0</v>
      </c>
      <c r="AB7" s="61">
        <v>36.4166665</v>
      </c>
      <c r="AC7" s="61">
        <v>104.166667</v>
      </c>
      <c r="AD7" s="5" t="s">
        <v>135</v>
      </c>
      <c r="AE7" s="5" t="s">
        <v>135</v>
      </c>
      <c r="AF7" s="5" t="s">
        <v>135</v>
      </c>
      <c r="AG7" s="5" t="s">
        <v>135</v>
      </c>
      <c r="AH7" s="5" t="s">
        <v>135</v>
      </c>
      <c r="AI7" s="5" t="s">
        <v>135</v>
      </c>
      <c r="AJ7" s="5" t="s">
        <v>135</v>
      </c>
      <c r="AK7" s="5">
        <v>19.0</v>
      </c>
      <c r="AL7" s="5" t="s">
        <v>135</v>
      </c>
      <c r="AM7" s="5">
        <v>503.0</v>
      </c>
      <c r="AN7" s="5" t="s">
        <v>135</v>
      </c>
      <c r="AO7" s="5">
        <v>3.64</v>
      </c>
      <c r="AP7" s="5" t="s">
        <v>135</v>
      </c>
      <c r="AQ7" s="5" t="s">
        <v>175</v>
      </c>
      <c r="AR7" s="5" t="s">
        <v>176</v>
      </c>
      <c r="AS7" s="5" t="s">
        <v>177</v>
      </c>
      <c r="AT7" s="5">
        <v>1868.0</v>
      </c>
      <c r="AU7" s="5" t="s">
        <v>135</v>
      </c>
      <c r="AV7" s="5" t="s">
        <v>135</v>
      </c>
      <c r="AW7" s="63" t="s">
        <v>135</v>
      </c>
      <c r="AX7" s="5" t="s">
        <v>178</v>
      </c>
    </row>
    <row r="8" ht="15.75" customHeight="1">
      <c r="A8" s="44" t="s">
        <v>106</v>
      </c>
      <c r="B8" s="5" t="s">
        <v>108</v>
      </c>
      <c r="C8" s="5">
        <v>2017.0</v>
      </c>
      <c r="D8" s="47" t="str">
        <f t="shared" si="1"/>
        <v>10.14027/j.cnki.cjxb.2017.01.006</v>
      </c>
      <c r="E8" s="51">
        <f t="shared" si="2"/>
        <v>171450</v>
      </c>
      <c r="F8" s="51">
        <f t="shared" si="3"/>
        <v>3250</v>
      </c>
      <c r="G8" s="51">
        <f t="shared" si="4"/>
        <v>3250</v>
      </c>
      <c r="H8" s="54">
        <f t="shared" si="5"/>
        <v>1873</v>
      </c>
      <c r="I8" s="51" t="s">
        <v>135</v>
      </c>
      <c r="J8" s="51" t="s">
        <v>135</v>
      </c>
      <c r="K8" s="5" t="s">
        <v>137</v>
      </c>
      <c r="L8" s="56" t="s">
        <v>139</v>
      </c>
      <c r="M8" s="5" t="s">
        <v>158</v>
      </c>
      <c r="N8" s="5" t="s">
        <v>159</v>
      </c>
      <c r="O8" s="5">
        <v>5.0</v>
      </c>
      <c r="P8" s="5" t="s">
        <v>162</v>
      </c>
      <c r="Q8" s="5" t="s">
        <v>163</v>
      </c>
      <c r="R8" s="5" t="s">
        <v>165</v>
      </c>
      <c r="S8" s="5" t="s">
        <v>166</v>
      </c>
      <c r="T8" s="5" t="s">
        <v>167</v>
      </c>
      <c r="U8" s="5" t="s">
        <v>168</v>
      </c>
      <c r="V8" s="5">
        <f t="shared" si="6"/>
        <v>171.45</v>
      </c>
      <c r="W8" s="5">
        <v>174.7</v>
      </c>
      <c r="X8" s="5">
        <v>168.2</v>
      </c>
      <c r="Y8" s="5" t="s">
        <v>171</v>
      </c>
      <c r="Z8" s="5" t="s">
        <v>51</v>
      </c>
      <c r="AA8" s="5">
        <v>1.0</v>
      </c>
      <c r="AB8" s="61">
        <v>36.4166665</v>
      </c>
      <c r="AC8" s="61">
        <v>104.166667</v>
      </c>
      <c r="AD8" s="5" t="s">
        <v>135</v>
      </c>
      <c r="AE8" s="5" t="s">
        <v>135</v>
      </c>
      <c r="AF8" s="5" t="s">
        <v>135</v>
      </c>
      <c r="AG8" s="5" t="s">
        <v>135</v>
      </c>
      <c r="AH8" s="5" t="s">
        <v>135</v>
      </c>
      <c r="AI8" s="5" t="s">
        <v>135</v>
      </c>
      <c r="AJ8" s="5" t="s">
        <v>135</v>
      </c>
      <c r="AK8" s="5">
        <v>20.0</v>
      </c>
      <c r="AL8" s="5" t="s">
        <v>135</v>
      </c>
      <c r="AM8" s="5">
        <v>531.0</v>
      </c>
      <c r="AN8" s="5" t="s">
        <v>135</v>
      </c>
      <c r="AO8" s="5">
        <v>3.63</v>
      </c>
      <c r="AP8" s="5" t="s">
        <v>135</v>
      </c>
      <c r="AQ8" s="5" t="s">
        <v>175</v>
      </c>
      <c r="AR8" s="5" t="s">
        <v>176</v>
      </c>
      <c r="AS8" s="5" t="s">
        <v>177</v>
      </c>
      <c r="AT8" s="5">
        <v>1873.0</v>
      </c>
      <c r="AU8" s="5" t="s">
        <v>135</v>
      </c>
      <c r="AV8" s="5" t="s">
        <v>135</v>
      </c>
      <c r="AW8" s="63" t="s">
        <v>135</v>
      </c>
      <c r="AX8" s="5" t="s">
        <v>178</v>
      </c>
    </row>
    <row r="9" ht="15.75" customHeight="1">
      <c r="A9" s="44" t="s">
        <v>106</v>
      </c>
      <c r="B9" s="5" t="s">
        <v>108</v>
      </c>
      <c r="C9" s="5">
        <v>2017.0</v>
      </c>
      <c r="D9" s="47" t="str">
        <f t="shared" si="1"/>
        <v>10.14027/j.cnki.cjxb.2017.01.006</v>
      </c>
      <c r="E9" s="51">
        <f t="shared" si="2"/>
        <v>171450</v>
      </c>
      <c r="F9" s="51">
        <f t="shared" si="3"/>
        <v>3250</v>
      </c>
      <c r="G9" s="51">
        <f t="shared" si="4"/>
        <v>3250</v>
      </c>
      <c r="H9" s="54">
        <f t="shared" si="5"/>
        <v>1628</v>
      </c>
      <c r="I9" s="51" t="s">
        <v>135</v>
      </c>
      <c r="J9" s="51" t="s">
        <v>135</v>
      </c>
      <c r="K9" s="5" t="s">
        <v>137</v>
      </c>
      <c r="L9" s="56" t="s">
        <v>139</v>
      </c>
      <c r="M9" s="5" t="s">
        <v>158</v>
      </c>
      <c r="N9" s="5" t="s">
        <v>159</v>
      </c>
      <c r="O9" s="5">
        <v>6.0</v>
      </c>
      <c r="P9" s="5" t="s">
        <v>162</v>
      </c>
      <c r="Q9" s="5" t="s">
        <v>163</v>
      </c>
      <c r="R9" s="5" t="s">
        <v>165</v>
      </c>
      <c r="S9" s="5" t="s">
        <v>166</v>
      </c>
      <c r="T9" s="5" t="s">
        <v>167</v>
      </c>
      <c r="U9" s="5" t="s">
        <v>168</v>
      </c>
      <c r="V9" s="5">
        <f t="shared" si="6"/>
        <v>171.45</v>
      </c>
      <c r="W9" s="5">
        <v>174.7</v>
      </c>
      <c r="X9" s="5">
        <v>168.2</v>
      </c>
      <c r="Y9" s="5" t="s">
        <v>171</v>
      </c>
      <c r="Z9" s="5" t="s">
        <v>51</v>
      </c>
      <c r="AA9" s="5">
        <v>1.0</v>
      </c>
      <c r="AB9" s="61">
        <v>36.4166665</v>
      </c>
      <c r="AC9" s="61">
        <v>104.166667</v>
      </c>
      <c r="AD9" s="5" t="s">
        <v>135</v>
      </c>
      <c r="AE9" s="5" t="s">
        <v>135</v>
      </c>
      <c r="AF9" s="5" t="s">
        <v>135</v>
      </c>
      <c r="AG9" s="5" t="s">
        <v>135</v>
      </c>
      <c r="AH9" s="5" t="s">
        <v>135</v>
      </c>
      <c r="AI9" s="5" t="s">
        <v>135</v>
      </c>
      <c r="AJ9" s="5" t="s">
        <v>135</v>
      </c>
      <c r="AK9" s="5">
        <v>22.0</v>
      </c>
      <c r="AL9" s="5" t="s">
        <v>135</v>
      </c>
      <c r="AM9" s="5">
        <v>505.0</v>
      </c>
      <c r="AN9" s="5" t="s">
        <v>135</v>
      </c>
      <c r="AO9" s="5">
        <v>4.17</v>
      </c>
      <c r="AP9" s="5" t="s">
        <v>135</v>
      </c>
      <c r="AQ9" s="5" t="s">
        <v>175</v>
      </c>
      <c r="AR9" s="5" t="s">
        <v>176</v>
      </c>
      <c r="AS9" s="5" t="s">
        <v>177</v>
      </c>
      <c r="AT9" s="5">
        <v>1628.0</v>
      </c>
      <c r="AU9" s="5" t="s">
        <v>135</v>
      </c>
      <c r="AV9" s="5" t="s">
        <v>135</v>
      </c>
      <c r="AW9" s="63" t="s">
        <v>135</v>
      </c>
      <c r="AX9" s="5" t="s">
        <v>178</v>
      </c>
    </row>
    <row r="10" ht="15.75" customHeight="1">
      <c r="A10" s="44" t="s">
        <v>106</v>
      </c>
      <c r="B10" s="5" t="s">
        <v>108</v>
      </c>
      <c r="C10" s="5">
        <v>2017.0</v>
      </c>
      <c r="D10" s="47" t="str">
        <f t="shared" si="1"/>
        <v>10.14027/j.cnki.cjxb.2017.01.006</v>
      </c>
      <c r="E10" s="51">
        <f t="shared" si="2"/>
        <v>171450</v>
      </c>
      <c r="F10" s="51">
        <f t="shared" si="3"/>
        <v>3250</v>
      </c>
      <c r="G10" s="51">
        <f t="shared" si="4"/>
        <v>3250</v>
      </c>
      <c r="H10" s="54">
        <f t="shared" si="5"/>
        <v>1998</v>
      </c>
      <c r="I10" s="51" t="s">
        <v>135</v>
      </c>
      <c r="J10" s="51" t="s">
        <v>135</v>
      </c>
      <c r="K10" s="5" t="s">
        <v>137</v>
      </c>
      <c r="L10" s="56" t="s">
        <v>139</v>
      </c>
      <c r="M10" s="5" t="s">
        <v>158</v>
      </c>
      <c r="N10" s="5" t="s">
        <v>159</v>
      </c>
      <c r="O10" s="5">
        <v>7.0</v>
      </c>
      <c r="P10" s="5" t="s">
        <v>162</v>
      </c>
      <c r="Q10" s="5" t="s">
        <v>163</v>
      </c>
      <c r="R10" s="5" t="s">
        <v>165</v>
      </c>
      <c r="S10" s="5" t="s">
        <v>166</v>
      </c>
      <c r="T10" s="5" t="s">
        <v>167</v>
      </c>
      <c r="U10" s="5" t="s">
        <v>168</v>
      </c>
      <c r="V10" s="5">
        <f t="shared" si="6"/>
        <v>171.45</v>
      </c>
      <c r="W10" s="5">
        <v>174.7</v>
      </c>
      <c r="X10" s="5">
        <v>168.2</v>
      </c>
      <c r="Y10" s="5" t="s">
        <v>171</v>
      </c>
      <c r="Z10" s="5" t="s">
        <v>51</v>
      </c>
      <c r="AA10" s="5">
        <v>1.0</v>
      </c>
      <c r="AB10" s="61">
        <v>36.4166665</v>
      </c>
      <c r="AC10" s="61">
        <v>104.166667</v>
      </c>
      <c r="AD10" s="5" t="s">
        <v>135</v>
      </c>
      <c r="AE10" s="5" t="s">
        <v>135</v>
      </c>
      <c r="AF10" s="5" t="s">
        <v>135</v>
      </c>
      <c r="AG10" s="5" t="s">
        <v>135</v>
      </c>
      <c r="AH10" s="5" t="s">
        <v>135</v>
      </c>
      <c r="AI10" s="5" t="s">
        <v>135</v>
      </c>
      <c r="AJ10" s="5" t="s">
        <v>135</v>
      </c>
      <c r="AK10" s="5">
        <v>18.0</v>
      </c>
      <c r="AL10" s="5" t="s">
        <v>135</v>
      </c>
      <c r="AM10" s="5">
        <v>511.0</v>
      </c>
      <c r="AN10" s="5" t="s">
        <v>135</v>
      </c>
      <c r="AO10" s="5">
        <v>3.4</v>
      </c>
      <c r="AP10" s="5" t="s">
        <v>135</v>
      </c>
      <c r="AQ10" s="5" t="s">
        <v>175</v>
      </c>
      <c r="AR10" s="5" t="s">
        <v>176</v>
      </c>
      <c r="AS10" s="5" t="s">
        <v>177</v>
      </c>
      <c r="AT10" s="5">
        <v>1998.0</v>
      </c>
      <c r="AU10" s="5" t="s">
        <v>135</v>
      </c>
      <c r="AV10" s="5" t="s">
        <v>135</v>
      </c>
      <c r="AW10" s="63" t="s">
        <v>135</v>
      </c>
      <c r="AX10" s="5" t="s">
        <v>178</v>
      </c>
    </row>
    <row r="11" ht="15.75" customHeight="1">
      <c r="A11" s="44" t="s">
        <v>106</v>
      </c>
      <c r="B11" s="5" t="s">
        <v>108</v>
      </c>
      <c r="C11" s="5">
        <v>2017.0</v>
      </c>
      <c r="D11" s="47" t="str">
        <f t="shared" si="1"/>
        <v>10.14027/j.cnki.cjxb.2017.01.006</v>
      </c>
      <c r="E11" s="51">
        <f t="shared" si="2"/>
        <v>171450</v>
      </c>
      <c r="F11" s="51">
        <f t="shared" si="3"/>
        <v>3250</v>
      </c>
      <c r="G11" s="51">
        <f t="shared" si="4"/>
        <v>3250</v>
      </c>
      <c r="H11" s="54">
        <f t="shared" si="5"/>
        <v>1761</v>
      </c>
      <c r="I11" s="51" t="s">
        <v>135</v>
      </c>
      <c r="J11" s="51" t="s">
        <v>135</v>
      </c>
      <c r="K11" s="5" t="s">
        <v>137</v>
      </c>
      <c r="L11" s="56" t="s">
        <v>139</v>
      </c>
      <c r="M11" s="5" t="s">
        <v>158</v>
      </c>
      <c r="N11" s="5" t="s">
        <v>159</v>
      </c>
      <c r="O11" s="5">
        <v>8.0</v>
      </c>
      <c r="P11" s="5" t="s">
        <v>162</v>
      </c>
      <c r="Q11" s="5" t="s">
        <v>163</v>
      </c>
      <c r="R11" s="5" t="s">
        <v>165</v>
      </c>
      <c r="S11" s="5" t="s">
        <v>166</v>
      </c>
      <c r="T11" s="5" t="s">
        <v>167</v>
      </c>
      <c r="U11" s="5" t="s">
        <v>168</v>
      </c>
      <c r="V11" s="5">
        <f t="shared" si="6"/>
        <v>171.45</v>
      </c>
      <c r="W11" s="5">
        <v>174.7</v>
      </c>
      <c r="X11" s="5">
        <v>168.2</v>
      </c>
      <c r="Y11" s="5" t="s">
        <v>171</v>
      </c>
      <c r="Z11" s="5" t="s">
        <v>51</v>
      </c>
      <c r="AA11" s="5">
        <v>1.0</v>
      </c>
      <c r="AB11" s="61">
        <v>36.4166665</v>
      </c>
      <c r="AC11" s="61">
        <v>104.166667</v>
      </c>
      <c r="AD11" s="5" t="s">
        <v>135</v>
      </c>
      <c r="AE11" s="5" t="s">
        <v>135</v>
      </c>
      <c r="AF11" s="5" t="s">
        <v>135</v>
      </c>
      <c r="AG11" s="5" t="s">
        <v>135</v>
      </c>
      <c r="AH11" s="5" t="s">
        <v>135</v>
      </c>
      <c r="AI11" s="5" t="s">
        <v>135</v>
      </c>
      <c r="AJ11" s="5" t="s">
        <v>135</v>
      </c>
      <c r="AK11" s="5">
        <v>20.0</v>
      </c>
      <c r="AL11" s="5" t="s">
        <v>135</v>
      </c>
      <c r="AM11" s="5">
        <v>498.0</v>
      </c>
      <c r="AN11" s="5" t="s">
        <v>135</v>
      </c>
      <c r="AO11" s="5">
        <v>3.86</v>
      </c>
      <c r="AP11" s="5" t="s">
        <v>135</v>
      </c>
      <c r="AQ11" s="5" t="s">
        <v>175</v>
      </c>
      <c r="AR11" s="5" t="s">
        <v>176</v>
      </c>
      <c r="AS11" s="5" t="s">
        <v>177</v>
      </c>
      <c r="AT11" s="5">
        <v>1761.0</v>
      </c>
      <c r="AU11" s="5" t="s">
        <v>135</v>
      </c>
      <c r="AV11" s="5" t="s">
        <v>135</v>
      </c>
      <c r="AW11" s="63" t="s">
        <v>135</v>
      </c>
      <c r="AX11" s="5" t="s">
        <v>178</v>
      </c>
    </row>
    <row r="12" ht="15.75" customHeight="1">
      <c r="A12" s="44" t="s">
        <v>106</v>
      </c>
      <c r="B12" s="5" t="s">
        <v>108</v>
      </c>
      <c r="C12" s="5">
        <v>2017.0</v>
      </c>
      <c r="D12" s="47" t="str">
        <f t="shared" si="1"/>
        <v>10.14027/j.cnki.cjxb.2017.01.006</v>
      </c>
      <c r="E12" s="51">
        <f t="shared" si="2"/>
        <v>171450</v>
      </c>
      <c r="F12" s="51">
        <f t="shared" si="3"/>
        <v>3250</v>
      </c>
      <c r="G12" s="51">
        <f t="shared" si="4"/>
        <v>3250</v>
      </c>
      <c r="H12" s="54">
        <f t="shared" si="5"/>
        <v>1823</v>
      </c>
      <c r="I12" s="51">
        <f>AV12-AT12</f>
        <v>198</v>
      </c>
      <c r="J12" s="67">
        <f>AT12-AU12</f>
        <v>198</v>
      </c>
      <c r="K12" s="5" t="s">
        <v>137</v>
      </c>
      <c r="L12" s="56" t="s">
        <v>139</v>
      </c>
      <c r="M12" s="5" t="s">
        <v>158</v>
      </c>
      <c r="N12" s="5" t="s">
        <v>159</v>
      </c>
      <c r="O12" s="5" t="s">
        <v>189</v>
      </c>
      <c r="P12" s="5" t="s">
        <v>162</v>
      </c>
      <c r="Q12" s="5" t="s">
        <v>163</v>
      </c>
      <c r="R12" s="5" t="s">
        <v>165</v>
      </c>
      <c r="S12" s="5" t="s">
        <v>166</v>
      </c>
      <c r="T12" s="5" t="s">
        <v>167</v>
      </c>
      <c r="U12" s="5" t="s">
        <v>168</v>
      </c>
      <c r="V12" s="5">
        <f t="shared" si="6"/>
        <v>171.45</v>
      </c>
      <c r="W12" s="5">
        <v>174.7</v>
      </c>
      <c r="X12" s="5">
        <v>168.2</v>
      </c>
      <c r="Y12" s="5" t="s">
        <v>171</v>
      </c>
      <c r="Z12" s="5" t="s">
        <v>51</v>
      </c>
      <c r="AA12" s="5">
        <v>8.0</v>
      </c>
      <c r="AB12" s="61">
        <v>36.4166665</v>
      </c>
      <c r="AC12" s="61">
        <v>104.166667</v>
      </c>
      <c r="AD12" s="5" t="s">
        <v>135</v>
      </c>
      <c r="AE12" s="5" t="s">
        <v>135</v>
      </c>
      <c r="AF12" s="5" t="s">
        <v>135</v>
      </c>
      <c r="AG12" s="5" t="s">
        <v>135</v>
      </c>
      <c r="AH12" s="5" t="s">
        <v>135</v>
      </c>
      <c r="AI12" s="5" t="s">
        <v>135</v>
      </c>
      <c r="AJ12" s="5" t="s">
        <v>135</v>
      </c>
      <c r="AK12" s="5">
        <v>20.0</v>
      </c>
      <c r="AL12" s="5">
        <v>3.0</v>
      </c>
      <c r="AM12" s="5">
        <v>511.0</v>
      </c>
      <c r="AN12" s="5">
        <v>44.0</v>
      </c>
      <c r="AO12" s="5">
        <v>3.77</v>
      </c>
      <c r="AP12" s="5" t="s">
        <v>135</v>
      </c>
      <c r="AQ12" s="5" t="s">
        <v>175</v>
      </c>
      <c r="AR12" s="5" t="s">
        <v>176</v>
      </c>
      <c r="AS12" s="5" t="s">
        <v>177</v>
      </c>
      <c r="AT12" s="5">
        <v>1823.0</v>
      </c>
      <c r="AU12" s="5">
        <v>1625.0</v>
      </c>
      <c r="AV12" s="5">
        <v>2021.0</v>
      </c>
      <c r="AW12" s="68" t="s">
        <v>190</v>
      </c>
      <c r="AX12" s="5" t="s">
        <v>178</v>
      </c>
    </row>
    <row r="13" ht="15.75" customHeight="1">
      <c r="A13" s="44"/>
      <c r="B13" s="5"/>
      <c r="C13" s="5"/>
      <c r="D13" s="47"/>
      <c r="E13" s="51"/>
      <c r="F13" s="51"/>
      <c r="G13" s="51"/>
      <c r="H13" s="54"/>
      <c r="I13" s="51"/>
      <c r="J13" s="51"/>
      <c r="K13" s="5"/>
      <c r="L13" s="56"/>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row>
    <row r="14" ht="15.75" customHeight="1">
      <c r="A14" s="44"/>
      <c r="B14" s="5"/>
      <c r="C14" s="5"/>
      <c r="D14" s="47"/>
      <c r="E14" s="51"/>
      <c r="F14" s="51"/>
      <c r="G14" s="51"/>
      <c r="H14" s="54"/>
      <c r="I14" s="51"/>
      <c r="J14" s="51"/>
      <c r="K14" s="5"/>
      <c r="L14" s="56"/>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row>
    <row r="15" ht="15.75" customHeight="1">
      <c r="A15" s="44"/>
      <c r="B15" s="5"/>
      <c r="C15" s="5"/>
      <c r="D15" s="47"/>
      <c r="E15" s="51"/>
      <c r="F15" s="51"/>
      <c r="G15" s="51"/>
      <c r="H15" s="54"/>
      <c r="I15" s="51"/>
      <c r="J15" s="51"/>
      <c r="K15" s="5"/>
      <c r="L15" s="56"/>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row>
    <row r="16" ht="15.75" customHeight="1">
      <c r="A16" s="44"/>
      <c r="B16" s="5"/>
      <c r="C16" s="5"/>
      <c r="D16" s="47"/>
      <c r="E16" s="51"/>
      <c r="F16" s="51"/>
      <c r="G16" s="51"/>
      <c r="H16" s="54"/>
      <c r="I16" s="51"/>
      <c r="J16" s="51"/>
      <c r="K16" s="5"/>
      <c r="L16" s="56"/>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row>
    <row r="17" ht="15.75" customHeight="1">
      <c r="A17" s="44"/>
      <c r="B17" s="5"/>
      <c r="C17" s="5"/>
      <c r="D17" s="47"/>
      <c r="E17" s="51"/>
      <c r="F17" s="51"/>
      <c r="G17" s="51"/>
      <c r="H17" s="54"/>
      <c r="I17" s="51"/>
      <c r="J17" s="51"/>
      <c r="K17" s="5"/>
      <c r="L17" s="56"/>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row>
    <row r="18" ht="15.75" customHeight="1">
      <c r="A18" s="44"/>
      <c r="B18" s="5"/>
      <c r="C18" s="5"/>
      <c r="D18" s="47"/>
      <c r="E18" s="51"/>
      <c r="F18" s="51"/>
      <c r="G18" s="51"/>
      <c r="H18" s="54"/>
      <c r="I18" s="51"/>
      <c r="J18" s="51"/>
      <c r="K18" s="5"/>
      <c r="L18" s="56"/>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row>
    <row r="19" ht="15.75" customHeight="1">
      <c r="A19" s="44"/>
      <c r="B19" s="5"/>
      <c r="C19" s="5"/>
      <c r="D19" s="47"/>
      <c r="E19" s="51"/>
      <c r="F19" s="51"/>
      <c r="G19" s="51"/>
      <c r="H19" s="54"/>
      <c r="I19" s="51"/>
      <c r="J19" s="51"/>
      <c r="K19" s="5"/>
      <c r="L19" s="56"/>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row>
    <row r="20" ht="15.75" customHeight="1">
      <c r="A20" s="44"/>
      <c r="B20" s="5"/>
      <c r="C20" s="5"/>
      <c r="D20" s="47"/>
      <c r="E20" s="51"/>
      <c r="F20" s="51"/>
      <c r="G20" s="51"/>
      <c r="H20" s="54"/>
      <c r="I20" s="51"/>
      <c r="J20" s="51"/>
      <c r="K20" s="5"/>
      <c r="L20" s="56"/>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row>
    <row r="21" ht="15.75" customHeight="1">
      <c r="A21" s="44"/>
      <c r="B21" s="5"/>
      <c r="C21" s="5"/>
      <c r="D21" s="47"/>
      <c r="E21" s="51"/>
      <c r="F21" s="51"/>
      <c r="G21" s="51"/>
      <c r="H21" s="54"/>
      <c r="I21" s="51"/>
      <c r="J21" s="67"/>
      <c r="K21" s="5"/>
      <c r="L21" s="56"/>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row>
    <row r="22" ht="15.75" customHeight="1">
      <c r="A22" s="5"/>
      <c r="B22" s="5"/>
      <c r="C22" s="5"/>
      <c r="D22" s="69"/>
      <c r="E22" s="9"/>
      <c r="F22" s="9"/>
      <c r="G22" s="9"/>
      <c r="H22" s="9"/>
      <c r="I22" s="9"/>
      <c r="J22" s="11"/>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row>
    <row r="23" ht="15.75" customHeight="1">
      <c r="A23" s="5"/>
      <c r="B23" s="5"/>
      <c r="C23" s="5"/>
      <c r="D23" s="69"/>
      <c r="E23" s="9"/>
      <c r="F23" s="9"/>
      <c r="G23" s="9"/>
      <c r="H23" s="9"/>
      <c r="I23" s="9"/>
      <c r="J23" s="11"/>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row>
    <row r="24" ht="15.75" customHeight="1">
      <c r="A24" s="5"/>
      <c r="B24" s="5"/>
      <c r="C24" s="5"/>
      <c r="D24" s="69"/>
      <c r="E24" s="9"/>
      <c r="F24" s="9"/>
      <c r="G24" s="9"/>
      <c r="H24" s="9"/>
      <c r="I24" s="9"/>
      <c r="J24" s="11"/>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row>
    <row r="25" ht="15.75" customHeight="1">
      <c r="A25" s="5"/>
      <c r="B25" s="5"/>
      <c r="C25" s="5"/>
      <c r="D25" s="69"/>
      <c r="E25" s="9"/>
      <c r="F25" s="9"/>
      <c r="G25" s="9"/>
      <c r="H25" s="9"/>
      <c r="I25" s="9"/>
      <c r="J25" s="11"/>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row>
    <row r="26" ht="15.75" customHeight="1">
      <c r="A26" s="5"/>
      <c r="B26" s="5"/>
      <c r="C26" s="5"/>
      <c r="D26" s="69"/>
      <c r="E26" s="9"/>
      <c r="F26" s="9"/>
      <c r="G26" s="9"/>
      <c r="H26" s="9"/>
      <c r="I26" s="9"/>
      <c r="J26" s="11"/>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row>
    <row r="27" ht="15.75" customHeight="1">
      <c r="A27" s="5"/>
      <c r="B27" s="5"/>
      <c r="C27" s="5"/>
      <c r="D27" s="69"/>
      <c r="E27" s="9"/>
      <c r="F27" s="9"/>
      <c r="G27" s="9"/>
      <c r="H27" s="9"/>
      <c r="I27" s="9"/>
      <c r="J27" s="11"/>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row>
    <row r="28" ht="15.75" customHeight="1">
      <c r="A28" s="5"/>
      <c r="B28" s="5"/>
      <c r="C28" s="5"/>
      <c r="D28" s="69"/>
      <c r="E28" s="9"/>
      <c r="F28" s="9"/>
      <c r="G28" s="9"/>
      <c r="H28" s="9"/>
      <c r="I28" s="9"/>
      <c r="J28" s="11"/>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row>
    <row r="29" ht="15.75" customHeight="1">
      <c r="A29" s="5"/>
      <c r="B29" s="5"/>
      <c r="C29" s="5"/>
      <c r="D29" s="69"/>
      <c r="E29" s="9"/>
      <c r="F29" s="9"/>
      <c r="G29" s="9"/>
      <c r="H29" s="9"/>
      <c r="I29" s="9"/>
      <c r="J29" s="11"/>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row>
    <row r="30" ht="15.75" customHeight="1">
      <c r="A30" s="5"/>
      <c r="B30" s="5"/>
      <c r="C30" s="5"/>
      <c r="D30" s="69"/>
      <c r="E30" s="9"/>
      <c r="F30" s="9"/>
      <c r="G30" s="9"/>
      <c r="H30" s="9"/>
      <c r="I30" s="9"/>
      <c r="J30" s="11"/>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row>
    <row r="31" ht="15.75" customHeight="1">
      <c r="A31" s="5"/>
      <c r="B31" s="5"/>
      <c r="C31" s="5"/>
      <c r="D31" s="69"/>
      <c r="E31" s="9"/>
      <c r="F31" s="9"/>
      <c r="G31" s="9"/>
      <c r="H31" s="9"/>
      <c r="I31" s="9"/>
      <c r="J31" s="11"/>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row>
    <row r="32" ht="15.75" customHeight="1">
      <c r="A32" s="5"/>
      <c r="B32" s="5"/>
      <c r="C32" s="5"/>
      <c r="D32" s="69"/>
      <c r="E32" s="9"/>
      <c r="F32" s="9"/>
      <c r="G32" s="9"/>
      <c r="H32" s="9"/>
      <c r="I32" s="9"/>
      <c r="J32" s="11"/>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row>
    <row r="33" ht="15.75" customHeight="1">
      <c r="A33" s="5"/>
      <c r="B33" s="5"/>
      <c r="C33" s="5"/>
      <c r="D33" s="69"/>
      <c r="E33" s="9"/>
      <c r="F33" s="9"/>
      <c r="G33" s="9"/>
      <c r="H33" s="9"/>
      <c r="I33" s="9"/>
      <c r="J33" s="11"/>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row>
    <row r="34" ht="15.75" customHeight="1">
      <c r="A34" s="5"/>
      <c r="B34" s="5"/>
      <c r="C34" s="5"/>
      <c r="D34" s="69"/>
      <c r="E34" s="9"/>
      <c r="F34" s="9"/>
      <c r="G34" s="9"/>
      <c r="H34" s="9"/>
      <c r="I34" s="9"/>
      <c r="J34" s="11"/>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row>
    <row r="35" ht="15.75" customHeight="1">
      <c r="A35" s="5"/>
      <c r="B35" s="5"/>
      <c r="C35" s="5"/>
      <c r="D35" s="69"/>
      <c r="E35" s="9"/>
      <c r="F35" s="9"/>
      <c r="G35" s="9"/>
      <c r="H35" s="9"/>
      <c r="I35" s="9"/>
      <c r="J35" s="11"/>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row>
    <row r="36" ht="15.75" customHeight="1">
      <c r="A36" s="5"/>
      <c r="B36" s="5"/>
      <c r="C36" s="5"/>
      <c r="D36" s="69"/>
      <c r="E36" s="9"/>
      <c r="F36" s="9"/>
      <c r="G36" s="9"/>
      <c r="H36" s="9"/>
      <c r="I36" s="9"/>
      <c r="J36" s="11"/>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row>
    <row r="37" ht="15.75" customHeight="1">
      <c r="A37" s="5"/>
      <c r="B37" s="5"/>
      <c r="C37" s="5"/>
      <c r="D37" s="69"/>
      <c r="E37" s="9"/>
      <c r="F37" s="9"/>
      <c r="G37" s="9"/>
      <c r="H37" s="9"/>
      <c r="I37" s="9"/>
      <c r="J37" s="11"/>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row>
    <row r="38" ht="15.75" customHeight="1">
      <c r="A38" s="5"/>
      <c r="B38" s="5"/>
      <c r="C38" s="5"/>
      <c r="D38" s="69"/>
      <c r="E38" s="9"/>
      <c r="F38" s="9"/>
      <c r="G38" s="9"/>
      <c r="H38" s="9"/>
      <c r="I38" s="9"/>
      <c r="J38" s="11"/>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row>
    <row r="39" ht="15.75" customHeight="1">
      <c r="A39" s="5"/>
      <c r="B39" s="5"/>
      <c r="C39" s="5"/>
      <c r="D39" s="69"/>
      <c r="E39" s="9"/>
      <c r="F39" s="9"/>
      <c r="G39" s="9"/>
      <c r="H39" s="9"/>
      <c r="I39" s="9"/>
      <c r="J39" s="11"/>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row>
    <row r="40" ht="15.75" customHeight="1">
      <c r="A40" s="5"/>
      <c r="B40" s="5"/>
      <c r="C40" s="5"/>
      <c r="D40" s="69"/>
      <c r="E40" s="9"/>
      <c r="F40" s="9"/>
      <c r="G40" s="9"/>
      <c r="H40" s="9"/>
      <c r="I40" s="9"/>
      <c r="J40" s="11"/>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row>
    <row r="41" ht="15.75" customHeight="1">
      <c r="A41" s="5"/>
      <c r="B41" s="5"/>
      <c r="C41" s="5"/>
      <c r="D41" s="69"/>
      <c r="E41" s="9"/>
      <c r="F41" s="9"/>
      <c r="G41" s="9"/>
      <c r="H41" s="9"/>
      <c r="I41" s="9"/>
      <c r="J41" s="11"/>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row>
    <row r="42" ht="15.75" customHeight="1">
      <c r="A42" s="5"/>
      <c r="B42" s="5"/>
      <c r="C42" s="5"/>
      <c r="D42" s="69"/>
      <c r="E42" s="9"/>
      <c r="F42" s="9"/>
      <c r="G42" s="9"/>
      <c r="H42" s="9"/>
      <c r="I42" s="9"/>
      <c r="J42" s="11"/>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row>
    <row r="43" ht="15.75" customHeight="1">
      <c r="A43" s="5"/>
      <c r="B43" s="5"/>
      <c r="C43" s="5"/>
      <c r="D43" s="69"/>
      <c r="E43" s="9"/>
      <c r="F43" s="9"/>
      <c r="G43" s="9"/>
      <c r="H43" s="9"/>
      <c r="I43" s="9"/>
      <c r="J43" s="11"/>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row>
    <row r="44" ht="15.75" customHeight="1">
      <c r="A44" s="5"/>
      <c r="B44" s="5"/>
      <c r="C44" s="5"/>
      <c r="D44" s="69"/>
      <c r="E44" s="9"/>
      <c r="F44" s="9"/>
      <c r="G44" s="9"/>
      <c r="H44" s="9"/>
      <c r="I44" s="9"/>
      <c r="J44" s="11"/>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row>
    <row r="45" ht="15.75" customHeight="1">
      <c r="A45" s="5"/>
      <c r="B45" s="5"/>
      <c r="C45" s="5"/>
      <c r="D45" s="69"/>
      <c r="E45" s="9"/>
      <c r="F45" s="9"/>
      <c r="G45" s="9"/>
      <c r="H45" s="9"/>
      <c r="I45" s="9"/>
      <c r="J45" s="11"/>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row>
    <row r="46" ht="15.75" customHeight="1">
      <c r="A46" s="5"/>
      <c r="B46" s="5"/>
      <c r="C46" s="5"/>
      <c r="D46" s="69"/>
      <c r="E46" s="9"/>
      <c r="F46" s="9"/>
      <c r="G46" s="9"/>
      <c r="H46" s="9"/>
      <c r="I46" s="9"/>
      <c r="J46" s="11"/>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row>
    <row r="47" ht="15.75" customHeight="1">
      <c r="A47" s="5"/>
      <c r="B47" s="5"/>
      <c r="C47" s="5"/>
      <c r="D47" s="69"/>
      <c r="E47" s="9"/>
      <c r="F47" s="9"/>
      <c r="G47" s="9"/>
      <c r="H47" s="9"/>
      <c r="I47" s="9"/>
      <c r="J47" s="11"/>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row>
    <row r="48" ht="15.75" customHeight="1">
      <c r="A48" s="5"/>
      <c r="B48" s="5"/>
      <c r="C48" s="5"/>
      <c r="D48" s="69"/>
      <c r="E48" s="9"/>
      <c r="F48" s="9"/>
      <c r="G48" s="9"/>
      <c r="H48" s="9"/>
      <c r="I48" s="9"/>
      <c r="J48" s="11"/>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row>
    <row r="49" ht="15.75" customHeight="1">
      <c r="A49" s="5"/>
      <c r="B49" s="5"/>
      <c r="C49" s="5"/>
      <c r="D49" s="69"/>
      <c r="E49" s="9"/>
      <c r="F49" s="9"/>
      <c r="G49" s="9"/>
      <c r="H49" s="9"/>
      <c r="I49" s="9"/>
      <c r="J49" s="11"/>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row>
    <row r="50" ht="15.75" customHeight="1">
      <c r="A50" s="5"/>
      <c r="B50" s="5"/>
      <c r="C50" s="5"/>
      <c r="D50" s="69"/>
      <c r="E50" s="9"/>
      <c r="F50" s="9"/>
      <c r="G50" s="9"/>
      <c r="H50" s="9"/>
      <c r="I50" s="9"/>
      <c r="J50" s="11"/>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ht="15.75" customHeight="1">
      <c r="A51" s="5"/>
      <c r="B51" s="5"/>
      <c r="C51" s="5"/>
      <c r="D51" s="69"/>
      <c r="E51" s="9"/>
      <c r="F51" s="9"/>
      <c r="G51" s="9"/>
      <c r="H51" s="9"/>
      <c r="I51" s="9"/>
      <c r="J51" s="11"/>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ht="15.75" customHeight="1">
      <c r="A52" s="5"/>
      <c r="B52" s="5"/>
      <c r="C52" s="5"/>
      <c r="D52" s="69"/>
      <c r="E52" s="9"/>
      <c r="F52" s="9"/>
      <c r="G52" s="9"/>
      <c r="H52" s="9"/>
      <c r="I52" s="9"/>
      <c r="J52" s="11"/>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ht="15.75" customHeight="1">
      <c r="A53" s="5"/>
      <c r="B53" s="5"/>
      <c r="C53" s="5"/>
      <c r="D53" s="69"/>
      <c r="E53" s="9"/>
      <c r="F53" s="9"/>
      <c r="G53" s="9"/>
      <c r="H53" s="9"/>
      <c r="I53" s="9"/>
      <c r="J53" s="11"/>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ht="15.75" customHeight="1">
      <c r="A54" s="5"/>
      <c r="B54" s="5"/>
      <c r="C54" s="5"/>
      <c r="D54" s="69"/>
      <c r="E54" s="9"/>
      <c r="F54" s="9"/>
      <c r="G54" s="9"/>
      <c r="H54" s="9"/>
      <c r="I54" s="9"/>
      <c r="J54" s="11"/>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row>
    <row r="55" ht="15.75" customHeight="1">
      <c r="A55" s="5"/>
      <c r="B55" s="5"/>
      <c r="C55" s="5"/>
      <c r="D55" s="69"/>
      <c r="E55" s="9"/>
      <c r="F55" s="9"/>
      <c r="G55" s="9"/>
      <c r="H55" s="9"/>
      <c r="I55" s="9"/>
      <c r="J55" s="11"/>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row>
    <row r="56" ht="15.75" customHeight="1">
      <c r="A56" s="5"/>
      <c r="B56" s="5"/>
      <c r="C56" s="5"/>
      <c r="D56" s="69"/>
      <c r="E56" s="9"/>
      <c r="F56" s="9"/>
      <c r="G56" s="9"/>
      <c r="H56" s="9"/>
      <c r="I56" s="9"/>
      <c r="J56" s="11"/>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row>
    <row r="57" ht="15.75" customHeight="1">
      <c r="A57" s="5"/>
      <c r="B57" s="5"/>
      <c r="C57" s="5"/>
      <c r="D57" s="69"/>
      <c r="E57" s="9"/>
      <c r="F57" s="9"/>
      <c r="G57" s="9"/>
      <c r="H57" s="9"/>
      <c r="I57" s="9"/>
      <c r="J57" s="11"/>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ht="15.75" customHeight="1">
      <c r="A58" s="5"/>
      <c r="B58" s="5"/>
      <c r="C58" s="5"/>
      <c r="D58" s="69"/>
      <c r="E58" s="9"/>
      <c r="F58" s="9"/>
      <c r="G58" s="9"/>
      <c r="H58" s="9"/>
      <c r="I58" s="9"/>
      <c r="J58" s="11"/>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row>
    <row r="59" ht="15.75" customHeight="1">
      <c r="A59" s="5"/>
      <c r="B59" s="5"/>
      <c r="C59" s="5"/>
      <c r="D59" s="69"/>
      <c r="E59" s="9"/>
      <c r="F59" s="9"/>
      <c r="G59" s="9"/>
      <c r="H59" s="9"/>
      <c r="I59" s="9"/>
      <c r="J59" s="11"/>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row>
    <row r="60" ht="15.75" customHeight="1">
      <c r="A60" s="5"/>
      <c r="B60" s="5"/>
      <c r="C60" s="5"/>
      <c r="D60" s="69"/>
      <c r="E60" s="9"/>
      <c r="F60" s="9"/>
      <c r="G60" s="9"/>
      <c r="H60" s="9"/>
      <c r="I60" s="9"/>
      <c r="J60" s="11"/>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row>
    <row r="61" ht="15.75" customHeight="1">
      <c r="A61" s="5"/>
      <c r="B61" s="5"/>
      <c r="C61" s="5"/>
      <c r="D61" s="69"/>
      <c r="E61" s="9"/>
      <c r="F61" s="9"/>
      <c r="G61" s="9"/>
      <c r="H61" s="9"/>
      <c r="I61" s="9"/>
      <c r="J61" s="11"/>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row>
    <row r="62" ht="15.75" customHeight="1">
      <c r="A62" s="5"/>
      <c r="B62" s="5"/>
      <c r="C62" s="5"/>
      <c r="D62" s="69"/>
      <c r="E62" s="9"/>
      <c r="F62" s="9"/>
      <c r="G62" s="9"/>
      <c r="H62" s="9"/>
      <c r="I62" s="9"/>
      <c r="J62" s="11"/>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row>
    <row r="63" ht="15.75" customHeight="1">
      <c r="A63" s="5"/>
      <c r="B63" s="5"/>
      <c r="C63" s="5"/>
      <c r="D63" s="69"/>
      <c r="E63" s="9"/>
      <c r="F63" s="9"/>
      <c r="G63" s="9"/>
      <c r="H63" s="9"/>
      <c r="I63" s="9"/>
      <c r="J63" s="11"/>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row>
    <row r="64" ht="15.75" customHeight="1">
      <c r="A64" s="5"/>
      <c r="B64" s="5"/>
      <c r="C64" s="5"/>
      <c r="D64" s="69"/>
      <c r="E64" s="9"/>
      <c r="F64" s="9"/>
      <c r="G64" s="9"/>
      <c r="H64" s="9"/>
      <c r="I64" s="9"/>
      <c r="J64" s="11"/>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row>
    <row r="65" ht="15.75" customHeight="1">
      <c r="A65" s="5"/>
      <c r="B65" s="5"/>
      <c r="C65" s="5"/>
      <c r="D65" s="69"/>
      <c r="E65" s="9"/>
      <c r="F65" s="9"/>
      <c r="G65" s="9"/>
      <c r="H65" s="9"/>
      <c r="I65" s="9"/>
      <c r="J65" s="11"/>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row>
    <row r="66" ht="15.75" customHeight="1">
      <c r="A66" s="5"/>
      <c r="B66" s="5"/>
      <c r="C66" s="5"/>
      <c r="D66" s="69"/>
      <c r="E66" s="9"/>
      <c r="F66" s="9"/>
      <c r="G66" s="9"/>
      <c r="H66" s="9"/>
      <c r="I66" s="9"/>
      <c r="J66" s="11"/>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row>
    <row r="67" ht="15.75" customHeight="1">
      <c r="A67" s="5"/>
      <c r="B67" s="5"/>
      <c r="C67" s="5"/>
      <c r="D67" s="69"/>
      <c r="E67" s="9"/>
      <c r="F67" s="9"/>
      <c r="G67" s="9"/>
      <c r="H67" s="9"/>
      <c r="I67" s="9"/>
      <c r="J67" s="11"/>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row>
    <row r="68" ht="15.75" customHeight="1">
      <c r="A68" s="5"/>
      <c r="B68" s="5"/>
      <c r="C68" s="5"/>
      <c r="D68" s="69"/>
      <c r="E68" s="9"/>
      <c r="F68" s="9"/>
      <c r="G68" s="9"/>
      <c r="H68" s="9"/>
      <c r="I68" s="9"/>
      <c r="J68" s="11"/>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row>
    <row r="69" ht="15.75" customHeight="1">
      <c r="A69" s="5"/>
      <c r="B69" s="5"/>
      <c r="C69" s="5"/>
      <c r="D69" s="69"/>
      <c r="E69" s="9"/>
      <c r="F69" s="9"/>
      <c r="G69" s="9"/>
      <c r="H69" s="9"/>
      <c r="I69" s="9"/>
      <c r="J69" s="11"/>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row>
    <row r="70" ht="15.75" customHeight="1">
      <c r="A70" s="5"/>
      <c r="B70" s="5"/>
      <c r="C70" s="5"/>
      <c r="D70" s="69"/>
      <c r="E70" s="9"/>
      <c r="F70" s="9"/>
      <c r="G70" s="9"/>
      <c r="H70" s="9"/>
      <c r="I70" s="9"/>
      <c r="J70" s="11"/>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row>
    <row r="71" ht="15.75" customHeight="1">
      <c r="A71" s="5"/>
      <c r="B71" s="5"/>
      <c r="C71" s="5"/>
      <c r="D71" s="69"/>
      <c r="E71" s="9"/>
      <c r="F71" s="9"/>
      <c r="G71" s="9"/>
      <c r="H71" s="9"/>
      <c r="I71" s="9"/>
      <c r="J71" s="11"/>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row>
    <row r="72" ht="15.75" customHeight="1">
      <c r="A72" s="5"/>
      <c r="B72" s="5"/>
      <c r="C72" s="5"/>
      <c r="D72" s="69"/>
      <c r="E72" s="9"/>
      <c r="F72" s="9"/>
      <c r="G72" s="9"/>
      <c r="H72" s="9"/>
      <c r="I72" s="9"/>
      <c r="J72" s="11"/>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row>
    <row r="73" ht="15.75" customHeight="1">
      <c r="A73" s="5"/>
      <c r="B73" s="5"/>
      <c r="C73" s="5"/>
      <c r="D73" s="69"/>
      <c r="E73" s="9"/>
      <c r="F73" s="9"/>
      <c r="G73" s="9"/>
      <c r="H73" s="9"/>
      <c r="I73" s="9"/>
      <c r="J73" s="11"/>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row>
    <row r="74" ht="15.75" customHeight="1">
      <c r="A74" s="5"/>
      <c r="B74" s="5"/>
      <c r="C74" s="5"/>
      <c r="D74" s="69"/>
      <c r="E74" s="9"/>
      <c r="F74" s="9"/>
      <c r="G74" s="9"/>
      <c r="H74" s="9"/>
      <c r="I74" s="9"/>
      <c r="J74" s="11"/>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row>
    <row r="75" ht="15.75" customHeight="1">
      <c r="A75" s="5"/>
      <c r="B75" s="5"/>
      <c r="C75" s="5"/>
      <c r="D75" s="69"/>
      <c r="E75" s="9"/>
      <c r="F75" s="9"/>
      <c r="G75" s="9"/>
      <c r="H75" s="9"/>
      <c r="I75" s="9"/>
      <c r="J75" s="11"/>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row>
    <row r="76" ht="15.75" customHeight="1">
      <c r="A76" s="5"/>
      <c r="B76" s="5"/>
      <c r="C76" s="5"/>
      <c r="D76" s="69"/>
      <c r="E76" s="9"/>
      <c r="F76" s="9"/>
      <c r="G76" s="9"/>
      <c r="H76" s="9"/>
      <c r="I76" s="9"/>
      <c r="J76" s="11"/>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row>
    <row r="77" ht="15.75" customHeight="1">
      <c r="A77" s="5"/>
      <c r="B77" s="5"/>
      <c r="C77" s="5"/>
      <c r="D77" s="69"/>
      <c r="E77" s="9"/>
      <c r="F77" s="9"/>
      <c r="G77" s="9"/>
      <c r="H77" s="9"/>
      <c r="I77" s="9"/>
      <c r="J77" s="11"/>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row>
    <row r="78" ht="15.75" customHeight="1">
      <c r="A78" s="5"/>
      <c r="B78" s="5"/>
      <c r="C78" s="5"/>
      <c r="D78" s="69"/>
      <c r="E78" s="9"/>
      <c r="F78" s="9"/>
      <c r="G78" s="9"/>
      <c r="H78" s="9"/>
      <c r="I78" s="9"/>
      <c r="J78" s="11"/>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row>
    <row r="79" ht="15.75" customHeight="1">
      <c r="A79" s="5"/>
      <c r="B79" s="5"/>
      <c r="C79" s="5"/>
      <c r="D79" s="69"/>
      <c r="E79" s="9"/>
      <c r="F79" s="9"/>
      <c r="G79" s="9"/>
      <c r="H79" s="9"/>
      <c r="I79" s="9"/>
      <c r="J79" s="11"/>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row>
    <row r="80" ht="15.75" customHeight="1">
      <c r="A80" s="5"/>
      <c r="B80" s="5"/>
      <c r="C80" s="5"/>
      <c r="D80" s="69"/>
      <c r="E80" s="9"/>
      <c r="F80" s="9"/>
      <c r="G80" s="9"/>
      <c r="H80" s="9"/>
      <c r="I80" s="9"/>
      <c r="J80" s="11"/>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row>
    <row r="81" ht="15.75" customHeight="1">
      <c r="A81" s="5"/>
      <c r="B81" s="5"/>
      <c r="C81" s="5"/>
      <c r="D81" s="69"/>
      <c r="E81" s="9"/>
      <c r="F81" s="9"/>
      <c r="G81" s="9"/>
      <c r="H81" s="9"/>
      <c r="I81" s="9"/>
      <c r="J81" s="11"/>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row>
    <row r="82" ht="15.75" customHeight="1">
      <c r="A82" s="5"/>
      <c r="B82" s="5"/>
      <c r="C82" s="5"/>
      <c r="D82" s="69"/>
      <c r="E82" s="9"/>
      <c r="F82" s="9"/>
      <c r="G82" s="9"/>
      <c r="H82" s="9"/>
      <c r="I82" s="9"/>
      <c r="J82" s="11"/>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row>
    <row r="83" ht="15.75" customHeight="1">
      <c r="A83" s="5"/>
      <c r="B83" s="5"/>
      <c r="C83" s="5"/>
      <c r="D83" s="69"/>
      <c r="E83" s="9"/>
      <c r="F83" s="9"/>
      <c r="G83" s="9"/>
      <c r="H83" s="9"/>
      <c r="I83" s="9"/>
      <c r="J83" s="11"/>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row>
    <row r="84" ht="15.75" customHeight="1">
      <c r="A84" s="5"/>
      <c r="B84" s="5"/>
      <c r="C84" s="5"/>
      <c r="D84" s="69"/>
      <c r="E84" s="9"/>
      <c r="F84" s="9"/>
      <c r="G84" s="9"/>
      <c r="H84" s="9"/>
      <c r="I84" s="9"/>
      <c r="J84" s="11"/>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row>
    <row r="85" ht="15.75" customHeight="1">
      <c r="A85" s="5"/>
      <c r="B85" s="5"/>
      <c r="C85" s="5"/>
      <c r="D85" s="69"/>
      <c r="E85" s="9"/>
      <c r="F85" s="9"/>
      <c r="G85" s="9"/>
      <c r="H85" s="9"/>
      <c r="I85" s="9"/>
      <c r="J85" s="11"/>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row>
    <row r="86" ht="15.75" customHeight="1">
      <c r="A86" s="5"/>
      <c r="B86" s="5"/>
      <c r="C86" s="5"/>
      <c r="D86" s="69"/>
      <c r="E86" s="9"/>
      <c r="F86" s="9"/>
      <c r="G86" s="9"/>
      <c r="H86" s="9"/>
      <c r="I86" s="9"/>
      <c r="J86" s="11"/>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row>
    <row r="87" ht="15.75" customHeight="1">
      <c r="A87" s="5"/>
      <c r="B87" s="5"/>
      <c r="C87" s="5"/>
      <c r="D87" s="69"/>
      <c r="E87" s="9"/>
      <c r="F87" s="9"/>
      <c r="G87" s="9"/>
      <c r="H87" s="9"/>
      <c r="I87" s="9"/>
      <c r="J87" s="11"/>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row>
    <row r="88" ht="15.75" customHeight="1">
      <c r="A88" s="5"/>
      <c r="B88" s="5"/>
      <c r="C88" s="5"/>
      <c r="D88" s="69"/>
      <c r="E88" s="9"/>
      <c r="F88" s="9"/>
      <c r="G88" s="9"/>
      <c r="H88" s="9"/>
      <c r="I88" s="9"/>
      <c r="J88" s="11"/>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row>
    <row r="89" ht="15.75" customHeight="1">
      <c r="A89" s="5"/>
      <c r="B89" s="5"/>
      <c r="C89" s="5"/>
      <c r="D89" s="69"/>
      <c r="E89" s="9"/>
      <c r="F89" s="9"/>
      <c r="G89" s="9"/>
      <c r="H89" s="9"/>
      <c r="I89" s="9"/>
      <c r="J89" s="11"/>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row>
    <row r="90" ht="15.75" customHeight="1">
      <c r="A90" s="5"/>
      <c r="B90" s="5"/>
      <c r="C90" s="5"/>
      <c r="D90" s="69"/>
      <c r="E90" s="9"/>
      <c r="F90" s="9"/>
      <c r="G90" s="9"/>
      <c r="H90" s="9"/>
      <c r="I90" s="9"/>
      <c r="J90" s="11"/>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row>
    <row r="91" ht="15.75" customHeight="1">
      <c r="A91" s="5"/>
      <c r="B91" s="5"/>
      <c r="C91" s="5"/>
      <c r="D91" s="69"/>
      <c r="E91" s="9"/>
      <c r="F91" s="9"/>
      <c r="G91" s="9"/>
      <c r="H91" s="9"/>
      <c r="I91" s="9"/>
      <c r="J91" s="11"/>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row>
    <row r="92" ht="15.75" customHeight="1">
      <c r="A92" s="5"/>
      <c r="B92" s="5"/>
      <c r="C92" s="5"/>
      <c r="D92" s="69"/>
      <c r="E92" s="9"/>
      <c r="F92" s="9"/>
      <c r="G92" s="9"/>
      <c r="H92" s="9"/>
      <c r="I92" s="9"/>
      <c r="J92" s="11"/>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row>
    <row r="93" ht="15.75" customHeight="1">
      <c r="A93" s="5"/>
      <c r="B93" s="5"/>
      <c r="C93" s="5"/>
      <c r="D93" s="69"/>
      <c r="E93" s="9"/>
      <c r="F93" s="9"/>
      <c r="G93" s="9"/>
      <c r="H93" s="9"/>
      <c r="I93" s="9"/>
      <c r="J93" s="11"/>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row>
    <row r="94" ht="15.75" customHeight="1">
      <c r="A94" s="5"/>
      <c r="B94" s="5"/>
      <c r="C94" s="5"/>
      <c r="D94" s="69"/>
      <c r="E94" s="9"/>
      <c r="F94" s="9"/>
      <c r="G94" s="9"/>
      <c r="H94" s="9"/>
      <c r="I94" s="9"/>
      <c r="J94" s="11"/>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row>
    <row r="95" ht="15.75" customHeight="1">
      <c r="A95" s="5"/>
      <c r="B95" s="5"/>
      <c r="C95" s="5"/>
      <c r="D95" s="69"/>
      <c r="E95" s="9"/>
      <c r="F95" s="9"/>
      <c r="G95" s="9"/>
      <c r="H95" s="9"/>
      <c r="I95" s="9"/>
      <c r="J95" s="11"/>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row>
    <row r="96" ht="15.75" customHeight="1">
      <c r="A96" s="5"/>
      <c r="B96" s="5"/>
      <c r="C96" s="5"/>
      <c r="D96" s="69"/>
      <c r="E96" s="9"/>
      <c r="F96" s="9"/>
      <c r="G96" s="9"/>
      <c r="H96" s="9"/>
      <c r="I96" s="9"/>
      <c r="J96" s="11"/>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row>
    <row r="97" ht="15.75" customHeight="1">
      <c r="A97" s="5"/>
      <c r="B97" s="5"/>
      <c r="C97" s="5"/>
      <c r="D97" s="69"/>
      <c r="E97" s="9"/>
      <c r="F97" s="9"/>
      <c r="G97" s="9"/>
      <c r="H97" s="9"/>
      <c r="I97" s="9"/>
      <c r="J97" s="11"/>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row>
    <row r="98" ht="15.75" customHeight="1">
      <c r="A98" s="5"/>
      <c r="B98" s="5"/>
      <c r="C98" s="5"/>
      <c r="D98" s="69"/>
      <c r="E98" s="9"/>
      <c r="F98" s="9"/>
      <c r="G98" s="9"/>
      <c r="H98" s="9"/>
      <c r="I98" s="9"/>
      <c r="J98" s="11"/>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row>
    <row r="99" ht="15.75" customHeight="1">
      <c r="A99" s="5"/>
      <c r="B99" s="5"/>
      <c r="C99" s="5"/>
      <c r="D99" s="69"/>
      <c r="E99" s="9"/>
      <c r="F99" s="9"/>
      <c r="G99" s="9"/>
      <c r="H99" s="9"/>
      <c r="I99" s="9"/>
      <c r="J99" s="11"/>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row>
    <row r="100" ht="15.75" customHeight="1">
      <c r="A100" s="5"/>
      <c r="B100" s="5"/>
      <c r="C100" s="5"/>
      <c r="D100" s="69"/>
      <c r="E100" s="9"/>
      <c r="F100" s="9"/>
      <c r="G100" s="9"/>
      <c r="H100" s="9"/>
      <c r="I100" s="9"/>
      <c r="J100" s="11"/>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row>
    <row r="101" ht="15.75" customHeight="1">
      <c r="A101" s="5"/>
      <c r="B101" s="5"/>
      <c r="C101" s="5"/>
      <c r="D101" s="69"/>
      <c r="E101" s="9"/>
      <c r="F101" s="9"/>
      <c r="G101" s="9"/>
      <c r="H101" s="9"/>
      <c r="I101" s="9"/>
      <c r="J101" s="11"/>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row>
    <row r="102" ht="15.75" customHeight="1">
      <c r="A102" s="5"/>
      <c r="B102" s="5"/>
      <c r="C102" s="5"/>
      <c r="D102" s="69"/>
      <c r="E102" s="9"/>
      <c r="F102" s="9"/>
      <c r="G102" s="9"/>
      <c r="H102" s="9"/>
      <c r="I102" s="9"/>
      <c r="J102" s="11"/>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row>
    <row r="103" ht="15.75" customHeight="1">
      <c r="A103" s="5"/>
      <c r="B103" s="5"/>
      <c r="C103" s="5"/>
      <c r="D103" s="69"/>
      <c r="E103" s="9"/>
      <c r="F103" s="9"/>
      <c r="G103" s="9"/>
      <c r="H103" s="9"/>
      <c r="I103" s="9"/>
      <c r="J103" s="11"/>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ht="15.75" customHeight="1">
      <c r="A104" s="5"/>
      <c r="B104" s="5"/>
      <c r="C104" s="5"/>
      <c r="D104" s="69"/>
      <c r="E104" s="9"/>
      <c r="F104" s="9"/>
      <c r="G104" s="9"/>
      <c r="H104" s="9"/>
      <c r="I104" s="9"/>
      <c r="J104" s="11"/>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ht="15.75" customHeight="1">
      <c r="A105" s="5"/>
      <c r="B105" s="5"/>
      <c r="C105" s="5"/>
      <c r="D105" s="69"/>
      <c r="E105" s="9"/>
      <c r="F105" s="9"/>
      <c r="G105" s="9"/>
      <c r="H105" s="9"/>
      <c r="I105" s="9"/>
      <c r="J105" s="11"/>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ht="15.75" customHeight="1">
      <c r="A106" s="5"/>
      <c r="B106" s="5"/>
      <c r="C106" s="5"/>
      <c r="D106" s="69"/>
      <c r="E106" s="9"/>
      <c r="F106" s="9"/>
      <c r="G106" s="9"/>
      <c r="H106" s="9"/>
      <c r="I106" s="9"/>
      <c r="J106" s="11"/>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ht="15.75" customHeight="1">
      <c r="A107" s="5"/>
      <c r="B107" s="5"/>
      <c r="C107" s="5"/>
      <c r="D107" s="69"/>
      <c r="E107" s="9"/>
      <c r="F107" s="9"/>
      <c r="G107" s="9"/>
      <c r="H107" s="9"/>
      <c r="I107" s="9"/>
      <c r="J107" s="11"/>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ht="15.75" customHeight="1">
      <c r="A108" s="5"/>
      <c r="B108" s="5"/>
      <c r="C108" s="5"/>
      <c r="D108" s="69"/>
      <c r="E108" s="9"/>
      <c r="F108" s="9"/>
      <c r="G108" s="9"/>
      <c r="H108" s="9"/>
      <c r="I108" s="9"/>
      <c r="J108" s="11"/>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ht="15.75" customHeight="1">
      <c r="A109" s="5"/>
      <c r="B109" s="5"/>
      <c r="C109" s="5"/>
      <c r="D109" s="69"/>
      <c r="E109" s="9"/>
      <c r="F109" s="9"/>
      <c r="G109" s="9"/>
      <c r="H109" s="9"/>
      <c r="I109" s="9"/>
      <c r="J109" s="11"/>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ht="15.75" customHeight="1">
      <c r="A110" s="5"/>
      <c r="B110" s="5"/>
      <c r="C110" s="5"/>
      <c r="D110" s="69"/>
      <c r="E110" s="9"/>
      <c r="F110" s="9"/>
      <c r="G110" s="9"/>
      <c r="H110" s="9"/>
      <c r="I110" s="9"/>
      <c r="J110" s="11"/>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ht="15.75" customHeight="1">
      <c r="A111" s="5"/>
      <c r="B111" s="5"/>
      <c r="C111" s="5"/>
      <c r="D111" s="69"/>
      <c r="E111" s="9"/>
      <c r="F111" s="9"/>
      <c r="G111" s="9"/>
      <c r="H111" s="9"/>
      <c r="I111" s="9"/>
      <c r="J111" s="11"/>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ht="15.75" customHeight="1">
      <c r="A112" s="5"/>
      <c r="B112" s="5"/>
      <c r="C112" s="5"/>
      <c r="D112" s="69"/>
      <c r="E112" s="9"/>
      <c r="F112" s="9"/>
      <c r="G112" s="9"/>
      <c r="H112" s="9"/>
      <c r="I112" s="9"/>
      <c r="J112" s="11"/>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ht="15.75" customHeight="1">
      <c r="A113" s="5"/>
      <c r="B113" s="5"/>
      <c r="C113" s="5"/>
      <c r="D113" s="69"/>
      <c r="E113" s="9"/>
      <c r="F113" s="9"/>
      <c r="G113" s="9"/>
      <c r="H113" s="9"/>
      <c r="I113" s="9"/>
      <c r="J113" s="11"/>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ht="15.75" customHeight="1">
      <c r="A114" s="5"/>
      <c r="B114" s="5"/>
      <c r="C114" s="5"/>
      <c r="D114" s="69"/>
      <c r="E114" s="9"/>
      <c r="F114" s="9"/>
      <c r="G114" s="9"/>
      <c r="H114" s="9"/>
      <c r="I114" s="9"/>
      <c r="J114" s="11"/>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ht="15.75" customHeight="1">
      <c r="A115" s="5"/>
      <c r="B115" s="5"/>
      <c r="C115" s="5"/>
      <c r="D115" s="69"/>
      <c r="E115" s="9"/>
      <c r="F115" s="9"/>
      <c r="G115" s="9"/>
      <c r="H115" s="9"/>
      <c r="I115" s="9"/>
      <c r="J115" s="11"/>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ht="15.75" customHeight="1">
      <c r="A116" s="5"/>
      <c r="B116" s="5"/>
      <c r="C116" s="5"/>
      <c r="D116" s="69"/>
      <c r="E116" s="9"/>
      <c r="F116" s="9"/>
      <c r="G116" s="9"/>
      <c r="H116" s="9"/>
      <c r="I116" s="9"/>
      <c r="J116" s="11"/>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ht="15.75" customHeight="1">
      <c r="A117" s="5"/>
      <c r="B117" s="5"/>
      <c r="C117" s="5"/>
      <c r="D117" s="69"/>
      <c r="E117" s="9"/>
      <c r="F117" s="9"/>
      <c r="G117" s="9"/>
      <c r="H117" s="9"/>
      <c r="I117" s="9"/>
      <c r="J117" s="11"/>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ht="15.75" customHeight="1">
      <c r="A118" s="5"/>
      <c r="B118" s="5"/>
      <c r="C118" s="5"/>
      <c r="D118" s="69"/>
      <c r="E118" s="9"/>
      <c r="F118" s="9"/>
      <c r="G118" s="9"/>
      <c r="H118" s="9"/>
      <c r="I118" s="9"/>
      <c r="J118" s="11"/>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ht="15.75" customHeight="1">
      <c r="A119" s="5"/>
      <c r="B119" s="5"/>
      <c r="C119" s="5"/>
      <c r="D119" s="69"/>
      <c r="E119" s="9"/>
      <c r="F119" s="9"/>
      <c r="G119" s="9"/>
      <c r="H119" s="9"/>
      <c r="I119" s="9"/>
      <c r="J119" s="11"/>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ht="15.75" customHeight="1">
      <c r="A120" s="5"/>
      <c r="B120" s="5"/>
      <c r="C120" s="5"/>
      <c r="D120" s="69"/>
      <c r="E120" s="9"/>
      <c r="F120" s="9"/>
      <c r="G120" s="9"/>
      <c r="H120" s="9"/>
      <c r="I120" s="9"/>
      <c r="J120" s="11"/>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ht="15.75" customHeight="1">
      <c r="A121" s="5"/>
      <c r="B121" s="5"/>
      <c r="C121" s="5"/>
      <c r="D121" s="69"/>
      <c r="E121" s="9"/>
      <c r="F121" s="9"/>
      <c r="G121" s="9"/>
      <c r="H121" s="9"/>
      <c r="I121" s="9"/>
      <c r="J121" s="11"/>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ht="15.75" customHeight="1">
      <c r="A122" s="5"/>
      <c r="B122" s="5"/>
      <c r="C122" s="5"/>
      <c r="D122" s="69"/>
      <c r="E122" s="9"/>
      <c r="F122" s="9"/>
      <c r="G122" s="9"/>
      <c r="H122" s="9"/>
      <c r="I122" s="9"/>
      <c r="J122" s="11"/>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ht="15.75" customHeight="1">
      <c r="A123" s="5"/>
      <c r="B123" s="5"/>
      <c r="C123" s="5"/>
      <c r="D123" s="69"/>
      <c r="E123" s="9"/>
      <c r="F123" s="9"/>
      <c r="G123" s="9"/>
      <c r="H123" s="9"/>
      <c r="I123" s="9"/>
      <c r="J123" s="11"/>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ht="15.75" customHeight="1">
      <c r="A124" s="5"/>
      <c r="B124" s="5"/>
      <c r="C124" s="5"/>
      <c r="D124" s="69"/>
      <c r="E124" s="9"/>
      <c r="F124" s="9"/>
      <c r="G124" s="9"/>
      <c r="H124" s="9"/>
      <c r="I124" s="9"/>
      <c r="J124" s="11"/>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ht="15.75" customHeight="1">
      <c r="A125" s="5"/>
      <c r="B125" s="5"/>
      <c r="C125" s="5"/>
      <c r="D125" s="69"/>
      <c r="E125" s="9"/>
      <c r="F125" s="9"/>
      <c r="G125" s="9"/>
      <c r="H125" s="9"/>
      <c r="I125" s="9"/>
      <c r="J125" s="11"/>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ht="15.75" customHeight="1">
      <c r="A126" s="5"/>
      <c r="B126" s="5"/>
      <c r="C126" s="5"/>
      <c r="D126" s="69"/>
      <c r="E126" s="9"/>
      <c r="F126" s="9"/>
      <c r="G126" s="9"/>
      <c r="H126" s="9"/>
      <c r="I126" s="9"/>
      <c r="J126" s="11"/>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ht="15.75" customHeight="1">
      <c r="A127" s="5"/>
      <c r="B127" s="5"/>
      <c r="C127" s="5"/>
      <c r="D127" s="69"/>
      <c r="E127" s="9"/>
      <c r="F127" s="9"/>
      <c r="G127" s="9"/>
      <c r="H127" s="9"/>
      <c r="I127" s="9"/>
      <c r="J127" s="11"/>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ht="15.75" customHeight="1">
      <c r="A128" s="5"/>
      <c r="B128" s="5"/>
      <c r="C128" s="5"/>
      <c r="D128" s="69"/>
      <c r="E128" s="9"/>
      <c r="F128" s="9"/>
      <c r="G128" s="9"/>
      <c r="H128" s="9"/>
      <c r="I128" s="9"/>
      <c r="J128" s="11"/>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ht="15.75" customHeight="1">
      <c r="A129" s="5"/>
      <c r="B129" s="5"/>
      <c r="C129" s="5"/>
      <c r="D129" s="69"/>
      <c r="E129" s="9"/>
      <c r="F129" s="9"/>
      <c r="G129" s="9"/>
      <c r="H129" s="9"/>
      <c r="I129" s="9"/>
      <c r="J129" s="11"/>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ht="15.75" customHeight="1">
      <c r="A130" s="5"/>
      <c r="B130" s="5"/>
      <c r="C130" s="5"/>
      <c r="D130" s="69"/>
      <c r="E130" s="9"/>
      <c r="F130" s="9"/>
      <c r="G130" s="9"/>
      <c r="H130" s="9"/>
      <c r="I130" s="9"/>
      <c r="J130" s="11"/>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ht="15.75" customHeight="1">
      <c r="A131" s="5"/>
      <c r="B131" s="5"/>
      <c r="C131" s="5"/>
      <c r="D131" s="69"/>
      <c r="E131" s="9"/>
      <c r="F131" s="9"/>
      <c r="G131" s="9"/>
      <c r="H131" s="9"/>
      <c r="I131" s="9"/>
      <c r="J131" s="11"/>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ht="15.75" customHeight="1">
      <c r="A132" s="5"/>
      <c r="B132" s="5"/>
      <c r="C132" s="5"/>
      <c r="D132" s="69"/>
      <c r="E132" s="9"/>
      <c r="F132" s="9"/>
      <c r="G132" s="9"/>
      <c r="H132" s="9"/>
      <c r="I132" s="9"/>
      <c r="J132" s="11"/>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ht="15.75" customHeight="1">
      <c r="A133" s="5"/>
      <c r="B133" s="5"/>
      <c r="C133" s="5"/>
      <c r="D133" s="69"/>
      <c r="E133" s="9"/>
      <c r="F133" s="9"/>
      <c r="G133" s="9"/>
      <c r="H133" s="9"/>
      <c r="I133" s="9"/>
      <c r="J133" s="11"/>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ht="15.75" customHeight="1">
      <c r="A134" s="5"/>
      <c r="B134" s="5"/>
      <c r="C134" s="5"/>
      <c r="D134" s="69"/>
      <c r="E134" s="9"/>
      <c r="F134" s="9"/>
      <c r="G134" s="9"/>
      <c r="H134" s="9"/>
      <c r="I134" s="9"/>
      <c r="J134" s="11"/>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ht="15.75" customHeight="1">
      <c r="A135" s="5"/>
      <c r="B135" s="5"/>
      <c r="C135" s="5"/>
      <c r="D135" s="69"/>
      <c r="E135" s="9"/>
      <c r="F135" s="9"/>
      <c r="G135" s="9"/>
      <c r="H135" s="9"/>
      <c r="I135" s="9"/>
      <c r="J135" s="11"/>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ht="15.75" customHeight="1">
      <c r="A136" s="5"/>
      <c r="B136" s="5"/>
      <c r="C136" s="5"/>
      <c r="D136" s="69"/>
      <c r="E136" s="9"/>
      <c r="F136" s="9"/>
      <c r="G136" s="9"/>
      <c r="H136" s="9"/>
      <c r="I136" s="9"/>
      <c r="J136" s="11"/>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ht="15.75" customHeight="1">
      <c r="A137" s="5"/>
      <c r="B137" s="5"/>
      <c r="C137" s="5"/>
      <c r="D137" s="69"/>
      <c r="E137" s="9"/>
      <c r="F137" s="9"/>
      <c r="G137" s="9"/>
      <c r="H137" s="9"/>
      <c r="I137" s="9"/>
      <c r="J137" s="11"/>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ht="15.75" customHeight="1">
      <c r="A138" s="5"/>
      <c r="B138" s="5"/>
      <c r="C138" s="5"/>
      <c r="D138" s="69"/>
      <c r="E138" s="9"/>
      <c r="F138" s="9"/>
      <c r="G138" s="9"/>
      <c r="H138" s="9"/>
      <c r="I138" s="9"/>
      <c r="J138" s="11"/>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ht="15.75" customHeight="1">
      <c r="A139" s="5"/>
      <c r="B139" s="5"/>
      <c r="C139" s="5"/>
      <c r="D139" s="69"/>
      <c r="E139" s="9"/>
      <c r="F139" s="9"/>
      <c r="G139" s="9"/>
      <c r="H139" s="9"/>
      <c r="I139" s="9"/>
      <c r="J139" s="11"/>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ht="15.75" customHeight="1">
      <c r="A140" s="5"/>
      <c r="B140" s="5"/>
      <c r="C140" s="5"/>
      <c r="D140" s="69"/>
      <c r="E140" s="9"/>
      <c r="F140" s="9"/>
      <c r="G140" s="9"/>
      <c r="H140" s="9"/>
      <c r="I140" s="9"/>
      <c r="J140" s="11"/>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ht="15.75" customHeight="1">
      <c r="A141" s="5"/>
      <c r="B141" s="5"/>
      <c r="C141" s="5"/>
      <c r="D141" s="69"/>
      <c r="E141" s="9"/>
      <c r="F141" s="9"/>
      <c r="G141" s="9"/>
      <c r="H141" s="9"/>
      <c r="I141" s="9"/>
      <c r="J141" s="11"/>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ht="15.75" customHeight="1">
      <c r="A142" s="5"/>
      <c r="B142" s="5"/>
      <c r="C142" s="5"/>
      <c r="D142" s="69"/>
      <c r="E142" s="9"/>
      <c r="F142" s="9"/>
      <c r="G142" s="9"/>
      <c r="H142" s="9"/>
      <c r="I142" s="9"/>
      <c r="J142" s="11"/>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ht="15.75" customHeight="1">
      <c r="A143" s="5"/>
      <c r="B143" s="5"/>
      <c r="C143" s="5"/>
      <c r="D143" s="69"/>
      <c r="E143" s="9"/>
      <c r="F143" s="9"/>
      <c r="G143" s="9"/>
      <c r="H143" s="9"/>
      <c r="I143" s="9"/>
      <c r="J143" s="11"/>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ht="15.75" customHeight="1">
      <c r="A144" s="5"/>
      <c r="B144" s="5"/>
      <c r="C144" s="5"/>
      <c r="D144" s="69"/>
      <c r="E144" s="9"/>
      <c r="F144" s="9"/>
      <c r="G144" s="9"/>
      <c r="H144" s="9"/>
      <c r="I144" s="9"/>
      <c r="J144" s="11"/>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ht="15.75" customHeight="1">
      <c r="A145" s="5"/>
      <c r="B145" s="5"/>
      <c r="C145" s="5"/>
      <c r="D145" s="69"/>
      <c r="E145" s="9"/>
      <c r="F145" s="9"/>
      <c r="G145" s="9"/>
      <c r="H145" s="9"/>
      <c r="I145" s="9"/>
      <c r="J145" s="11"/>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ht="15.75" customHeight="1">
      <c r="A146" s="5"/>
      <c r="B146" s="5"/>
      <c r="C146" s="5"/>
      <c r="D146" s="69"/>
      <c r="E146" s="9"/>
      <c r="F146" s="9"/>
      <c r="G146" s="9"/>
      <c r="H146" s="9"/>
      <c r="I146" s="9"/>
      <c r="J146" s="11"/>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ht="15.75" customHeight="1">
      <c r="A147" s="5"/>
      <c r="B147" s="5"/>
      <c r="C147" s="5"/>
      <c r="D147" s="69"/>
      <c r="E147" s="9"/>
      <c r="F147" s="9"/>
      <c r="G147" s="9"/>
      <c r="H147" s="9"/>
      <c r="I147" s="9"/>
      <c r="J147" s="11"/>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ht="15.75" customHeight="1">
      <c r="A148" s="5"/>
      <c r="B148" s="5"/>
      <c r="C148" s="5"/>
      <c r="D148" s="69"/>
      <c r="E148" s="9"/>
      <c r="F148" s="9"/>
      <c r="G148" s="9"/>
      <c r="H148" s="9"/>
      <c r="I148" s="9"/>
      <c r="J148" s="11"/>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ht="15.75" customHeight="1">
      <c r="A149" s="5"/>
      <c r="B149" s="5"/>
      <c r="C149" s="5"/>
      <c r="D149" s="69"/>
      <c r="E149" s="9"/>
      <c r="F149" s="9"/>
      <c r="G149" s="9"/>
      <c r="H149" s="9"/>
      <c r="I149" s="9"/>
      <c r="J149" s="11"/>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ht="15.75" customHeight="1">
      <c r="A150" s="5"/>
      <c r="B150" s="5"/>
      <c r="C150" s="5"/>
      <c r="D150" s="69"/>
      <c r="E150" s="9"/>
      <c r="F150" s="9"/>
      <c r="G150" s="9"/>
      <c r="H150" s="9"/>
      <c r="I150" s="9"/>
      <c r="J150" s="11"/>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ht="15.75" customHeight="1">
      <c r="A151" s="5"/>
      <c r="B151" s="5"/>
      <c r="C151" s="5"/>
      <c r="D151" s="69"/>
      <c r="E151" s="9"/>
      <c r="F151" s="9"/>
      <c r="G151" s="9"/>
      <c r="H151" s="9"/>
      <c r="I151" s="9"/>
      <c r="J151" s="11"/>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ht="15.75" customHeight="1">
      <c r="A152" s="5"/>
      <c r="B152" s="5"/>
      <c r="C152" s="5"/>
      <c r="D152" s="69"/>
      <c r="E152" s="9"/>
      <c r="F152" s="9"/>
      <c r="G152" s="9"/>
      <c r="H152" s="9"/>
      <c r="I152" s="9"/>
      <c r="J152" s="11"/>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ht="15.75" customHeight="1">
      <c r="A153" s="5"/>
      <c r="B153" s="5"/>
      <c r="C153" s="5"/>
      <c r="D153" s="69"/>
      <c r="E153" s="9"/>
      <c r="F153" s="9"/>
      <c r="G153" s="9"/>
      <c r="H153" s="9"/>
      <c r="I153" s="9"/>
      <c r="J153" s="11"/>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ht="15.75" customHeight="1">
      <c r="A154" s="5"/>
      <c r="B154" s="5"/>
      <c r="C154" s="5"/>
      <c r="D154" s="69"/>
      <c r="E154" s="9"/>
      <c r="F154" s="9"/>
      <c r="G154" s="9"/>
      <c r="H154" s="9"/>
      <c r="I154" s="9"/>
      <c r="J154" s="11"/>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ht="15.75" customHeight="1">
      <c r="A155" s="5"/>
      <c r="B155" s="5"/>
      <c r="C155" s="5"/>
      <c r="D155" s="69"/>
      <c r="E155" s="9"/>
      <c r="F155" s="9"/>
      <c r="G155" s="9"/>
      <c r="H155" s="9"/>
      <c r="I155" s="9"/>
      <c r="J155" s="11"/>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ht="15.75" customHeight="1">
      <c r="A156" s="5"/>
      <c r="B156" s="5"/>
      <c r="C156" s="5"/>
      <c r="D156" s="69"/>
      <c r="E156" s="9"/>
      <c r="F156" s="9"/>
      <c r="G156" s="9"/>
      <c r="H156" s="9"/>
      <c r="I156" s="9"/>
      <c r="J156" s="11"/>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ht="15.75" customHeight="1">
      <c r="A157" s="5"/>
      <c r="B157" s="5"/>
      <c r="C157" s="5"/>
      <c r="D157" s="69"/>
      <c r="E157" s="9"/>
      <c r="F157" s="9"/>
      <c r="G157" s="9"/>
      <c r="H157" s="9"/>
      <c r="I157" s="9"/>
      <c r="J157" s="11"/>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ht="15.75" customHeight="1">
      <c r="A158" s="5"/>
      <c r="B158" s="5"/>
      <c r="C158" s="5"/>
      <c r="D158" s="69"/>
      <c r="E158" s="9"/>
      <c r="F158" s="9"/>
      <c r="G158" s="9"/>
      <c r="H158" s="9"/>
      <c r="I158" s="9"/>
      <c r="J158" s="11"/>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ht="15.75" customHeight="1">
      <c r="A159" s="5"/>
      <c r="B159" s="5"/>
      <c r="C159" s="5"/>
      <c r="D159" s="69"/>
      <c r="E159" s="9"/>
      <c r="F159" s="9"/>
      <c r="G159" s="9"/>
      <c r="H159" s="9"/>
      <c r="I159" s="9"/>
      <c r="J159" s="11"/>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ht="15.75" customHeight="1">
      <c r="A160" s="5"/>
      <c r="B160" s="5"/>
      <c r="C160" s="5"/>
      <c r="D160" s="69"/>
      <c r="E160" s="9"/>
      <c r="F160" s="9"/>
      <c r="G160" s="9"/>
      <c r="H160" s="9"/>
      <c r="I160" s="9"/>
      <c r="J160" s="11"/>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ht="15.75" customHeight="1">
      <c r="A161" s="5"/>
      <c r="B161" s="5"/>
      <c r="C161" s="5"/>
      <c r="D161" s="69"/>
      <c r="E161" s="9"/>
      <c r="F161" s="9"/>
      <c r="G161" s="9"/>
      <c r="H161" s="9"/>
      <c r="I161" s="9"/>
      <c r="J161" s="11"/>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ht="15.75" customHeight="1">
      <c r="A162" s="5"/>
      <c r="B162" s="5"/>
      <c r="C162" s="5"/>
      <c r="D162" s="69"/>
      <c r="E162" s="9"/>
      <c r="F162" s="9"/>
      <c r="G162" s="9"/>
      <c r="H162" s="9"/>
      <c r="I162" s="9"/>
      <c r="J162" s="11"/>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ht="15.75" customHeight="1">
      <c r="A163" s="5"/>
      <c r="B163" s="5"/>
      <c r="C163" s="5"/>
      <c r="D163" s="69"/>
      <c r="E163" s="9"/>
      <c r="F163" s="9"/>
      <c r="G163" s="9"/>
      <c r="H163" s="9"/>
      <c r="I163" s="9"/>
      <c r="J163" s="11"/>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ht="15.75" customHeight="1">
      <c r="A164" s="5"/>
      <c r="B164" s="5"/>
      <c r="C164" s="5"/>
      <c r="D164" s="69"/>
      <c r="E164" s="9"/>
      <c r="F164" s="9"/>
      <c r="G164" s="9"/>
      <c r="H164" s="9"/>
      <c r="I164" s="9"/>
      <c r="J164" s="11"/>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ht="15.75" customHeight="1">
      <c r="A165" s="5"/>
      <c r="B165" s="5"/>
      <c r="C165" s="5"/>
      <c r="D165" s="69"/>
      <c r="E165" s="9"/>
      <c r="F165" s="9"/>
      <c r="G165" s="9"/>
      <c r="H165" s="9"/>
      <c r="I165" s="9"/>
      <c r="J165" s="11"/>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ht="15.75" customHeight="1">
      <c r="A166" s="5"/>
      <c r="B166" s="5"/>
      <c r="C166" s="5"/>
      <c r="D166" s="69"/>
      <c r="E166" s="9"/>
      <c r="F166" s="9"/>
      <c r="G166" s="9"/>
      <c r="H166" s="9"/>
      <c r="I166" s="9"/>
      <c r="J166" s="11"/>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ht="15.75" customHeight="1">
      <c r="A167" s="5"/>
      <c r="B167" s="5"/>
      <c r="C167" s="5"/>
      <c r="D167" s="69"/>
      <c r="E167" s="9"/>
      <c r="F167" s="9"/>
      <c r="G167" s="9"/>
      <c r="H167" s="9"/>
      <c r="I167" s="9"/>
      <c r="J167" s="11"/>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ht="15.75" customHeight="1">
      <c r="A168" s="5"/>
      <c r="B168" s="5"/>
      <c r="C168" s="5"/>
      <c r="D168" s="69"/>
      <c r="E168" s="9"/>
      <c r="F168" s="9"/>
      <c r="G168" s="9"/>
      <c r="H168" s="9"/>
      <c r="I168" s="9"/>
      <c r="J168" s="11"/>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ht="15.75" customHeight="1">
      <c r="A169" s="5"/>
      <c r="B169" s="5"/>
      <c r="C169" s="5"/>
      <c r="D169" s="69"/>
      <c r="E169" s="9"/>
      <c r="F169" s="9"/>
      <c r="G169" s="9"/>
      <c r="H169" s="9"/>
      <c r="I169" s="9"/>
      <c r="J169" s="11"/>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ht="15.75" customHeight="1">
      <c r="A170" s="5"/>
      <c r="B170" s="5"/>
      <c r="C170" s="5"/>
      <c r="D170" s="69"/>
      <c r="E170" s="9"/>
      <c r="F170" s="9"/>
      <c r="G170" s="9"/>
      <c r="H170" s="9"/>
      <c r="I170" s="9"/>
      <c r="J170" s="11"/>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ht="15.75" customHeight="1">
      <c r="A171" s="5"/>
      <c r="B171" s="5"/>
      <c r="C171" s="5"/>
      <c r="D171" s="69"/>
      <c r="E171" s="9"/>
      <c r="F171" s="9"/>
      <c r="G171" s="9"/>
      <c r="H171" s="9"/>
      <c r="I171" s="9"/>
      <c r="J171" s="11"/>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ht="15.75" customHeight="1">
      <c r="A172" s="5"/>
      <c r="B172" s="5"/>
      <c r="C172" s="5"/>
      <c r="D172" s="69"/>
      <c r="E172" s="9"/>
      <c r="F172" s="9"/>
      <c r="G172" s="9"/>
      <c r="H172" s="9"/>
      <c r="I172" s="9"/>
      <c r="J172" s="11"/>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ht="15.75" customHeight="1">
      <c r="A173" s="5"/>
      <c r="B173" s="5"/>
      <c r="C173" s="5"/>
      <c r="D173" s="69"/>
      <c r="E173" s="9"/>
      <c r="F173" s="9"/>
      <c r="G173" s="9"/>
      <c r="H173" s="9"/>
      <c r="I173" s="9"/>
      <c r="J173" s="11"/>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ht="15.75" customHeight="1">
      <c r="A174" s="5"/>
      <c r="B174" s="5"/>
      <c r="C174" s="5"/>
      <c r="D174" s="69"/>
      <c r="E174" s="9"/>
      <c r="F174" s="9"/>
      <c r="G174" s="9"/>
      <c r="H174" s="9"/>
      <c r="I174" s="9"/>
      <c r="J174" s="11"/>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ht="15.75" customHeight="1">
      <c r="A175" s="5"/>
      <c r="B175" s="5"/>
      <c r="C175" s="5"/>
      <c r="D175" s="69"/>
      <c r="E175" s="9"/>
      <c r="F175" s="9"/>
      <c r="G175" s="9"/>
      <c r="H175" s="9"/>
      <c r="I175" s="9"/>
      <c r="J175" s="11"/>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ht="15.75" customHeight="1">
      <c r="A176" s="5"/>
      <c r="B176" s="5"/>
      <c r="C176" s="5"/>
      <c r="D176" s="69"/>
      <c r="E176" s="9"/>
      <c r="F176" s="9"/>
      <c r="G176" s="9"/>
      <c r="H176" s="9"/>
      <c r="I176" s="9"/>
      <c r="J176" s="11"/>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ht="15.75" customHeight="1">
      <c r="A177" s="5"/>
      <c r="B177" s="5"/>
      <c r="C177" s="5"/>
      <c r="D177" s="69"/>
      <c r="E177" s="9"/>
      <c r="F177" s="9"/>
      <c r="G177" s="9"/>
      <c r="H177" s="9"/>
      <c r="I177" s="9"/>
      <c r="J177" s="11"/>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ht="15.75" customHeight="1">
      <c r="A178" s="5"/>
      <c r="B178" s="5"/>
      <c r="C178" s="5"/>
      <c r="D178" s="69"/>
      <c r="E178" s="9"/>
      <c r="F178" s="9"/>
      <c r="G178" s="9"/>
      <c r="H178" s="9"/>
      <c r="I178" s="9"/>
      <c r="J178" s="11"/>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ht="15.75" customHeight="1">
      <c r="A179" s="5"/>
      <c r="B179" s="5"/>
      <c r="C179" s="5"/>
      <c r="D179" s="69"/>
      <c r="E179" s="9"/>
      <c r="F179" s="9"/>
      <c r="G179" s="9"/>
      <c r="H179" s="9"/>
      <c r="I179" s="9"/>
      <c r="J179" s="11"/>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ht="15.75" customHeight="1">
      <c r="A180" s="5"/>
      <c r="B180" s="5"/>
      <c r="C180" s="5"/>
      <c r="D180" s="69"/>
      <c r="E180" s="9"/>
      <c r="F180" s="9"/>
      <c r="G180" s="9"/>
      <c r="H180" s="9"/>
      <c r="I180" s="9"/>
      <c r="J180" s="11"/>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ht="15.75" customHeight="1">
      <c r="A181" s="5"/>
      <c r="B181" s="5"/>
      <c r="C181" s="5"/>
      <c r="D181" s="69"/>
      <c r="E181" s="9"/>
      <c r="F181" s="9"/>
      <c r="G181" s="9"/>
      <c r="H181" s="9"/>
      <c r="I181" s="9"/>
      <c r="J181" s="11"/>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ht="15.75" customHeight="1">
      <c r="A182" s="5"/>
      <c r="B182" s="5"/>
      <c r="C182" s="5"/>
      <c r="D182" s="69"/>
      <c r="E182" s="9"/>
      <c r="F182" s="9"/>
      <c r="G182" s="9"/>
      <c r="H182" s="9"/>
      <c r="I182" s="9"/>
      <c r="J182" s="11"/>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ht="15.75" customHeight="1">
      <c r="A183" s="5"/>
      <c r="B183" s="5"/>
      <c r="C183" s="5"/>
      <c r="D183" s="69"/>
      <c r="E183" s="9"/>
      <c r="F183" s="9"/>
      <c r="G183" s="9"/>
      <c r="H183" s="9"/>
      <c r="I183" s="9"/>
      <c r="J183" s="11"/>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ht="15.75" customHeight="1">
      <c r="A184" s="5"/>
      <c r="B184" s="5"/>
      <c r="C184" s="5"/>
      <c r="D184" s="69"/>
      <c r="E184" s="9"/>
      <c r="F184" s="9"/>
      <c r="G184" s="9"/>
      <c r="H184" s="9"/>
      <c r="I184" s="9"/>
      <c r="J184" s="11"/>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ht="15.75" customHeight="1">
      <c r="A185" s="5"/>
      <c r="B185" s="5"/>
      <c r="C185" s="5"/>
      <c r="D185" s="69"/>
      <c r="E185" s="9"/>
      <c r="F185" s="9"/>
      <c r="G185" s="9"/>
      <c r="H185" s="9"/>
      <c r="I185" s="9"/>
      <c r="J185" s="11"/>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ht="15.75" customHeight="1">
      <c r="A186" s="5"/>
      <c r="B186" s="5"/>
      <c r="C186" s="5"/>
      <c r="D186" s="69"/>
      <c r="E186" s="9"/>
      <c r="F186" s="9"/>
      <c r="G186" s="9"/>
      <c r="H186" s="9"/>
      <c r="I186" s="9"/>
      <c r="J186" s="11"/>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ht="15.75" customHeight="1">
      <c r="A187" s="5"/>
      <c r="B187" s="5"/>
      <c r="C187" s="5"/>
      <c r="D187" s="69"/>
      <c r="E187" s="9"/>
      <c r="F187" s="9"/>
      <c r="G187" s="9"/>
      <c r="H187" s="9"/>
      <c r="I187" s="9"/>
      <c r="J187" s="11"/>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ht="15.75" customHeight="1">
      <c r="A188" s="5"/>
      <c r="B188" s="5"/>
      <c r="C188" s="5"/>
      <c r="D188" s="69"/>
      <c r="E188" s="9"/>
      <c r="F188" s="9"/>
      <c r="G188" s="9"/>
      <c r="H188" s="9"/>
      <c r="I188" s="9"/>
      <c r="J188" s="11"/>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ht="15.75" customHeight="1">
      <c r="A189" s="5"/>
      <c r="B189" s="5"/>
      <c r="C189" s="5"/>
      <c r="D189" s="69"/>
      <c r="E189" s="9"/>
      <c r="F189" s="9"/>
      <c r="G189" s="9"/>
      <c r="H189" s="9"/>
      <c r="I189" s="9"/>
      <c r="J189" s="11"/>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ht="15.75" customHeight="1">
      <c r="A190" s="5"/>
      <c r="B190" s="5"/>
      <c r="C190" s="5"/>
      <c r="D190" s="69"/>
      <c r="E190" s="9"/>
      <c r="F190" s="9"/>
      <c r="G190" s="9"/>
      <c r="H190" s="9"/>
      <c r="I190" s="9"/>
      <c r="J190" s="11"/>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ht="15.75" customHeight="1">
      <c r="A191" s="5"/>
      <c r="B191" s="5"/>
      <c r="C191" s="5"/>
      <c r="D191" s="69"/>
      <c r="E191" s="9"/>
      <c r="F191" s="9"/>
      <c r="G191" s="9"/>
      <c r="H191" s="9"/>
      <c r="I191" s="9"/>
      <c r="J191" s="11"/>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ht="15.75" customHeight="1">
      <c r="A192" s="5"/>
      <c r="B192" s="5"/>
      <c r="C192" s="5"/>
      <c r="D192" s="69"/>
      <c r="E192" s="9"/>
      <c r="F192" s="9"/>
      <c r="G192" s="9"/>
      <c r="H192" s="9"/>
      <c r="I192" s="9"/>
      <c r="J192" s="11"/>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ht="15.75" customHeight="1">
      <c r="A193" s="5"/>
      <c r="B193" s="5"/>
      <c r="C193" s="5"/>
      <c r="D193" s="69"/>
      <c r="E193" s="9"/>
      <c r="F193" s="9"/>
      <c r="G193" s="9"/>
      <c r="H193" s="9"/>
      <c r="I193" s="9"/>
      <c r="J193" s="11"/>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ht="15.75" customHeight="1">
      <c r="A194" s="5"/>
      <c r="B194" s="5"/>
      <c r="C194" s="5"/>
      <c r="D194" s="69"/>
      <c r="E194" s="9"/>
      <c r="F194" s="9"/>
      <c r="G194" s="9"/>
      <c r="H194" s="9"/>
      <c r="I194" s="9"/>
      <c r="J194" s="11"/>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ht="15.75" customHeight="1">
      <c r="A195" s="5"/>
      <c r="B195" s="5"/>
      <c r="C195" s="5"/>
      <c r="D195" s="69"/>
      <c r="E195" s="9"/>
      <c r="F195" s="9"/>
      <c r="G195" s="9"/>
      <c r="H195" s="9"/>
      <c r="I195" s="9"/>
      <c r="J195" s="11"/>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ht="15.75" customHeight="1">
      <c r="A196" s="5"/>
      <c r="B196" s="5"/>
      <c r="C196" s="5"/>
      <c r="D196" s="69"/>
      <c r="E196" s="9"/>
      <c r="F196" s="9"/>
      <c r="G196" s="9"/>
      <c r="H196" s="9"/>
      <c r="I196" s="9"/>
      <c r="J196" s="11"/>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ht="15.75" customHeight="1">
      <c r="A197" s="5"/>
      <c r="B197" s="5"/>
      <c r="C197" s="5"/>
      <c r="D197" s="69"/>
      <c r="E197" s="9"/>
      <c r="F197" s="9"/>
      <c r="G197" s="9"/>
      <c r="H197" s="9"/>
      <c r="I197" s="9"/>
      <c r="J197" s="11"/>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ht="15.75" customHeight="1">
      <c r="A198" s="5"/>
      <c r="B198" s="5"/>
      <c r="C198" s="5"/>
      <c r="D198" s="69"/>
      <c r="E198" s="9"/>
      <c r="F198" s="9"/>
      <c r="G198" s="9"/>
      <c r="H198" s="9"/>
      <c r="I198" s="9"/>
      <c r="J198" s="11"/>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ht="15.75" customHeight="1">
      <c r="A199" s="5"/>
      <c r="B199" s="5"/>
      <c r="C199" s="5"/>
      <c r="D199" s="69"/>
      <c r="E199" s="9"/>
      <c r="F199" s="9"/>
      <c r="G199" s="9"/>
      <c r="H199" s="9"/>
      <c r="I199" s="9"/>
      <c r="J199" s="11"/>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ht="15.75" customHeight="1">
      <c r="A200" s="5"/>
      <c r="B200" s="5"/>
      <c r="C200" s="5"/>
      <c r="D200" s="69"/>
      <c r="E200" s="9"/>
      <c r="F200" s="9"/>
      <c r="G200" s="9"/>
      <c r="H200" s="9"/>
      <c r="I200" s="9"/>
      <c r="J200" s="11"/>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ht="15.75" customHeight="1">
      <c r="A201" s="5"/>
      <c r="B201" s="5"/>
      <c r="C201" s="5"/>
      <c r="D201" s="69"/>
      <c r="E201" s="9"/>
      <c r="F201" s="9"/>
      <c r="G201" s="9"/>
      <c r="H201" s="9"/>
      <c r="I201" s="9"/>
      <c r="J201" s="11"/>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ht="15.75" customHeight="1">
      <c r="A202" s="5"/>
      <c r="B202" s="5"/>
      <c r="C202" s="5"/>
      <c r="D202" s="69"/>
      <c r="E202" s="9"/>
      <c r="F202" s="9"/>
      <c r="G202" s="9"/>
      <c r="H202" s="9"/>
      <c r="I202" s="9"/>
      <c r="J202" s="11"/>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ht="15.75" customHeight="1">
      <c r="A203" s="5"/>
      <c r="B203" s="5"/>
      <c r="C203" s="5"/>
      <c r="D203" s="69"/>
      <c r="E203" s="9"/>
      <c r="F203" s="9"/>
      <c r="G203" s="9"/>
      <c r="H203" s="9"/>
      <c r="I203" s="9"/>
      <c r="J203" s="11"/>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ht="15.75" customHeight="1">
      <c r="A204" s="5"/>
      <c r="B204" s="5"/>
      <c r="C204" s="5"/>
      <c r="D204" s="69"/>
      <c r="E204" s="9"/>
      <c r="F204" s="9"/>
      <c r="G204" s="9"/>
      <c r="H204" s="9"/>
      <c r="I204" s="9"/>
      <c r="J204" s="11"/>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ht="15.75" customHeight="1">
      <c r="A205" s="5"/>
      <c r="B205" s="5"/>
      <c r="C205" s="5"/>
      <c r="D205" s="69"/>
      <c r="E205" s="9"/>
      <c r="F205" s="9"/>
      <c r="G205" s="9"/>
      <c r="H205" s="9"/>
      <c r="I205" s="9"/>
      <c r="J205" s="11"/>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ht="15.75" customHeight="1">
      <c r="A206" s="5"/>
      <c r="B206" s="5"/>
      <c r="C206" s="5"/>
      <c r="D206" s="69"/>
      <c r="E206" s="9"/>
      <c r="F206" s="9"/>
      <c r="G206" s="9"/>
      <c r="H206" s="9"/>
      <c r="I206" s="9"/>
      <c r="J206" s="11"/>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ht="15.75" customHeight="1">
      <c r="A207" s="5"/>
      <c r="B207" s="5"/>
      <c r="C207" s="5"/>
      <c r="D207" s="69"/>
      <c r="E207" s="9"/>
      <c r="F207" s="9"/>
      <c r="G207" s="9"/>
      <c r="H207" s="9"/>
      <c r="I207" s="9"/>
      <c r="J207" s="11"/>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ht="15.75" customHeight="1">
      <c r="A208" s="5"/>
      <c r="B208" s="5"/>
      <c r="C208" s="5"/>
      <c r="D208" s="69"/>
      <c r="E208" s="9"/>
      <c r="F208" s="9"/>
      <c r="G208" s="9"/>
      <c r="H208" s="9"/>
      <c r="I208" s="9"/>
      <c r="J208" s="11"/>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ht="15.75" customHeight="1">
      <c r="A209" s="5"/>
      <c r="B209" s="5"/>
      <c r="C209" s="5"/>
      <c r="D209" s="69"/>
      <c r="E209" s="9"/>
      <c r="F209" s="9"/>
      <c r="G209" s="9"/>
      <c r="H209" s="9"/>
      <c r="I209" s="9"/>
      <c r="J209" s="11"/>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ht="15.75" customHeight="1">
      <c r="A210" s="5"/>
      <c r="B210" s="5"/>
      <c r="C210" s="5"/>
      <c r="D210" s="69"/>
      <c r="E210" s="9"/>
      <c r="F210" s="9"/>
      <c r="G210" s="9"/>
      <c r="H210" s="9"/>
      <c r="I210" s="9"/>
      <c r="J210" s="11"/>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ht="15.75" customHeight="1">
      <c r="A211" s="5"/>
      <c r="B211" s="5"/>
      <c r="C211" s="5"/>
      <c r="D211" s="69"/>
      <c r="E211" s="9"/>
      <c r="F211" s="9"/>
      <c r="G211" s="9"/>
      <c r="H211" s="9"/>
      <c r="I211" s="9"/>
      <c r="J211" s="11"/>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ht="15.75" customHeight="1">
      <c r="A212" s="5"/>
      <c r="B212" s="5"/>
      <c r="C212" s="5"/>
      <c r="D212" s="69"/>
      <c r="E212" s="9"/>
      <c r="F212" s="9"/>
      <c r="G212" s="9"/>
      <c r="H212" s="9"/>
      <c r="I212" s="9"/>
      <c r="J212" s="11"/>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ht="15.75" customHeight="1">
      <c r="A213" s="5"/>
      <c r="B213" s="5"/>
      <c r="C213" s="5"/>
      <c r="D213" s="69"/>
      <c r="E213" s="9"/>
      <c r="F213" s="9"/>
      <c r="G213" s="9"/>
      <c r="H213" s="9"/>
      <c r="I213" s="9"/>
      <c r="J213" s="11"/>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ht="15.75" customHeight="1">
      <c r="A214" s="5"/>
      <c r="B214" s="5"/>
      <c r="C214" s="5"/>
      <c r="D214" s="69"/>
      <c r="E214" s="9"/>
      <c r="F214" s="9"/>
      <c r="G214" s="9"/>
      <c r="H214" s="9"/>
      <c r="I214" s="9"/>
      <c r="J214" s="11"/>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ht="15.75" customHeight="1">
      <c r="A215" s="5"/>
      <c r="B215" s="5"/>
      <c r="C215" s="5"/>
      <c r="D215" s="69"/>
      <c r="E215" s="9"/>
      <c r="F215" s="9"/>
      <c r="G215" s="9"/>
      <c r="H215" s="9"/>
      <c r="I215" s="9"/>
      <c r="J215" s="11"/>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ht="15.75" customHeight="1">
      <c r="A216" s="5"/>
      <c r="B216" s="5"/>
      <c r="C216" s="5"/>
      <c r="D216" s="69"/>
      <c r="E216" s="9"/>
      <c r="F216" s="9"/>
      <c r="G216" s="9"/>
      <c r="H216" s="9"/>
      <c r="I216" s="9"/>
      <c r="J216" s="11"/>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ht="15.75" customHeight="1">
      <c r="A217" s="5"/>
      <c r="B217" s="5"/>
      <c r="C217" s="5"/>
      <c r="D217" s="69"/>
      <c r="E217" s="9"/>
      <c r="F217" s="9"/>
      <c r="G217" s="9"/>
      <c r="H217" s="9"/>
      <c r="I217" s="9"/>
      <c r="J217" s="11"/>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ht="15.75" customHeight="1">
      <c r="A218" s="5"/>
      <c r="B218" s="5"/>
      <c r="C218" s="5"/>
      <c r="D218" s="69"/>
      <c r="E218" s="9"/>
      <c r="F218" s="9"/>
      <c r="G218" s="9"/>
      <c r="H218" s="9"/>
      <c r="I218" s="9"/>
      <c r="J218" s="11"/>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ht="15.75" customHeight="1">
      <c r="A219" s="5"/>
      <c r="B219" s="5"/>
      <c r="C219" s="5"/>
      <c r="D219" s="69"/>
      <c r="E219" s="9"/>
      <c r="F219" s="9"/>
      <c r="G219" s="9"/>
      <c r="H219" s="9"/>
      <c r="I219" s="9"/>
      <c r="J219" s="11"/>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ht="15.75" customHeight="1">
      <c r="A220" s="5"/>
      <c r="B220" s="5"/>
      <c r="C220" s="5"/>
      <c r="D220" s="69"/>
      <c r="E220" s="9"/>
      <c r="F220" s="9"/>
      <c r="G220" s="9"/>
      <c r="H220" s="9"/>
      <c r="I220" s="9"/>
      <c r="J220" s="11"/>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44"/>
      <c r="AX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44"/>
      <c r="AX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44"/>
      <c r="AX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44"/>
      <c r="AX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44"/>
      <c r="AX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44"/>
      <c r="AX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44"/>
      <c r="AU518" s="44"/>
      <c r="AV518" s="44"/>
      <c r="AW518" s="44"/>
      <c r="AX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44"/>
      <c r="AX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44"/>
      <c r="AX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44"/>
      <c r="AX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44"/>
      <c r="AU540" s="44"/>
      <c r="AV540" s="44"/>
      <c r="AW540" s="44"/>
      <c r="AX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44"/>
      <c r="AU541" s="44"/>
      <c r="AV541" s="44"/>
      <c r="AW541" s="44"/>
      <c r="AX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44"/>
      <c r="AX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44"/>
      <c r="AU543" s="44"/>
      <c r="AV543" s="44"/>
      <c r="AW543" s="44"/>
      <c r="AX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44"/>
      <c r="AU546" s="44"/>
      <c r="AV546" s="44"/>
      <c r="AW546" s="44"/>
      <c r="AX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44"/>
      <c r="AX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44"/>
      <c r="AX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44"/>
      <c r="AU549" s="44"/>
      <c r="AV549" s="44"/>
      <c r="AW549" s="44"/>
      <c r="AX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44"/>
      <c r="AX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44"/>
      <c r="AX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44"/>
      <c r="AU560" s="44"/>
      <c r="AV560" s="44"/>
      <c r="AW560" s="44"/>
      <c r="AX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44"/>
      <c r="AU561" s="44"/>
      <c r="AV561" s="44"/>
      <c r="AW561" s="44"/>
      <c r="AX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44"/>
      <c r="AX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44"/>
      <c r="AU563" s="44"/>
      <c r="AV563" s="44"/>
      <c r="AW563" s="44"/>
      <c r="AX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44"/>
      <c r="AU564" s="44"/>
      <c r="AV564" s="44"/>
      <c r="AW564" s="44"/>
      <c r="AX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44"/>
      <c r="AU565" s="44"/>
      <c r="AV565" s="44"/>
      <c r="AW565" s="44"/>
      <c r="AX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44"/>
      <c r="AU566" s="44"/>
      <c r="AV566" s="44"/>
      <c r="AW566" s="44"/>
      <c r="AX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44"/>
      <c r="AU567" s="44"/>
      <c r="AV567" s="44"/>
      <c r="AW567" s="44"/>
      <c r="AX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44"/>
      <c r="AU568" s="44"/>
      <c r="AV568" s="44"/>
      <c r="AW568" s="44"/>
      <c r="AX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44"/>
      <c r="AU569" s="44"/>
      <c r="AV569" s="44"/>
      <c r="AW569" s="44"/>
      <c r="AX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44"/>
      <c r="AX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44"/>
      <c r="AU571" s="44"/>
      <c r="AV571" s="44"/>
      <c r="AW571" s="44"/>
      <c r="AX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44"/>
      <c r="AU572" s="44"/>
      <c r="AV572" s="44"/>
      <c r="AW572" s="44"/>
      <c r="AX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44"/>
      <c r="AU573" s="44"/>
      <c r="AV573" s="44"/>
      <c r="AW573" s="44"/>
      <c r="AX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44"/>
      <c r="AX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c r="AN575" s="44"/>
      <c r="AO575" s="44"/>
      <c r="AP575" s="44"/>
      <c r="AQ575" s="44"/>
      <c r="AR575" s="44"/>
      <c r="AS575" s="44"/>
      <c r="AT575" s="44"/>
      <c r="AU575" s="44"/>
      <c r="AV575" s="44"/>
      <c r="AW575" s="44"/>
      <c r="AX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c r="AS576" s="44"/>
      <c r="AT576" s="44"/>
      <c r="AU576" s="44"/>
      <c r="AV576" s="44"/>
      <c r="AW576" s="44"/>
      <c r="AX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c r="AS577" s="44"/>
      <c r="AT577" s="44"/>
      <c r="AU577" s="44"/>
      <c r="AV577" s="44"/>
      <c r="AW577" s="44"/>
      <c r="AX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44"/>
      <c r="AU578" s="44"/>
      <c r="AV578" s="44"/>
      <c r="AW578" s="44"/>
      <c r="AX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44"/>
      <c r="AU579" s="44"/>
      <c r="AV579" s="44"/>
      <c r="AW579" s="44"/>
      <c r="AX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c r="AN580" s="44"/>
      <c r="AO580" s="44"/>
      <c r="AP580" s="44"/>
      <c r="AQ580" s="44"/>
      <c r="AR580" s="44"/>
      <c r="AS580" s="44"/>
      <c r="AT580" s="44"/>
      <c r="AU580" s="44"/>
      <c r="AV580" s="44"/>
      <c r="AW580" s="44"/>
      <c r="AX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44"/>
      <c r="AU581" s="44"/>
      <c r="AV581" s="44"/>
      <c r="AW581" s="44"/>
      <c r="AX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c r="AS582" s="44"/>
      <c r="AT582" s="44"/>
      <c r="AU582" s="44"/>
      <c r="AV582" s="44"/>
      <c r="AW582" s="44"/>
      <c r="AX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c r="AS583" s="44"/>
      <c r="AT583" s="44"/>
      <c r="AU583" s="44"/>
      <c r="AV583" s="44"/>
      <c r="AW583" s="44"/>
      <c r="AX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44"/>
      <c r="AU584" s="44"/>
      <c r="AV584" s="44"/>
      <c r="AW584" s="44"/>
      <c r="AX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c r="AS585" s="44"/>
      <c r="AT585" s="44"/>
      <c r="AU585" s="44"/>
      <c r="AV585" s="44"/>
      <c r="AW585" s="44"/>
      <c r="AX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c r="AS586" s="44"/>
      <c r="AT586" s="44"/>
      <c r="AU586" s="44"/>
      <c r="AV586" s="44"/>
      <c r="AW586" s="44"/>
      <c r="AX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c r="AS587" s="44"/>
      <c r="AT587" s="44"/>
      <c r="AU587" s="44"/>
      <c r="AV587" s="44"/>
      <c r="AW587" s="44"/>
      <c r="AX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44"/>
      <c r="AU588" s="44"/>
      <c r="AV588" s="44"/>
      <c r="AW588" s="44"/>
      <c r="AX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c r="AS589" s="44"/>
      <c r="AT589" s="44"/>
      <c r="AU589" s="44"/>
      <c r="AV589" s="44"/>
      <c r="AW589" s="44"/>
      <c r="AX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44"/>
      <c r="AU590" s="44"/>
      <c r="AV590" s="44"/>
      <c r="AW590" s="44"/>
      <c r="AX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c r="AN591" s="44"/>
      <c r="AO591" s="44"/>
      <c r="AP591" s="44"/>
      <c r="AQ591" s="44"/>
      <c r="AR591" s="44"/>
      <c r="AS591" s="44"/>
      <c r="AT591" s="44"/>
      <c r="AU591" s="44"/>
      <c r="AV591" s="44"/>
      <c r="AW591" s="44"/>
      <c r="AX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c r="AS592" s="44"/>
      <c r="AT592" s="44"/>
      <c r="AU592" s="44"/>
      <c r="AV592" s="44"/>
      <c r="AW592" s="44"/>
      <c r="AX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c r="AS593" s="44"/>
      <c r="AT593" s="44"/>
      <c r="AU593" s="44"/>
      <c r="AV593" s="44"/>
      <c r="AW593" s="44"/>
      <c r="AX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c r="AS594" s="44"/>
      <c r="AT594" s="44"/>
      <c r="AU594" s="44"/>
      <c r="AV594" s="44"/>
      <c r="AW594" s="44"/>
      <c r="AX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c r="AS595" s="44"/>
      <c r="AT595" s="44"/>
      <c r="AU595" s="44"/>
      <c r="AV595" s="44"/>
      <c r="AW595" s="44"/>
      <c r="AX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c r="AS596" s="44"/>
      <c r="AT596" s="44"/>
      <c r="AU596" s="44"/>
      <c r="AV596" s="44"/>
      <c r="AW596" s="44"/>
      <c r="AX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c r="AS597" s="44"/>
      <c r="AT597" s="44"/>
      <c r="AU597" s="44"/>
      <c r="AV597" s="44"/>
      <c r="AW597" s="44"/>
      <c r="AX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c r="AS598" s="44"/>
      <c r="AT598" s="44"/>
      <c r="AU598" s="44"/>
      <c r="AV598" s="44"/>
      <c r="AW598" s="44"/>
      <c r="AX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c r="AS599" s="44"/>
      <c r="AT599" s="44"/>
      <c r="AU599" s="44"/>
      <c r="AV599" s="44"/>
      <c r="AW599" s="44"/>
      <c r="AX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44"/>
      <c r="AU600" s="44"/>
      <c r="AV600" s="44"/>
      <c r="AW600" s="44"/>
      <c r="AX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44"/>
      <c r="AU601" s="44"/>
      <c r="AV601" s="44"/>
      <c r="AW601" s="44"/>
      <c r="AX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44"/>
      <c r="AU602" s="44"/>
      <c r="AV602" s="44"/>
      <c r="AW602" s="44"/>
      <c r="AX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c r="AS603" s="44"/>
      <c r="AT603" s="44"/>
      <c r="AU603" s="44"/>
      <c r="AV603" s="44"/>
      <c r="AW603" s="44"/>
      <c r="AX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c r="AS604" s="44"/>
      <c r="AT604" s="44"/>
      <c r="AU604" s="44"/>
      <c r="AV604" s="44"/>
      <c r="AW604" s="44"/>
      <c r="AX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c r="AS605" s="44"/>
      <c r="AT605" s="44"/>
      <c r="AU605" s="44"/>
      <c r="AV605" s="44"/>
      <c r="AW605" s="44"/>
      <c r="AX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44"/>
      <c r="AU606" s="44"/>
      <c r="AV606" s="44"/>
      <c r="AW606" s="44"/>
      <c r="AX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c r="AS607" s="44"/>
      <c r="AT607" s="44"/>
      <c r="AU607" s="44"/>
      <c r="AV607" s="44"/>
      <c r="AW607" s="44"/>
      <c r="AX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44"/>
      <c r="AU608" s="44"/>
      <c r="AV608" s="44"/>
      <c r="AW608" s="44"/>
      <c r="AX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c r="AS609" s="44"/>
      <c r="AT609" s="44"/>
      <c r="AU609" s="44"/>
      <c r="AV609" s="44"/>
      <c r="AW609" s="44"/>
      <c r="AX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c r="AN610" s="44"/>
      <c r="AO610" s="44"/>
      <c r="AP610" s="44"/>
      <c r="AQ610" s="44"/>
      <c r="AR610" s="44"/>
      <c r="AS610" s="44"/>
      <c r="AT610" s="44"/>
      <c r="AU610" s="44"/>
      <c r="AV610" s="44"/>
      <c r="AW610" s="44"/>
      <c r="AX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c r="AS611" s="44"/>
      <c r="AT611" s="44"/>
      <c r="AU611" s="44"/>
      <c r="AV611" s="44"/>
      <c r="AW611" s="44"/>
      <c r="AX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44"/>
      <c r="AU612" s="44"/>
      <c r="AV612" s="44"/>
      <c r="AW612" s="44"/>
      <c r="AX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c r="AS613" s="44"/>
      <c r="AT613" s="44"/>
      <c r="AU613" s="44"/>
      <c r="AV613" s="44"/>
      <c r="AW613" s="44"/>
      <c r="AX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44"/>
      <c r="AU614" s="44"/>
      <c r="AV614" s="44"/>
      <c r="AW614" s="44"/>
      <c r="AX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c r="AN615" s="44"/>
      <c r="AO615" s="44"/>
      <c r="AP615" s="44"/>
      <c r="AQ615" s="44"/>
      <c r="AR615" s="44"/>
      <c r="AS615" s="44"/>
      <c r="AT615" s="44"/>
      <c r="AU615" s="44"/>
      <c r="AV615" s="44"/>
      <c r="AW615" s="44"/>
      <c r="AX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c r="AS616" s="44"/>
      <c r="AT616" s="44"/>
      <c r="AU616" s="44"/>
      <c r="AV616" s="44"/>
      <c r="AW616" s="44"/>
      <c r="AX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c r="AS617" s="44"/>
      <c r="AT617" s="44"/>
      <c r="AU617" s="44"/>
      <c r="AV617" s="44"/>
      <c r="AW617" s="44"/>
      <c r="AX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44"/>
      <c r="AU618" s="44"/>
      <c r="AV618" s="44"/>
      <c r="AW618" s="44"/>
      <c r="AX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c r="AS619" s="44"/>
      <c r="AT619" s="44"/>
      <c r="AU619" s="44"/>
      <c r="AV619" s="44"/>
      <c r="AW619" s="44"/>
      <c r="AX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44"/>
      <c r="AU620" s="44"/>
      <c r="AV620" s="44"/>
      <c r="AW620" s="44"/>
      <c r="AX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c r="AS621" s="44"/>
      <c r="AT621" s="44"/>
      <c r="AU621" s="44"/>
      <c r="AV621" s="44"/>
      <c r="AW621" s="44"/>
      <c r="AX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c r="AN622" s="44"/>
      <c r="AO622" s="44"/>
      <c r="AP622" s="44"/>
      <c r="AQ622" s="44"/>
      <c r="AR622" s="44"/>
      <c r="AS622" s="44"/>
      <c r="AT622" s="44"/>
      <c r="AU622" s="44"/>
      <c r="AV622" s="44"/>
      <c r="AW622" s="44"/>
      <c r="AX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c r="AS623" s="44"/>
      <c r="AT623" s="44"/>
      <c r="AU623" s="44"/>
      <c r="AV623" s="44"/>
      <c r="AW623" s="44"/>
      <c r="AX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44"/>
      <c r="AU624" s="44"/>
      <c r="AV624" s="44"/>
      <c r="AW624" s="44"/>
      <c r="AX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c r="AS625" s="44"/>
      <c r="AT625" s="44"/>
      <c r="AU625" s="44"/>
      <c r="AV625" s="44"/>
      <c r="AW625" s="44"/>
      <c r="AX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c r="AS627" s="44"/>
      <c r="AT627" s="44"/>
      <c r="AU627" s="44"/>
      <c r="AV627" s="44"/>
      <c r="AW627" s="44"/>
      <c r="AX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c r="AN628" s="44"/>
      <c r="AO628" s="44"/>
      <c r="AP628" s="44"/>
      <c r="AQ628" s="44"/>
      <c r="AR628" s="44"/>
      <c r="AS628" s="44"/>
      <c r="AT628" s="44"/>
      <c r="AU628" s="44"/>
      <c r="AV628" s="44"/>
      <c r="AW628" s="44"/>
      <c r="AX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c r="AN629" s="44"/>
      <c r="AO629" s="44"/>
      <c r="AP629" s="44"/>
      <c r="AQ629" s="44"/>
      <c r="AR629" s="44"/>
      <c r="AS629" s="44"/>
      <c r="AT629" s="44"/>
      <c r="AU629" s="44"/>
      <c r="AV629" s="44"/>
      <c r="AW629" s="44"/>
      <c r="AX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c r="AN630" s="44"/>
      <c r="AO630" s="44"/>
      <c r="AP630" s="44"/>
      <c r="AQ630" s="44"/>
      <c r="AR630" s="44"/>
      <c r="AS630" s="44"/>
      <c r="AT630" s="44"/>
      <c r="AU630" s="44"/>
      <c r="AV630" s="44"/>
      <c r="AW630" s="44"/>
      <c r="AX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c r="AN631" s="44"/>
      <c r="AO631" s="44"/>
      <c r="AP631" s="44"/>
      <c r="AQ631" s="44"/>
      <c r="AR631" s="44"/>
      <c r="AS631" s="44"/>
      <c r="AT631" s="44"/>
      <c r="AU631" s="44"/>
      <c r="AV631" s="44"/>
      <c r="AW631" s="44"/>
      <c r="AX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c r="AS632" s="44"/>
      <c r="AT632" s="44"/>
      <c r="AU632" s="44"/>
      <c r="AV632" s="44"/>
      <c r="AW632" s="44"/>
      <c r="AX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c r="AN633" s="44"/>
      <c r="AO633" s="44"/>
      <c r="AP633" s="44"/>
      <c r="AQ633" s="44"/>
      <c r="AR633" s="44"/>
      <c r="AS633" s="44"/>
      <c r="AT633" s="44"/>
      <c r="AU633" s="44"/>
      <c r="AV633" s="44"/>
      <c r="AW633" s="44"/>
      <c r="AX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c r="AN634" s="44"/>
      <c r="AO634" s="44"/>
      <c r="AP634" s="44"/>
      <c r="AQ634" s="44"/>
      <c r="AR634" s="44"/>
      <c r="AS634" s="44"/>
      <c r="AT634" s="44"/>
      <c r="AU634" s="44"/>
      <c r="AV634" s="44"/>
      <c r="AW634" s="44"/>
      <c r="AX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c r="AS635" s="44"/>
      <c r="AT635" s="44"/>
      <c r="AU635" s="44"/>
      <c r="AV635" s="44"/>
      <c r="AW635" s="44"/>
      <c r="AX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c r="AS636" s="44"/>
      <c r="AT636" s="44"/>
      <c r="AU636" s="44"/>
      <c r="AV636" s="44"/>
      <c r="AW636" s="44"/>
      <c r="AX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c r="AN637" s="44"/>
      <c r="AO637" s="44"/>
      <c r="AP637" s="44"/>
      <c r="AQ637" s="44"/>
      <c r="AR637" s="44"/>
      <c r="AS637" s="44"/>
      <c r="AT637" s="44"/>
      <c r="AU637" s="44"/>
      <c r="AV637" s="44"/>
      <c r="AW637" s="44"/>
      <c r="AX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c r="AS638" s="44"/>
      <c r="AT638" s="44"/>
      <c r="AU638" s="44"/>
      <c r="AV638" s="44"/>
      <c r="AW638" s="44"/>
      <c r="AX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c r="AN639" s="44"/>
      <c r="AO639" s="44"/>
      <c r="AP639" s="44"/>
      <c r="AQ639" s="44"/>
      <c r="AR639" s="44"/>
      <c r="AS639" s="44"/>
      <c r="AT639" s="44"/>
      <c r="AU639" s="44"/>
      <c r="AV639" s="44"/>
      <c r="AW639" s="44"/>
      <c r="AX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c r="AN640" s="44"/>
      <c r="AO640" s="44"/>
      <c r="AP640" s="44"/>
      <c r="AQ640" s="44"/>
      <c r="AR640" s="44"/>
      <c r="AS640" s="44"/>
      <c r="AT640" s="44"/>
      <c r="AU640" s="44"/>
      <c r="AV640" s="44"/>
      <c r="AW640" s="44"/>
      <c r="AX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c r="AS641" s="44"/>
      <c r="AT641" s="44"/>
      <c r="AU641" s="44"/>
      <c r="AV641" s="44"/>
      <c r="AW641" s="44"/>
      <c r="AX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c r="AG642" s="44"/>
      <c r="AH642" s="44"/>
      <c r="AI642" s="44"/>
      <c r="AJ642" s="44"/>
      <c r="AK642" s="44"/>
      <c r="AL642" s="44"/>
      <c r="AM642" s="44"/>
      <c r="AN642" s="44"/>
      <c r="AO642" s="44"/>
      <c r="AP642" s="44"/>
      <c r="AQ642" s="44"/>
      <c r="AR642" s="44"/>
      <c r="AS642" s="44"/>
      <c r="AT642" s="44"/>
      <c r="AU642" s="44"/>
      <c r="AV642" s="44"/>
      <c r="AW642" s="44"/>
      <c r="AX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c r="AG643" s="44"/>
      <c r="AH643" s="44"/>
      <c r="AI643" s="44"/>
      <c r="AJ643" s="44"/>
      <c r="AK643" s="44"/>
      <c r="AL643" s="44"/>
      <c r="AM643" s="44"/>
      <c r="AN643" s="44"/>
      <c r="AO643" s="44"/>
      <c r="AP643" s="44"/>
      <c r="AQ643" s="44"/>
      <c r="AR643" s="44"/>
      <c r="AS643" s="44"/>
      <c r="AT643" s="44"/>
      <c r="AU643" s="44"/>
      <c r="AV643" s="44"/>
      <c r="AW643" s="44"/>
      <c r="AX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c r="AN644" s="44"/>
      <c r="AO644" s="44"/>
      <c r="AP644" s="44"/>
      <c r="AQ644" s="44"/>
      <c r="AR644" s="44"/>
      <c r="AS644" s="44"/>
      <c r="AT644" s="44"/>
      <c r="AU644" s="44"/>
      <c r="AV644" s="44"/>
      <c r="AW644" s="44"/>
      <c r="AX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c r="AG645" s="44"/>
      <c r="AH645" s="44"/>
      <c r="AI645" s="44"/>
      <c r="AJ645" s="44"/>
      <c r="AK645" s="44"/>
      <c r="AL645" s="44"/>
      <c r="AM645" s="44"/>
      <c r="AN645" s="44"/>
      <c r="AO645" s="44"/>
      <c r="AP645" s="44"/>
      <c r="AQ645" s="44"/>
      <c r="AR645" s="44"/>
      <c r="AS645" s="44"/>
      <c r="AT645" s="44"/>
      <c r="AU645" s="44"/>
      <c r="AV645" s="44"/>
      <c r="AW645" s="44"/>
      <c r="AX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c r="AG646" s="44"/>
      <c r="AH646" s="44"/>
      <c r="AI646" s="44"/>
      <c r="AJ646" s="44"/>
      <c r="AK646" s="44"/>
      <c r="AL646" s="44"/>
      <c r="AM646" s="44"/>
      <c r="AN646" s="44"/>
      <c r="AO646" s="44"/>
      <c r="AP646" s="44"/>
      <c r="AQ646" s="44"/>
      <c r="AR646" s="44"/>
      <c r="AS646" s="44"/>
      <c r="AT646" s="44"/>
      <c r="AU646" s="44"/>
      <c r="AV646" s="44"/>
      <c r="AW646" s="44"/>
      <c r="AX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c r="AG647" s="44"/>
      <c r="AH647" s="44"/>
      <c r="AI647" s="44"/>
      <c r="AJ647" s="44"/>
      <c r="AK647" s="44"/>
      <c r="AL647" s="44"/>
      <c r="AM647" s="44"/>
      <c r="AN647" s="44"/>
      <c r="AO647" s="44"/>
      <c r="AP647" s="44"/>
      <c r="AQ647" s="44"/>
      <c r="AR647" s="44"/>
      <c r="AS647" s="44"/>
      <c r="AT647" s="44"/>
      <c r="AU647" s="44"/>
      <c r="AV647" s="44"/>
      <c r="AW647" s="44"/>
      <c r="AX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c r="AG648" s="44"/>
      <c r="AH648" s="44"/>
      <c r="AI648" s="44"/>
      <c r="AJ648" s="44"/>
      <c r="AK648" s="44"/>
      <c r="AL648" s="44"/>
      <c r="AM648" s="44"/>
      <c r="AN648" s="44"/>
      <c r="AO648" s="44"/>
      <c r="AP648" s="44"/>
      <c r="AQ648" s="44"/>
      <c r="AR648" s="44"/>
      <c r="AS648" s="44"/>
      <c r="AT648" s="44"/>
      <c r="AU648" s="44"/>
      <c r="AV648" s="44"/>
      <c r="AW648" s="44"/>
      <c r="AX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c r="AG649" s="44"/>
      <c r="AH649" s="44"/>
      <c r="AI649" s="44"/>
      <c r="AJ649" s="44"/>
      <c r="AK649" s="44"/>
      <c r="AL649" s="44"/>
      <c r="AM649" s="44"/>
      <c r="AN649" s="44"/>
      <c r="AO649" s="44"/>
      <c r="AP649" s="44"/>
      <c r="AQ649" s="44"/>
      <c r="AR649" s="44"/>
      <c r="AS649" s="44"/>
      <c r="AT649" s="44"/>
      <c r="AU649" s="44"/>
      <c r="AV649" s="44"/>
      <c r="AW649" s="44"/>
      <c r="AX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c r="AG650" s="44"/>
      <c r="AH650" s="44"/>
      <c r="AI650" s="44"/>
      <c r="AJ650" s="44"/>
      <c r="AK650" s="44"/>
      <c r="AL650" s="44"/>
      <c r="AM650" s="44"/>
      <c r="AN650" s="44"/>
      <c r="AO650" s="44"/>
      <c r="AP650" s="44"/>
      <c r="AQ650" s="44"/>
      <c r="AR650" s="44"/>
      <c r="AS650" s="44"/>
      <c r="AT650" s="44"/>
      <c r="AU650" s="44"/>
      <c r="AV650" s="44"/>
      <c r="AW650" s="44"/>
      <c r="AX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c r="AN651" s="44"/>
      <c r="AO651" s="44"/>
      <c r="AP651" s="44"/>
      <c r="AQ651" s="44"/>
      <c r="AR651" s="44"/>
      <c r="AS651" s="44"/>
      <c r="AT651" s="44"/>
      <c r="AU651" s="44"/>
      <c r="AV651" s="44"/>
      <c r="AW651" s="44"/>
      <c r="AX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c r="AN652" s="44"/>
      <c r="AO652" s="44"/>
      <c r="AP652" s="44"/>
      <c r="AQ652" s="44"/>
      <c r="AR652" s="44"/>
      <c r="AS652" s="44"/>
      <c r="AT652" s="44"/>
      <c r="AU652" s="44"/>
      <c r="AV652" s="44"/>
      <c r="AW652" s="44"/>
      <c r="AX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4"/>
      <c r="AM653" s="44"/>
      <c r="AN653" s="44"/>
      <c r="AO653" s="44"/>
      <c r="AP653" s="44"/>
      <c r="AQ653" s="44"/>
      <c r="AR653" s="44"/>
      <c r="AS653" s="44"/>
      <c r="AT653" s="44"/>
      <c r="AU653" s="44"/>
      <c r="AV653" s="44"/>
      <c r="AW653" s="44"/>
      <c r="AX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c r="AG654" s="44"/>
      <c r="AH654" s="44"/>
      <c r="AI654" s="44"/>
      <c r="AJ654" s="44"/>
      <c r="AK654" s="44"/>
      <c r="AL654" s="44"/>
      <c r="AM654" s="44"/>
      <c r="AN654" s="44"/>
      <c r="AO654" s="44"/>
      <c r="AP654" s="44"/>
      <c r="AQ654" s="44"/>
      <c r="AR654" s="44"/>
      <c r="AS654" s="44"/>
      <c r="AT654" s="44"/>
      <c r="AU654" s="44"/>
      <c r="AV654" s="44"/>
      <c r="AW654" s="44"/>
      <c r="AX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c r="AG655" s="44"/>
      <c r="AH655" s="44"/>
      <c r="AI655" s="44"/>
      <c r="AJ655" s="44"/>
      <c r="AK655" s="44"/>
      <c r="AL655" s="44"/>
      <c r="AM655" s="44"/>
      <c r="AN655" s="44"/>
      <c r="AO655" s="44"/>
      <c r="AP655" s="44"/>
      <c r="AQ655" s="44"/>
      <c r="AR655" s="44"/>
      <c r="AS655" s="44"/>
      <c r="AT655" s="44"/>
      <c r="AU655" s="44"/>
      <c r="AV655" s="44"/>
      <c r="AW655" s="44"/>
      <c r="AX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c r="AG656" s="44"/>
      <c r="AH656" s="44"/>
      <c r="AI656" s="44"/>
      <c r="AJ656" s="44"/>
      <c r="AK656" s="44"/>
      <c r="AL656" s="44"/>
      <c r="AM656" s="44"/>
      <c r="AN656" s="44"/>
      <c r="AO656" s="44"/>
      <c r="AP656" s="44"/>
      <c r="AQ656" s="44"/>
      <c r="AR656" s="44"/>
      <c r="AS656" s="44"/>
      <c r="AT656" s="44"/>
      <c r="AU656" s="44"/>
      <c r="AV656" s="44"/>
      <c r="AW656" s="44"/>
      <c r="AX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c r="AG657" s="44"/>
      <c r="AH657" s="44"/>
      <c r="AI657" s="44"/>
      <c r="AJ657" s="44"/>
      <c r="AK657" s="44"/>
      <c r="AL657" s="44"/>
      <c r="AM657" s="44"/>
      <c r="AN657" s="44"/>
      <c r="AO657" s="44"/>
      <c r="AP657" s="44"/>
      <c r="AQ657" s="44"/>
      <c r="AR657" s="44"/>
      <c r="AS657" s="44"/>
      <c r="AT657" s="44"/>
      <c r="AU657" s="44"/>
      <c r="AV657" s="44"/>
      <c r="AW657" s="44"/>
      <c r="AX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c r="AR658" s="44"/>
      <c r="AS658" s="44"/>
      <c r="AT658" s="44"/>
      <c r="AU658" s="44"/>
      <c r="AV658" s="44"/>
      <c r="AW658" s="44"/>
      <c r="AX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c r="AS659" s="44"/>
      <c r="AT659" s="44"/>
      <c r="AU659" s="44"/>
      <c r="AV659" s="44"/>
      <c r="AW659" s="44"/>
      <c r="AX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c r="AS660" s="44"/>
      <c r="AT660" s="44"/>
      <c r="AU660" s="44"/>
      <c r="AV660" s="44"/>
      <c r="AW660" s="44"/>
      <c r="AX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c r="AG662" s="44"/>
      <c r="AH662" s="44"/>
      <c r="AI662" s="44"/>
      <c r="AJ662" s="44"/>
      <c r="AK662" s="44"/>
      <c r="AL662" s="44"/>
      <c r="AM662" s="44"/>
      <c r="AN662" s="44"/>
      <c r="AO662" s="44"/>
      <c r="AP662" s="44"/>
      <c r="AQ662" s="44"/>
      <c r="AR662" s="44"/>
      <c r="AS662" s="44"/>
      <c r="AT662" s="44"/>
      <c r="AU662" s="44"/>
      <c r="AV662" s="44"/>
      <c r="AW662" s="44"/>
      <c r="AX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c r="AN663" s="44"/>
      <c r="AO663" s="44"/>
      <c r="AP663" s="44"/>
      <c r="AQ663" s="44"/>
      <c r="AR663" s="44"/>
      <c r="AS663" s="44"/>
      <c r="AT663" s="44"/>
      <c r="AU663" s="44"/>
      <c r="AV663" s="44"/>
      <c r="AW663" s="44"/>
      <c r="AX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c r="AN664" s="44"/>
      <c r="AO664" s="44"/>
      <c r="AP664" s="44"/>
      <c r="AQ664" s="44"/>
      <c r="AR664" s="44"/>
      <c r="AS664" s="44"/>
      <c r="AT664" s="44"/>
      <c r="AU664" s="44"/>
      <c r="AV664" s="44"/>
      <c r="AW664" s="44"/>
      <c r="AX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c r="AG665" s="44"/>
      <c r="AH665" s="44"/>
      <c r="AI665" s="44"/>
      <c r="AJ665" s="44"/>
      <c r="AK665" s="44"/>
      <c r="AL665" s="44"/>
      <c r="AM665" s="44"/>
      <c r="AN665" s="44"/>
      <c r="AO665" s="44"/>
      <c r="AP665" s="44"/>
      <c r="AQ665" s="44"/>
      <c r="AR665" s="44"/>
      <c r="AS665" s="44"/>
      <c r="AT665" s="44"/>
      <c r="AU665" s="44"/>
      <c r="AV665" s="44"/>
      <c r="AW665" s="44"/>
      <c r="AX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c r="AG666" s="44"/>
      <c r="AH666" s="44"/>
      <c r="AI666" s="44"/>
      <c r="AJ666" s="44"/>
      <c r="AK666" s="44"/>
      <c r="AL666" s="44"/>
      <c r="AM666" s="44"/>
      <c r="AN666" s="44"/>
      <c r="AO666" s="44"/>
      <c r="AP666" s="44"/>
      <c r="AQ666" s="44"/>
      <c r="AR666" s="44"/>
      <c r="AS666" s="44"/>
      <c r="AT666" s="44"/>
      <c r="AU666" s="44"/>
      <c r="AV666" s="44"/>
      <c r="AW666" s="44"/>
      <c r="AX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c r="AR667" s="44"/>
      <c r="AS667" s="44"/>
      <c r="AT667" s="44"/>
      <c r="AU667" s="44"/>
      <c r="AV667" s="44"/>
      <c r="AW667" s="44"/>
      <c r="AX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c r="AG668" s="44"/>
      <c r="AH668" s="44"/>
      <c r="AI668" s="44"/>
      <c r="AJ668" s="44"/>
      <c r="AK668" s="44"/>
      <c r="AL668" s="44"/>
      <c r="AM668" s="44"/>
      <c r="AN668" s="44"/>
      <c r="AO668" s="44"/>
      <c r="AP668" s="44"/>
      <c r="AQ668" s="44"/>
      <c r="AR668" s="44"/>
      <c r="AS668" s="44"/>
      <c r="AT668" s="44"/>
      <c r="AU668" s="44"/>
      <c r="AV668" s="44"/>
      <c r="AW668" s="44"/>
      <c r="AX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c r="AH669" s="44"/>
      <c r="AI669" s="44"/>
      <c r="AJ669" s="44"/>
      <c r="AK669" s="44"/>
      <c r="AL669" s="44"/>
      <c r="AM669" s="44"/>
      <c r="AN669" s="44"/>
      <c r="AO669" s="44"/>
      <c r="AP669" s="44"/>
      <c r="AQ669" s="44"/>
      <c r="AR669" s="44"/>
      <c r="AS669" s="44"/>
      <c r="AT669" s="44"/>
      <c r="AU669" s="44"/>
      <c r="AV669" s="44"/>
      <c r="AW669" s="44"/>
      <c r="AX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c r="AN670" s="44"/>
      <c r="AO670" s="44"/>
      <c r="AP670" s="44"/>
      <c r="AQ670" s="44"/>
      <c r="AR670" s="44"/>
      <c r="AS670" s="44"/>
      <c r="AT670" s="44"/>
      <c r="AU670" s="44"/>
      <c r="AV670" s="44"/>
      <c r="AW670" s="44"/>
      <c r="AX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c r="AG671" s="44"/>
      <c r="AH671" s="44"/>
      <c r="AI671" s="44"/>
      <c r="AJ671" s="44"/>
      <c r="AK671" s="44"/>
      <c r="AL671" s="44"/>
      <c r="AM671" s="44"/>
      <c r="AN671" s="44"/>
      <c r="AO671" s="44"/>
      <c r="AP671" s="44"/>
      <c r="AQ671" s="44"/>
      <c r="AR671" s="44"/>
      <c r="AS671" s="44"/>
      <c r="AT671" s="44"/>
      <c r="AU671" s="44"/>
      <c r="AV671" s="44"/>
      <c r="AW671" s="44"/>
      <c r="AX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c r="AN672" s="44"/>
      <c r="AO672" s="44"/>
      <c r="AP672" s="44"/>
      <c r="AQ672" s="44"/>
      <c r="AR672" s="44"/>
      <c r="AS672" s="44"/>
      <c r="AT672" s="44"/>
      <c r="AU672" s="44"/>
      <c r="AV672" s="44"/>
      <c r="AW672" s="44"/>
      <c r="AX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c r="AN673" s="44"/>
      <c r="AO673" s="44"/>
      <c r="AP673" s="44"/>
      <c r="AQ673" s="44"/>
      <c r="AR673" s="44"/>
      <c r="AS673" s="44"/>
      <c r="AT673" s="44"/>
      <c r="AU673" s="44"/>
      <c r="AV673" s="44"/>
      <c r="AW673" s="44"/>
      <c r="AX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c r="AG674" s="44"/>
      <c r="AH674" s="44"/>
      <c r="AI674" s="44"/>
      <c r="AJ674" s="44"/>
      <c r="AK674" s="44"/>
      <c r="AL674" s="44"/>
      <c r="AM674" s="44"/>
      <c r="AN674" s="44"/>
      <c r="AO674" s="44"/>
      <c r="AP674" s="44"/>
      <c r="AQ674" s="44"/>
      <c r="AR674" s="44"/>
      <c r="AS674" s="44"/>
      <c r="AT674" s="44"/>
      <c r="AU674" s="44"/>
      <c r="AV674" s="44"/>
      <c r="AW674" s="44"/>
      <c r="AX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c r="AG675" s="44"/>
      <c r="AH675" s="44"/>
      <c r="AI675" s="44"/>
      <c r="AJ675" s="44"/>
      <c r="AK675" s="44"/>
      <c r="AL675" s="44"/>
      <c r="AM675" s="44"/>
      <c r="AN675" s="44"/>
      <c r="AO675" s="44"/>
      <c r="AP675" s="44"/>
      <c r="AQ675" s="44"/>
      <c r="AR675" s="44"/>
      <c r="AS675" s="44"/>
      <c r="AT675" s="44"/>
      <c r="AU675" s="44"/>
      <c r="AV675" s="44"/>
      <c r="AW675" s="44"/>
      <c r="AX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c r="AG676" s="44"/>
      <c r="AH676" s="44"/>
      <c r="AI676" s="44"/>
      <c r="AJ676" s="44"/>
      <c r="AK676" s="44"/>
      <c r="AL676" s="44"/>
      <c r="AM676" s="44"/>
      <c r="AN676" s="44"/>
      <c r="AO676" s="44"/>
      <c r="AP676" s="44"/>
      <c r="AQ676" s="44"/>
      <c r="AR676" s="44"/>
      <c r="AS676" s="44"/>
      <c r="AT676" s="44"/>
      <c r="AU676" s="44"/>
      <c r="AV676" s="44"/>
      <c r="AW676" s="44"/>
      <c r="AX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c r="AN677" s="44"/>
      <c r="AO677" s="44"/>
      <c r="AP677" s="44"/>
      <c r="AQ677" s="44"/>
      <c r="AR677" s="44"/>
      <c r="AS677" s="44"/>
      <c r="AT677" s="44"/>
      <c r="AU677" s="44"/>
      <c r="AV677" s="44"/>
      <c r="AW677" s="44"/>
      <c r="AX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c r="AR678" s="44"/>
      <c r="AS678" s="44"/>
      <c r="AT678" s="44"/>
      <c r="AU678" s="44"/>
      <c r="AV678" s="44"/>
      <c r="AW678" s="44"/>
      <c r="AX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c r="AN679" s="44"/>
      <c r="AO679" s="44"/>
      <c r="AP679" s="44"/>
      <c r="AQ679" s="44"/>
      <c r="AR679" s="44"/>
      <c r="AS679" s="44"/>
      <c r="AT679" s="44"/>
      <c r="AU679" s="44"/>
      <c r="AV679" s="44"/>
      <c r="AW679" s="44"/>
      <c r="AX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c r="AG680" s="44"/>
      <c r="AH680" s="44"/>
      <c r="AI680" s="44"/>
      <c r="AJ680" s="44"/>
      <c r="AK680" s="44"/>
      <c r="AL680" s="44"/>
      <c r="AM680" s="44"/>
      <c r="AN680" s="44"/>
      <c r="AO680" s="44"/>
      <c r="AP680" s="44"/>
      <c r="AQ680" s="44"/>
      <c r="AR680" s="44"/>
      <c r="AS680" s="44"/>
      <c r="AT680" s="44"/>
      <c r="AU680" s="44"/>
      <c r="AV680" s="44"/>
      <c r="AW680" s="44"/>
      <c r="AX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c r="AG681" s="44"/>
      <c r="AH681" s="44"/>
      <c r="AI681" s="44"/>
      <c r="AJ681" s="44"/>
      <c r="AK681" s="44"/>
      <c r="AL681" s="44"/>
      <c r="AM681" s="44"/>
      <c r="AN681" s="44"/>
      <c r="AO681" s="44"/>
      <c r="AP681" s="44"/>
      <c r="AQ681" s="44"/>
      <c r="AR681" s="44"/>
      <c r="AS681" s="44"/>
      <c r="AT681" s="44"/>
      <c r="AU681" s="44"/>
      <c r="AV681" s="44"/>
      <c r="AW681" s="44"/>
      <c r="AX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c r="AG682" s="44"/>
      <c r="AH682" s="44"/>
      <c r="AI682" s="44"/>
      <c r="AJ682" s="44"/>
      <c r="AK682" s="44"/>
      <c r="AL682" s="44"/>
      <c r="AM682" s="44"/>
      <c r="AN682" s="44"/>
      <c r="AO682" s="44"/>
      <c r="AP682" s="44"/>
      <c r="AQ682" s="44"/>
      <c r="AR682" s="44"/>
      <c r="AS682" s="44"/>
      <c r="AT682" s="44"/>
      <c r="AU682" s="44"/>
      <c r="AV682" s="44"/>
      <c r="AW682" s="44"/>
      <c r="AX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c r="AG683" s="44"/>
      <c r="AH683" s="44"/>
      <c r="AI683" s="44"/>
      <c r="AJ683" s="44"/>
      <c r="AK683" s="44"/>
      <c r="AL683" s="44"/>
      <c r="AM683" s="44"/>
      <c r="AN683" s="44"/>
      <c r="AO683" s="44"/>
      <c r="AP683" s="44"/>
      <c r="AQ683" s="44"/>
      <c r="AR683" s="44"/>
      <c r="AS683" s="44"/>
      <c r="AT683" s="44"/>
      <c r="AU683" s="44"/>
      <c r="AV683" s="44"/>
      <c r="AW683" s="44"/>
      <c r="AX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c r="AG684" s="44"/>
      <c r="AH684" s="44"/>
      <c r="AI684" s="44"/>
      <c r="AJ684" s="44"/>
      <c r="AK684" s="44"/>
      <c r="AL684" s="44"/>
      <c r="AM684" s="44"/>
      <c r="AN684" s="44"/>
      <c r="AO684" s="44"/>
      <c r="AP684" s="44"/>
      <c r="AQ684" s="44"/>
      <c r="AR684" s="44"/>
      <c r="AS684" s="44"/>
      <c r="AT684" s="44"/>
      <c r="AU684" s="44"/>
      <c r="AV684" s="44"/>
      <c r="AW684" s="44"/>
      <c r="AX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c r="AN685" s="44"/>
      <c r="AO685" s="44"/>
      <c r="AP685" s="44"/>
      <c r="AQ685" s="44"/>
      <c r="AR685" s="44"/>
      <c r="AS685" s="44"/>
      <c r="AT685" s="44"/>
      <c r="AU685" s="44"/>
      <c r="AV685" s="44"/>
      <c r="AW685" s="44"/>
      <c r="AX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c r="AN686" s="44"/>
      <c r="AO686" s="44"/>
      <c r="AP686" s="44"/>
      <c r="AQ686" s="44"/>
      <c r="AR686" s="44"/>
      <c r="AS686" s="44"/>
      <c r="AT686" s="44"/>
      <c r="AU686" s="44"/>
      <c r="AV686" s="44"/>
      <c r="AW686" s="44"/>
      <c r="AX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c r="AG687" s="44"/>
      <c r="AH687" s="44"/>
      <c r="AI687" s="44"/>
      <c r="AJ687" s="44"/>
      <c r="AK687" s="44"/>
      <c r="AL687" s="44"/>
      <c r="AM687" s="44"/>
      <c r="AN687" s="44"/>
      <c r="AO687" s="44"/>
      <c r="AP687" s="44"/>
      <c r="AQ687" s="44"/>
      <c r="AR687" s="44"/>
      <c r="AS687" s="44"/>
      <c r="AT687" s="44"/>
      <c r="AU687" s="44"/>
      <c r="AV687" s="44"/>
      <c r="AW687" s="44"/>
      <c r="AX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c r="AN688" s="44"/>
      <c r="AO688" s="44"/>
      <c r="AP688" s="44"/>
      <c r="AQ688" s="44"/>
      <c r="AR688" s="44"/>
      <c r="AS688" s="44"/>
      <c r="AT688" s="44"/>
      <c r="AU688" s="44"/>
      <c r="AV688" s="44"/>
      <c r="AW688" s="44"/>
      <c r="AX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c r="AG689" s="44"/>
      <c r="AH689" s="44"/>
      <c r="AI689" s="44"/>
      <c r="AJ689" s="44"/>
      <c r="AK689" s="44"/>
      <c r="AL689" s="44"/>
      <c r="AM689" s="44"/>
      <c r="AN689" s="44"/>
      <c r="AO689" s="44"/>
      <c r="AP689" s="44"/>
      <c r="AQ689" s="44"/>
      <c r="AR689" s="44"/>
      <c r="AS689" s="44"/>
      <c r="AT689" s="44"/>
      <c r="AU689" s="44"/>
      <c r="AV689" s="44"/>
      <c r="AW689" s="44"/>
      <c r="AX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c r="AG690" s="44"/>
      <c r="AH690" s="44"/>
      <c r="AI690" s="44"/>
      <c r="AJ690" s="44"/>
      <c r="AK690" s="44"/>
      <c r="AL690" s="44"/>
      <c r="AM690" s="44"/>
      <c r="AN690" s="44"/>
      <c r="AO690" s="44"/>
      <c r="AP690" s="44"/>
      <c r="AQ690" s="44"/>
      <c r="AR690" s="44"/>
      <c r="AS690" s="44"/>
      <c r="AT690" s="44"/>
      <c r="AU690" s="44"/>
      <c r="AV690" s="44"/>
      <c r="AW690" s="44"/>
      <c r="AX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c r="AN691" s="44"/>
      <c r="AO691" s="44"/>
      <c r="AP691" s="44"/>
      <c r="AQ691" s="44"/>
      <c r="AR691" s="44"/>
      <c r="AS691" s="44"/>
      <c r="AT691" s="44"/>
      <c r="AU691" s="44"/>
      <c r="AV691" s="44"/>
      <c r="AW691" s="44"/>
      <c r="AX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c r="AG692" s="44"/>
      <c r="AH692" s="44"/>
      <c r="AI692" s="44"/>
      <c r="AJ692" s="44"/>
      <c r="AK692" s="44"/>
      <c r="AL692" s="44"/>
      <c r="AM692" s="44"/>
      <c r="AN692" s="44"/>
      <c r="AO692" s="44"/>
      <c r="AP692" s="44"/>
      <c r="AQ692" s="44"/>
      <c r="AR692" s="44"/>
      <c r="AS692" s="44"/>
      <c r="AT692" s="44"/>
      <c r="AU692" s="44"/>
      <c r="AV692" s="44"/>
      <c r="AW692" s="44"/>
      <c r="AX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c r="AG693" s="44"/>
      <c r="AH693" s="44"/>
      <c r="AI693" s="44"/>
      <c r="AJ693" s="44"/>
      <c r="AK693" s="44"/>
      <c r="AL693" s="44"/>
      <c r="AM693" s="44"/>
      <c r="AN693" s="44"/>
      <c r="AO693" s="44"/>
      <c r="AP693" s="44"/>
      <c r="AQ693" s="44"/>
      <c r="AR693" s="44"/>
      <c r="AS693" s="44"/>
      <c r="AT693" s="44"/>
      <c r="AU693" s="44"/>
      <c r="AV693" s="44"/>
      <c r="AW693" s="44"/>
      <c r="AX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c r="AG694" s="44"/>
      <c r="AH694" s="44"/>
      <c r="AI694" s="44"/>
      <c r="AJ694" s="44"/>
      <c r="AK694" s="44"/>
      <c r="AL694" s="44"/>
      <c r="AM694" s="44"/>
      <c r="AN694" s="44"/>
      <c r="AO694" s="44"/>
      <c r="AP694" s="44"/>
      <c r="AQ694" s="44"/>
      <c r="AR694" s="44"/>
      <c r="AS694" s="44"/>
      <c r="AT694" s="44"/>
      <c r="AU694" s="44"/>
      <c r="AV694" s="44"/>
      <c r="AW694" s="44"/>
      <c r="AX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c r="AG695" s="44"/>
      <c r="AH695" s="44"/>
      <c r="AI695" s="44"/>
      <c r="AJ695" s="44"/>
      <c r="AK695" s="44"/>
      <c r="AL695" s="44"/>
      <c r="AM695" s="44"/>
      <c r="AN695" s="44"/>
      <c r="AO695" s="44"/>
      <c r="AP695" s="44"/>
      <c r="AQ695" s="44"/>
      <c r="AR695" s="44"/>
      <c r="AS695" s="44"/>
      <c r="AT695" s="44"/>
      <c r="AU695" s="44"/>
      <c r="AV695" s="44"/>
      <c r="AW695" s="44"/>
      <c r="AX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c r="AG696" s="44"/>
      <c r="AH696" s="44"/>
      <c r="AI696" s="44"/>
      <c r="AJ696" s="44"/>
      <c r="AK696" s="44"/>
      <c r="AL696" s="44"/>
      <c r="AM696" s="44"/>
      <c r="AN696" s="44"/>
      <c r="AO696" s="44"/>
      <c r="AP696" s="44"/>
      <c r="AQ696" s="44"/>
      <c r="AR696" s="44"/>
      <c r="AS696" s="44"/>
      <c r="AT696" s="44"/>
      <c r="AU696" s="44"/>
      <c r="AV696" s="44"/>
      <c r="AW696" s="44"/>
      <c r="AX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c r="AN697" s="44"/>
      <c r="AO697" s="44"/>
      <c r="AP697" s="44"/>
      <c r="AQ697" s="44"/>
      <c r="AR697" s="44"/>
      <c r="AS697" s="44"/>
      <c r="AT697" s="44"/>
      <c r="AU697" s="44"/>
      <c r="AV697" s="44"/>
      <c r="AW697" s="44"/>
      <c r="AX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c r="AN698" s="44"/>
      <c r="AO698" s="44"/>
      <c r="AP698" s="44"/>
      <c r="AQ698" s="44"/>
      <c r="AR698" s="44"/>
      <c r="AS698" s="44"/>
      <c r="AT698" s="44"/>
      <c r="AU698" s="44"/>
      <c r="AV698" s="44"/>
      <c r="AW698" s="44"/>
      <c r="AX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c r="AG699" s="44"/>
      <c r="AH699" s="44"/>
      <c r="AI699" s="44"/>
      <c r="AJ699" s="44"/>
      <c r="AK699" s="44"/>
      <c r="AL699" s="44"/>
      <c r="AM699" s="44"/>
      <c r="AN699" s="44"/>
      <c r="AO699" s="44"/>
      <c r="AP699" s="44"/>
      <c r="AQ699" s="44"/>
      <c r="AR699" s="44"/>
      <c r="AS699" s="44"/>
      <c r="AT699" s="44"/>
      <c r="AU699" s="44"/>
      <c r="AV699" s="44"/>
      <c r="AW699" s="44"/>
      <c r="AX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c r="AG700" s="44"/>
      <c r="AH700" s="44"/>
      <c r="AI700" s="44"/>
      <c r="AJ700" s="44"/>
      <c r="AK700" s="44"/>
      <c r="AL700" s="44"/>
      <c r="AM700" s="44"/>
      <c r="AN700" s="44"/>
      <c r="AO700" s="44"/>
      <c r="AP700" s="44"/>
      <c r="AQ700" s="44"/>
      <c r="AR700" s="44"/>
      <c r="AS700" s="44"/>
      <c r="AT700" s="44"/>
      <c r="AU700" s="44"/>
      <c r="AV700" s="44"/>
      <c r="AW700" s="44"/>
      <c r="AX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c r="AG701" s="44"/>
      <c r="AH701" s="44"/>
      <c r="AI701" s="44"/>
      <c r="AJ701" s="44"/>
      <c r="AK701" s="44"/>
      <c r="AL701" s="44"/>
      <c r="AM701" s="44"/>
      <c r="AN701" s="44"/>
      <c r="AO701" s="44"/>
      <c r="AP701" s="44"/>
      <c r="AQ701" s="44"/>
      <c r="AR701" s="44"/>
      <c r="AS701" s="44"/>
      <c r="AT701" s="44"/>
      <c r="AU701" s="44"/>
      <c r="AV701" s="44"/>
      <c r="AW701" s="44"/>
      <c r="AX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c r="AN702" s="44"/>
      <c r="AO702" s="44"/>
      <c r="AP702" s="44"/>
      <c r="AQ702" s="44"/>
      <c r="AR702" s="44"/>
      <c r="AS702" s="44"/>
      <c r="AT702" s="44"/>
      <c r="AU702" s="44"/>
      <c r="AV702" s="44"/>
      <c r="AW702" s="44"/>
      <c r="AX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c r="AR703" s="44"/>
      <c r="AS703" s="44"/>
      <c r="AT703" s="44"/>
      <c r="AU703" s="44"/>
      <c r="AV703" s="44"/>
      <c r="AW703" s="44"/>
      <c r="AX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44"/>
      <c r="AO704" s="44"/>
      <c r="AP704" s="44"/>
      <c r="AQ704" s="44"/>
      <c r="AR704" s="44"/>
      <c r="AS704" s="44"/>
      <c r="AT704" s="44"/>
      <c r="AU704" s="44"/>
      <c r="AV704" s="44"/>
      <c r="AW704" s="44"/>
      <c r="AX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c r="AG705" s="44"/>
      <c r="AH705" s="44"/>
      <c r="AI705" s="44"/>
      <c r="AJ705" s="44"/>
      <c r="AK705" s="44"/>
      <c r="AL705" s="44"/>
      <c r="AM705" s="44"/>
      <c r="AN705" s="44"/>
      <c r="AO705" s="44"/>
      <c r="AP705" s="44"/>
      <c r="AQ705" s="44"/>
      <c r="AR705" s="44"/>
      <c r="AS705" s="44"/>
      <c r="AT705" s="44"/>
      <c r="AU705" s="44"/>
      <c r="AV705" s="44"/>
      <c r="AW705" s="44"/>
      <c r="AX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c r="AG706" s="44"/>
      <c r="AH706" s="44"/>
      <c r="AI706" s="44"/>
      <c r="AJ706" s="44"/>
      <c r="AK706" s="44"/>
      <c r="AL706" s="44"/>
      <c r="AM706" s="44"/>
      <c r="AN706" s="44"/>
      <c r="AO706" s="44"/>
      <c r="AP706" s="44"/>
      <c r="AQ706" s="44"/>
      <c r="AR706" s="44"/>
      <c r="AS706" s="44"/>
      <c r="AT706" s="44"/>
      <c r="AU706" s="44"/>
      <c r="AV706" s="44"/>
      <c r="AW706" s="44"/>
      <c r="AX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4"/>
      <c r="AM707" s="44"/>
      <c r="AN707" s="44"/>
      <c r="AO707" s="44"/>
      <c r="AP707" s="44"/>
      <c r="AQ707" s="44"/>
      <c r="AR707" s="44"/>
      <c r="AS707" s="44"/>
      <c r="AT707" s="44"/>
      <c r="AU707" s="44"/>
      <c r="AV707" s="44"/>
      <c r="AW707" s="44"/>
      <c r="AX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c r="AG708" s="44"/>
      <c r="AH708" s="44"/>
      <c r="AI708" s="44"/>
      <c r="AJ708" s="44"/>
      <c r="AK708" s="44"/>
      <c r="AL708" s="44"/>
      <c r="AM708" s="44"/>
      <c r="AN708" s="44"/>
      <c r="AO708" s="44"/>
      <c r="AP708" s="44"/>
      <c r="AQ708" s="44"/>
      <c r="AR708" s="44"/>
      <c r="AS708" s="44"/>
      <c r="AT708" s="44"/>
      <c r="AU708" s="44"/>
      <c r="AV708" s="44"/>
      <c r="AW708" s="44"/>
      <c r="AX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c r="AN709" s="44"/>
      <c r="AO709" s="44"/>
      <c r="AP709" s="44"/>
      <c r="AQ709" s="44"/>
      <c r="AR709" s="44"/>
      <c r="AS709" s="44"/>
      <c r="AT709" s="44"/>
      <c r="AU709" s="44"/>
      <c r="AV709" s="44"/>
      <c r="AW709" s="44"/>
      <c r="AX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c r="AN710" s="44"/>
      <c r="AO710" s="44"/>
      <c r="AP710" s="44"/>
      <c r="AQ710" s="44"/>
      <c r="AR710" s="44"/>
      <c r="AS710" s="44"/>
      <c r="AT710" s="44"/>
      <c r="AU710" s="44"/>
      <c r="AV710" s="44"/>
      <c r="AW710" s="44"/>
      <c r="AX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c r="AG711" s="44"/>
      <c r="AH711" s="44"/>
      <c r="AI711" s="44"/>
      <c r="AJ711" s="44"/>
      <c r="AK711" s="44"/>
      <c r="AL711" s="44"/>
      <c r="AM711" s="44"/>
      <c r="AN711" s="44"/>
      <c r="AO711" s="44"/>
      <c r="AP711" s="44"/>
      <c r="AQ711" s="44"/>
      <c r="AR711" s="44"/>
      <c r="AS711" s="44"/>
      <c r="AT711" s="44"/>
      <c r="AU711" s="44"/>
      <c r="AV711" s="44"/>
      <c r="AW711" s="44"/>
      <c r="AX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c r="AG712" s="44"/>
      <c r="AH712" s="44"/>
      <c r="AI712" s="44"/>
      <c r="AJ712" s="44"/>
      <c r="AK712" s="44"/>
      <c r="AL712" s="44"/>
      <c r="AM712" s="44"/>
      <c r="AN712" s="44"/>
      <c r="AO712" s="44"/>
      <c r="AP712" s="44"/>
      <c r="AQ712" s="44"/>
      <c r="AR712" s="44"/>
      <c r="AS712" s="44"/>
      <c r="AT712" s="44"/>
      <c r="AU712" s="44"/>
      <c r="AV712" s="44"/>
      <c r="AW712" s="44"/>
      <c r="AX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c r="AG713" s="44"/>
      <c r="AH713" s="44"/>
      <c r="AI713" s="44"/>
      <c r="AJ713" s="44"/>
      <c r="AK713" s="44"/>
      <c r="AL713" s="44"/>
      <c r="AM713" s="44"/>
      <c r="AN713" s="44"/>
      <c r="AO713" s="44"/>
      <c r="AP713" s="44"/>
      <c r="AQ713" s="44"/>
      <c r="AR713" s="44"/>
      <c r="AS713" s="44"/>
      <c r="AT713" s="44"/>
      <c r="AU713" s="44"/>
      <c r="AV713" s="44"/>
      <c r="AW713" s="44"/>
      <c r="AX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c r="AG714" s="44"/>
      <c r="AH714" s="44"/>
      <c r="AI714" s="44"/>
      <c r="AJ714" s="44"/>
      <c r="AK714" s="44"/>
      <c r="AL714" s="44"/>
      <c r="AM714" s="44"/>
      <c r="AN714" s="44"/>
      <c r="AO714" s="44"/>
      <c r="AP714" s="44"/>
      <c r="AQ714" s="44"/>
      <c r="AR714" s="44"/>
      <c r="AS714" s="44"/>
      <c r="AT714" s="44"/>
      <c r="AU714" s="44"/>
      <c r="AV714" s="44"/>
      <c r="AW714" s="44"/>
      <c r="AX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c r="AN715" s="44"/>
      <c r="AO715" s="44"/>
      <c r="AP715" s="44"/>
      <c r="AQ715" s="44"/>
      <c r="AR715" s="44"/>
      <c r="AS715" s="44"/>
      <c r="AT715" s="44"/>
      <c r="AU715" s="44"/>
      <c r="AV715" s="44"/>
      <c r="AW715" s="44"/>
      <c r="AX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c r="AG716" s="44"/>
      <c r="AH716" s="44"/>
      <c r="AI716" s="44"/>
      <c r="AJ716" s="44"/>
      <c r="AK716" s="44"/>
      <c r="AL716" s="44"/>
      <c r="AM716" s="44"/>
      <c r="AN716" s="44"/>
      <c r="AO716" s="44"/>
      <c r="AP716" s="44"/>
      <c r="AQ716" s="44"/>
      <c r="AR716" s="44"/>
      <c r="AS716" s="44"/>
      <c r="AT716" s="44"/>
      <c r="AU716" s="44"/>
      <c r="AV716" s="44"/>
      <c r="AW716" s="44"/>
      <c r="AX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c r="AG717" s="44"/>
      <c r="AH717" s="44"/>
      <c r="AI717" s="44"/>
      <c r="AJ717" s="44"/>
      <c r="AK717" s="44"/>
      <c r="AL717" s="44"/>
      <c r="AM717" s="44"/>
      <c r="AN717" s="44"/>
      <c r="AO717" s="44"/>
      <c r="AP717" s="44"/>
      <c r="AQ717" s="44"/>
      <c r="AR717" s="44"/>
      <c r="AS717" s="44"/>
      <c r="AT717" s="44"/>
      <c r="AU717" s="44"/>
      <c r="AV717" s="44"/>
      <c r="AW717" s="44"/>
      <c r="AX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c r="AG718" s="44"/>
      <c r="AH718" s="44"/>
      <c r="AI718" s="44"/>
      <c r="AJ718" s="44"/>
      <c r="AK718" s="44"/>
      <c r="AL718" s="44"/>
      <c r="AM718" s="44"/>
      <c r="AN718" s="44"/>
      <c r="AO718" s="44"/>
      <c r="AP718" s="44"/>
      <c r="AQ718" s="44"/>
      <c r="AR718" s="44"/>
      <c r="AS718" s="44"/>
      <c r="AT718" s="44"/>
      <c r="AU718" s="44"/>
      <c r="AV718" s="44"/>
      <c r="AW718" s="44"/>
      <c r="AX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c r="AG719" s="44"/>
      <c r="AH719" s="44"/>
      <c r="AI719" s="44"/>
      <c r="AJ719" s="44"/>
      <c r="AK719" s="44"/>
      <c r="AL719" s="44"/>
      <c r="AM719" s="44"/>
      <c r="AN719" s="44"/>
      <c r="AO719" s="44"/>
      <c r="AP719" s="44"/>
      <c r="AQ719" s="44"/>
      <c r="AR719" s="44"/>
      <c r="AS719" s="44"/>
      <c r="AT719" s="44"/>
      <c r="AU719" s="44"/>
      <c r="AV719" s="44"/>
      <c r="AW719" s="44"/>
      <c r="AX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44"/>
      <c r="AO720" s="44"/>
      <c r="AP720" s="44"/>
      <c r="AQ720" s="44"/>
      <c r="AR720" s="44"/>
      <c r="AS720" s="44"/>
      <c r="AT720" s="44"/>
      <c r="AU720" s="44"/>
      <c r="AV720" s="44"/>
      <c r="AW720" s="44"/>
      <c r="AX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c r="AN721" s="44"/>
      <c r="AO721" s="44"/>
      <c r="AP721" s="44"/>
      <c r="AQ721" s="44"/>
      <c r="AR721" s="44"/>
      <c r="AS721" s="44"/>
      <c r="AT721" s="44"/>
      <c r="AU721" s="44"/>
      <c r="AV721" s="44"/>
      <c r="AW721" s="44"/>
      <c r="AX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c r="AG722" s="44"/>
      <c r="AH722" s="44"/>
      <c r="AI722" s="44"/>
      <c r="AJ722" s="44"/>
      <c r="AK722" s="44"/>
      <c r="AL722" s="44"/>
      <c r="AM722" s="44"/>
      <c r="AN722" s="44"/>
      <c r="AO722" s="44"/>
      <c r="AP722" s="44"/>
      <c r="AQ722" s="44"/>
      <c r="AR722" s="44"/>
      <c r="AS722" s="44"/>
      <c r="AT722" s="44"/>
      <c r="AU722" s="44"/>
      <c r="AV722" s="44"/>
      <c r="AW722" s="44"/>
      <c r="AX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c r="AN723" s="44"/>
      <c r="AO723" s="44"/>
      <c r="AP723" s="44"/>
      <c r="AQ723" s="44"/>
      <c r="AR723" s="44"/>
      <c r="AS723" s="44"/>
      <c r="AT723" s="44"/>
      <c r="AU723" s="44"/>
      <c r="AV723" s="44"/>
      <c r="AW723" s="44"/>
      <c r="AX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c r="AG724" s="44"/>
      <c r="AH724" s="44"/>
      <c r="AI724" s="44"/>
      <c r="AJ724" s="44"/>
      <c r="AK724" s="44"/>
      <c r="AL724" s="44"/>
      <c r="AM724" s="44"/>
      <c r="AN724" s="44"/>
      <c r="AO724" s="44"/>
      <c r="AP724" s="44"/>
      <c r="AQ724" s="44"/>
      <c r="AR724" s="44"/>
      <c r="AS724" s="44"/>
      <c r="AT724" s="44"/>
      <c r="AU724" s="44"/>
      <c r="AV724" s="44"/>
      <c r="AW724" s="44"/>
      <c r="AX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c r="AN725" s="44"/>
      <c r="AO725" s="44"/>
      <c r="AP725" s="44"/>
      <c r="AQ725" s="44"/>
      <c r="AR725" s="44"/>
      <c r="AS725" s="44"/>
      <c r="AT725" s="44"/>
      <c r="AU725" s="44"/>
      <c r="AV725" s="44"/>
      <c r="AW725" s="44"/>
      <c r="AX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c r="AG726" s="44"/>
      <c r="AH726" s="44"/>
      <c r="AI726" s="44"/>
      <c r="AJ726" s="44"/>
      <c r="AK726" s="44"/>
      <c r="AL726" s="44"/>
      <c r="AM726" s="44"/>
      <c r="AN726" s="44"/>
      <c r="AO726" s="44"/>
      <c r="AP726" s="44"/>
      <c r="AQ726" s="44"/>
      <c r="AR726" s="44"/>
      <c r="AS726" s="44"/>
      <c r="AT726" s="44"/>
      <c r="AU726" s="44"/>
      <c r="AV726" s="44"/>
      <c r="AW726" s="44"/>
      <c r="AX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c r="AN727" s="44"/>
      <c r="AO727" s="44"/>
      <c r="AP727" s="44"/>
      <c r="AQ727" s="44"/>
      <c r="AR727" s="44"/>
      <c r="AS727" s="44"/>
      <c r="AT727" s="44"/>
      <c r="AU727" s="44"/>
      <c r="AV727" s="44"/>
      <c r="AW727" s="44"/>
      <c r="AX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c r="AG728" s="44"/>
      <c r="AH728" s="44"/>
      <c r="AI728" s="44"/>
      <c r="AJ728" s="44"/>
      <c r="AK728" s="44"/>
      <c r="AL728" s="44"/>
      <c r="AM728" s="44"/>
      <c r="AN728" s="44"/>
      <c r="AO728" s="44"/>
      <c r="AP728" s="44"/>
      <c r="AQ728" s="44"/>
      <c r="AR728" s="44"/>
      <c r="AS728" s="44"/>
      <c r="AT728" s="44"/>
      <c r="AU728" s="44"/>
      <c r="AV728" s="44"/>
      <c r="AW728" s="44"/>
      <c r="AX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c r="AG729" s="44"/>
      <c r="AH729" s="44"/>
      <c r="AI729" s="44"/>
      <c r="AJ729" s="44"/>
      <c r="AK729" s="44"/>
      <c r="AL729" s="44"/>
      <c r="AM729" s="44"/>
      <c r="AN729" s="44"/>
      <c r="AO729" s="44"/>
      <c r="AP729" s="44"/>
      <c r="AQ729" s="44"/>
      <c r="AR729" s="44"/>
      <c r="AS729" s="44"/>
      <c r="AT729" s="44"/>
      <c r="AU729" s="44"/>
      <c r="AV729" s="44"/>
      <c r="AW729" s="44"/>
      <c r="AX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c r="AR730" s="44"/>
      <c r="AS730" s="44"/>
      <c r="AT730" s="44"/>
      <c r="AU730" s="44"/>
      <c r="AV730" s="44"/>
      <c r="AW730" s="44"/>
      <c r="AX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c r="AH731" s="44"/>
      <c r="AI731" s="44"/>
      <c r="AJ731" s="44"/>
      <c r="AK731" s="44"/>
      <c r="AL731" s="44"/>
      <c r="AM731" s="44"/>
      <c r="AN731" s="44"/>
      <c r="AO731" s="44"/>
      <c r="AP731" s="44"/>
      <c r="AQ731" s="44"/>
      <c r="AR731" s="44"/>
      <c r="AS731" s="44"/>
      <c r="AT731" s="44"/>
      <c r="AU731" s="44"/>
      <c r="AV731" s="44"/>
      <c r="AW731" s="44"/>
      <c r="AX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4"/>
      <c r="AH732" s="44"/>
      <c r="AI732" s="44"/>
      <c r="AJ732" s="44"/>
      <c r="AK732" s="44"/>
      <c r="AL732" s="44"/>
      <c r="AM732" s="44"/>
      <c r="AN732" s="44"/>
      <c r="AO732" s="44"/>
      <c r="AP732" s="44"/>
      <c r="AQ732" s="44"/>
      <c r="AR732" s="44"/>
      <c r="AS732" s="44"/>
      <c r="AT732" s="44"/>
      <c r="AU732" s="44"/>
      <c r="AV732" s="44"/>
      <c r="AW732" s="44"/>
      <c r="AX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4"/>
      <c r="AM733" s="44"/>
      <c r="AN733" s="44"/>
      <c r="AO733" s="44"/>
      <c r="AP733" s="44"/>
      <c r="AQ733" s="44"/>
      <c r="AR733" s="44"/>
      <c r="AS733" s="44"/>
      <c r="AT733" s="44"/>
      <c r="AU733" s="44"/>
      <c r="AV733" s="44"/>
      <c r="AW733" s="44"/>
      <c r="AX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4"/>
      <c r="AH734" s="44"/>
      <c r="AI734" s="44"/>
      <c r="AJ734" s="44"/>
      <c r="AK734" s="44"/>
      <c r="AL734" s="44"/>
      <c r="AM734" s="44"/>
      <c r="AN734" s="44"/>
      <c r="AO734" s="44"/>
      <c r="AP734" s="44"/>
      <c r="AQ734" s="44"/>
      <c r="AR734" s="44"/>
      <c r="AS734" s="44"/>
      <c r="AT734" s="44"/>
      <c r="AU734" s="44"/>
      <c r="AV734" s="44"/>
      <c r="AW734" s="44"/>
      <c r="AX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4"/>
      <c r="AH735" s="44"/>
      <c r="AI735" s="44"/>
      <c r="AJ735" s="44"/>
      <c r="AK735" s="44"/>
      <c r="AL735" s="44"/>
      <c r="AM735" s="44"/>
      <c r="AN735" s="44"/>
      <c r="AO735" s="44"/>
      <c r="AP735" s="44"/>
      <c r="AQ735" s="44"/>
      <c r="AR735" s="44"/>
      <c r="AS735" s="44"/>
      <c r="AT735" s="44"/>
      <c r="AU735" s="44"/>
      <c r="AV735" s="44"/>
      <c r="AW735" s="44"/>
      <c r="AX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c r="AG736" s="44"/>
      <c r="AH736" s="44"/>
      <c r="AI736" s="44"/>
      <c r="AJ736" s="44"/>
      <c r="AK736" s="44"/>
      <c r="AL736" s="44"/>
      <c r="AM736" s="44"/>
      <c r="AN736" s="44"/>
      <c r="AO736" s="44"/>
      <c r="AP736" s="44"/>
      <c r="AQ736" s="44"/>
      <c r="AR736" s="44"/>
      <c r="AS736" s="44"/>
      <c r="AT736" s="44"/>
      <c r="AU736" s="44"/>
      <c r="AV736" s="44"/>
      <c r="AW736" s="44"/>
      <c r="AX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c r="AN737" s="44"/>
      <c r="AO737" s="44"/>
      <c r="AP737" s="44"/>
      <c r="AQ737" s="44"/>
      <c r="AR737" s="44"/>
      <c r="AS737" s="44"/>
      <c r="AT737" s="44"/>
      <c r="AU737" s="44"/>
      <c r="AV737" s="44"/>
      <c r="AW737" s="44"/>
      <c r="AX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c r="AS738" s="44"/>
      <c r="AT738" s="44"/>
      <c r="AU738" s="44"/>
      <c r="AV738" s="44"/>
      <c r="AW738" s="44"/>
      <c r="AX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c r="AS739" s="44"/>
      <c r="AT739" s="44"/>
      <c r="AU739" s="44"/>
      <c r="AV739" s="44"/>
      <c r="AW739" s="44"/>
      <c r="AX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c r="AS740" s="44"/>
      <c r="AT740" s="44"/>
      <c r="AU740" s="44"/>
      <c r="AV740" s="44"/>
      <c r="AW740" s="44"/>
      <c r="AX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c r="AS741" s="44"/>
      <c r="AT741" s="44"/>
      <c r="AU741" s="44"/>
      <c r="AV741" s="44"/>
      <c r="AW741" s="44"/>
      <c r="AX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4"/>
      <c r="AU742" s="44"/>
      <c r="AV742" s="44"/>
      <c r="AW742" s="44"/>
      <c r="AX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c r="AU743" s="44"/>
      <c r="AV743" s="44"/>
      <c r="AW743" s="44"/>
      <c r="AX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4"/>
      <c r="AU744" s="44"/>
      <c r="AV744" s="44"/>
      <c r="AW744" s="44"/>
      <c r="AX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c r="AS745" s="44"/>
      <c r="AT745" s="44"/>
      <c r="AU745" s="44"/>
      <c r="AV745" s="44"/>
      <c r="AW745" s="44"/>
      <c r="AX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c r="AG747" s="44"/>
      <c r="AH747" s="44"/>
      <c r="AI747" s="44"/>
      <c r="AJ747" s="44"/>
      <c r="AK747" s="44"/>
      <c r="AL747" s="44"/>
      <c r="AM747" s="44"/>
      <c r="AN747" s="44"/>
      <c r="AO747" s="44"/>
      <c r="AP747" s="44"/>
      <c r="AQ747" s="44"/>
      <c r="AR747" s="44"/>
      <c r="AS747" s="44"/>
      <c r="AT747" s="44"/>
      <c r="AU747" s="44"/>
      <c r="AV747" s="44"/>
      <c r="AW747" s="44"/>
      <c r="AX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c r="AN748" s="44"/>
      <c r="AO748" s="44"/>
      <c r="AP748" s="44"/>
      <c r="AQ748" s="44"/>
      <c r="AR748" s="44"/>
      <c r="AS748" s="44"/>
      <c r="AT748" s="44"/>
      <c r="AU748" s="44"/>
      <c r="AV748" s="44"/>
      <c r="AW748" s="44"/>
      <c r="AX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c r="AN749" s="44"/>
      <c r="AO749" s="44"/>
      <c r="AP749" s="44"/>
      <c r="AQ749" s="44"/>
      <c r="AR749" s="44"/>
      <c r="AS749" s="44"/>
      <c r="AT749" s="44"/>
      <c r="AU749" s="44"/>
      <c r="AV749" s="44"/>
      <c r="AW749" s="44"/>
      <c r="AX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c r="AG750" s="44"/>
      <c r="AH750" s="44"/>
      <c r="AI750" s="44"/>
      <c r="AJ750" s="44"/>
      <c r="AK750" s="44"/>
      <c r="AL750" s="44"/>
      <c r="AM750" s="44"/>
      <c r="AN750" s="44"/>
      <c r="AO750" s="44"/>
      <c r="AP750" s="44"/>
      <c r="AQ750" s="44"/>
      <c r="AR750" s="44"/>
      <c r="AS750" s="44"/>
      <c r="AT750" s="44"/>
      <c r="AU750" s="44"/>
      <c r="AV750" s="44"/>
      <c r="AW750" s="44"/>
      <c r="AX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c r="AG751" s="44"/>
      <c r="AH751" s="44"/>
      <c r="AI751" s="44"/>
      <c r="AJ751" s="44"/>
      <c r="AK751" s="44"/>
      <c r="AL751" s="44"/>
      <c r="AM751" s="44"/>
      <c r="AN751" s="44"/>
      <c r="AO751" s="44"/>
      <c r="AP751" s="44"/>
      <c r="AQ751" s="44"/>
      <c r="AR751" s="44"/>
      <c r="AS751" s="44"/>
      <c r="AT751" s="44"/>
      <c r="AU751" s="44"/>
      <c r="AV751" s="44"/>
      <c r="AW751" s="44"/>
      <c r="AX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c r="AN752" s="44"/>
      <c r="AO752" s="44"/>
      <c r="AP752" s="44"/>
      <c r="AQ752" s="44"/>
      <c r="AR752" s="44"/>
      <c r="AS752" s="44"/>
      <c r="AT752" s="44"/>
      <c r="AU752" s="44"/>
      <c r="AV752" s="44"/>
      <c r="AW752" s="44"/>
      <c r="AX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c r="AN753" s="44"/>
      <c r="AO753" s="44"/>
      <c r="AP753" s="44"/>
      <c r="AQ753" s="44"/>
      <c r="AR753" s="44"/>
      <c r="AS753" s="44"/>
      <c r="AT753" s="44"/>
      <c r="AU753" s="44"/>
      <c r="AV753" s="44"/>
      <c r="AW753" s="44"/>
      <c r="AX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c r="AG754" s="44"/>
      <c r="AH754" s="44"/>
      <c r="AI754" s="44"/>
      <c r="AJ754" s="44"/>
      <c r="AK754" s="44"/>
      <c r="AL754" s="44"/>
      <c r="AM754" s="44"/>
      <c r="AN754" s="44"/>
      <c r="AO754" s="44"/>
      <c r="AP754" s="44"/>
      <c r="AQ754" s="44"/>
      <c r="AR754" s="44"/>
      <c r="AS754" s="44"/>
      <c r="AT754" s="44"/>
      <c r="AU754" s="44"/>
      <c r="AV754" s="44"/>
      <c r="AW754" s="44"/>
      <c r="AX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c r="AN755" s="44"/>
      <c r="AO755" s="44"/>
      <c r="AP755" s="44"/>
      <c r="AQ755" s="44"/>
      <c r="AR755" s="44"/>
      <c r="AS755" s="44"/>
      <c r="AT755" s="44"/>
      <c r="AU755" s="44"/>
      <c r="AV755" s="44"/>
      <c r="AW755" s="44"/>
      <c r="AX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c r="AN756" s="44"/>
      <c r="AO756" s="44"/>
      <c r="AP756" s="44"/>
      <c r="AQ756" s="44"/>
      <c r="AR756" s="44"/>
      <c r="AS756" s="44"/>
      <c r="AT756" s="44"/>
      <c r="AU756" s="44"/>
      <c r="AV756" s="44"/>
      <c r="AW756" s="44"/>
      <c r="AX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4"/>
      <c r="AM757" s="44"/>
      <c r="AN757" s="44"/>
      <c r="AO757" s="44"/>
      <c r="AP757" s="44"/>
      <c r="AQ757" s="44"/>
      <c r="AR757" s="44"/>
      <c r="AS757" s="44"/>
      <c r="AT757" s="44"/>
      <c r="AU757" s="44"/>
      <c r="AV757" s="44"/>
      <c r="AW757" s="44"/>
      <c r="AX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c r="AN758" s="44"/>
      <c r="AO758" s="44"/>
      <c r="AP758" s="44"/>
      <c r="AQ758" s="44"/>
      <c r="AR758" s="44"/>
      <c r="AS758" s="44"/>
      <c r="AT758" s="44"/>
      <c r="AU758" s="44"/>
      <c r="AV758" s="44"/>
      <c r="AW758" s="44"/>
      <c r="AX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c r="AN759" s="44"/>
      <c r="AO759" s="44"/>
      <c r="AP759" s="44"/>
      <c r="AQ759" s="44"/>
      <c r="AR759" s="44"/>
      <c r="AS759" s="44"/>
      <c r="AT759" s="44"/>
      <c r="AU759" s="44"/>
      <c r="AV759" s="44"/>
      <c r="AW759" s="44"/>
      <c r="AX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c r="AG760" s="44"/>
      <c r="AH760" s="44"/>
      <c r="AI760" s="44"/>
      <c r="AJ760" s="44"/>
      <c r="AK760" s="44"/>
      <c r="AL760" s="44"/>
      <c r="AM760" s="44"/>
      <c r="AN760" s="44"/>
      <c r="AO760" s="44"/>
      <c r="AP760" s="44"/>
      <c r="AQ760" s="44"/>
      <c r="AR760" s="44"/>
      <c r="AS760" s="44"/>
      <c r="AT760" s="44"/>
      <c r="AU760" s="44"/>
      <c r="AV760" s="44"/>
      <c r="AW760" s="44"/>
      <c r="AX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44"/>
      <c r="AS761" s="44"/>
      <c r="AT761" s="44"/>
      <c r="AU761" s="44"/>
      <c r="AV761" s="44"/>
      <c r="AW761" s="44"/>
      <c r="AX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c r="AN762" s="44"/>
      <c r="AO762" s="44"/>
      <c r="AP762" s="44"/>
      <c r="AQ762" s="44"/>
      <c r="AR762" s="44"/>
      <c r="AS762" s="44"/>
      <c r="AT762" s="44"/>
      <c r="AU762" s="44"/>
      <c r="AV762" s="44"/>
      <c r="AW762" s="44"/>
      <c r="AX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c r="AR763" s="44"/>
      <c r="AS763" s="44"/>
      <c r="AT763" s="44"/>
      <c r="AU763" s="44"/>
      <c r="AV763" s="44"/>
      <c r="AW763" s="44"/>
      <c r="AX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c r="AM764" s="44"/>
      <c r="AN764" s="44"/>
      <c r="AO764" s="44"/>
      <c r="AP764" s="44"/>
      <c r="AQ764" s="44"/>
      <c r="AR764" s="44"/>
      <c r="AS764" s="44"/>
      <c r="AT764" s="44"/>
      <c r="AU764" s="44"/>
      <c r="AV764" s="44"/>
      <c r="AW764" s="44"/>
      <c r="AX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c r="AG765" s="44"/>
      <c r="AH765" s="44"/>
      <c r="AI765" s="44"/>
      <c r="AJ765" s="44"/>
      <c r="AK765" s="44"/>
      <c r="AL765" s="44"/>
      <c r="AM765" s="44"/>
      <c r="AN765" s="44"/>
      <c r="AO765" s="44"/>
      <c r="AP765" s="44"/>
      <c r="AQ765" s="44"/>
      <c r="AR765" s="44"/>
      <c r="AS765" s="44"/>
      <c r="AT765" s="44"/>
      <c r="AU765" s="44"/>
      <c r="AV765" s="44"/>
      <c r="AW765" s="44"/>
      <c r="AX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c r="AG766" s="44"/>
      <c r="AH766" s="44"/>
      <c r="AI766" s="44"/>
      <c r="AJ766" s="44"/>
      <c r="AK766" s="44"/>
      <c r="AL766" s="44"/>
      <c r="AM766" s="44"/>
      <c r="AN766" s="44"/>
      <c r="AO766" s="44"/>
      <c r="AP766" s="44"/>
      <c r="AQ766" s="44"/>
      <c r="AR766" s="44"/>
      <c r="AS766" s="44"/>
      <c r="AT766" s="44"/>
      <c r="AU766" s="44"/>
      <c r="AV766" s="44"/>
      <c r="AW766" s="44"/>
      <c r="AX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c r="AN767" s="44"/>
      <c r="AO767" s="44"/>
      <c r="AP767" s="44"/>
      <c r="AQ767" s="44"/>
      <c r="AR767" s="44"/>
      <c r="AS767" s="44"/>
      <c r="AT767" s="44"/>
      <c r="AU767" s="44"/>
      <c r="AV767" s="44"/>
      <c r="AW767" s="44"/>
      <c r="AX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44"/>
      <c r="AO768" s="44"/>
      <c r="AP768" s="44"/>
      <c r="AQ768" s="44"/>
      <c r="AR768" s="44"/>
      <c r="AS768" s="44"/>
      <c r="AT768" s="44"/>
      <c r="AU768" s="44"/>
      <c r="AV768" s="44"/>
      <c r="AW768" s="44"/>
      <c r="AX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c r="AG769" s="44"/>
      <c r="AH769" s="44"/>
      <c r="AI769" s="44"/>
      <c r="AJ769" s="44"/>
      <c r="AK769" s="44"/>
      <c r="AL769" s="44"/>
      <c r="AM769" s="44"/>
      <c r="AN769" s="44"/>
      <c r="AO769" s="44"/>
      <c r="AP769" s="44"/>
      <c r="AQ769" s="44"/>
      <c r="AR769" s="44"/>
      <c r="AS769" s="44"/>
      <c r="AT769" s="44"/>
      <c r="AU769" s="44"/>
      <c r="AV769" s="44"/>
      <c r="AW769" s="44"/>
      <c r="AX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c r="AN770" s="44"/>
      <c r="AO770" s="44"/>
      <c r="AP770" s="44"/>
      <c r="AQ770" s="44"/>
      <c r="AR770" s="44"/>
      <c r="AS770" s="44"/>
      <c r="AT770" s="44"/>
      <c r="AU770" s="44"/>
      <c r="AV770" s="44"/>
      <c r="AW770" s="44"/>
      <c r="AX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c r="AG771" s="44"/>
      <c r="AH771" s="44"/>
      <c r="AI771" s="44"/>
      <c r="AJ771" s="44"/>
      <c r="AK771" s="44"/>
      <c r="AL771" s="44"/>
      <c r="AM771" s="44"/>
      <c r="AN771" s="44"/>
      <c r="AO771" s="44"/>
      <c r="AP771" s="44"/>
      <c r="AQ771" s="44"/>
      <c r="AR771" s="44"/>
      <c r="AS771" s="44"/>
      <c r="AT771" s="44"/>
      <c r="AU771" s="44"/>
      <c r="AV771" s="44"/>
      <c r="AW771" s="44"/>
      <c r="AX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c r="AN772" s="44"/>
      <c r="AO772" s="44"/>
      <c r="AP772" s="44"/>
      <c r="AQ772" s="44"/>
      <c r="AR772" s="44"/>
      <c r="AS772" s="44"/>
      <c r="AT772" s="44"/>
      <c r="AU772" s="44"/>
      <c r="AV772" s="44"/>
      <c r="AW772" s="44"/>
      <c r="AX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c r="AN773" s="44"/>
      <c r="AO773" s="44"/>
      <c r="AP773" s="44"/>
      <c r="AQ773" s="44"/>
      <c r="AR773" s="44"/>
      <c r="AS773" s="44"/>
      <c r="AT773" s="44"/>
      <c r="AU773" s="44"/>
      <c r="AV773" s="44"/>
      <c r="AW773" s="44"/>
      <c r="AX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c r="AG774" s="44"/>
      <c r="AH774" s="44"/>
      <c r="AI774" s="44"/>
      <c r="AJ774" s="44"/>
      <c r="AK774" s="44"/>
      <c r="AL774" s="44"/>
      <c r="AM774" s="44"/>
      <c r="AN774" s="44"/>
      <c r="AO774" s="44"/>
      <c r="AP774" s="44"/>
      <c r="AQ774" s="44"/>
      <c r="AR774" s="44"/>
      <c r="AS774" s="44"/>
      <c r="AT774" s="44"/>
      <c r="AU774" s="44"/>
      <c r="AV774" s="44"/>
      <c r="AW774" s="44"/>
      <c r="AX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c r="AG775" s="44"/>
      <c r="AH775" s="44"/>
      <c r="AI775" s="44"/>
      <c r="AJ775" s="44"/>
      <c r="AK775" s="44"/>
      <c r="AL775" s="44"/>
      <c r="AM775" s="44"/>
      <c r="AN775" s="44"/>
      <c r="AO775" s="44"/>
      <c r="AP775" s="44"/>
      <c r="AQ775" s="44"/>
      <c r="AR775" s="44"/>
      <c r="AS775" s="44"/>
      <c r="AT775" s="44"/>
      <c r="AU775" s="44"/>
      <c r="AV775" s="44"/>
      <c r="AW775" s="44"/>
      <c r="AX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c r="AN776" s="44"/>
      <c r="AO776" s="44"/>
      <c r="AP776" s="44"/>
      <c r="AQ776" s="44"/>
      <c r="AR776" s="44"/>
      <c r="AS776" s="44"/>
      <c r="AT776" s="44"/>
      <c r="AU776" s="44"/>
      <c r="AV776" s="44"/>
      <c r="AW776" s="44"/>
      <c r="AX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c r="AS777" s="44"/>
      <c r="AT777" s="44"/>
      <c r="AU777" s="44"/>
      <c r="AV777" s="44"/>
      <c r="AW777" s="44"/>
      <c r="AX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c r="AN780" s="44"/>
      <c r="AO780" s="44"/>
      <c r="AP780" s="44"/>
      <c r="AQ780" s="44"/>
      <c r="AR780" s="44"/>
      <c r="AS780" s="44"/>
      <c r="AT780" s="44"/>
      <c r="AU780" s="44"/>
      <c r="AV780" s="44"/>
      <c r="AW780" s="44"/>
      <c r="AX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c r="AR781" s="44"/>
      <c r="AS781" s="44"/>
      <c r="AT781" s="44"/>
      <c r="AU781" s="44"/>
      <c r="AV781" s="44"/>
      <c r="AW781" s="44"/>
      <c r="AX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c r="AS783" s="44"/>
      <c r="AT783" s="44"/>
      <c r="AU783" s="44"/>
      <c r="AV783" s="44"/>
      <c r="AW783" s="44"/>
      <c r="AX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c r="AS786" s="44"/>
      <c r="AT786" s="44"/>
      <c r="AU786" s="44"/>
      <c r="AV786" s="44"/>
      <c r="AW786" s="44"/>
      <c r="AX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c r="AN787" s="44"/>
      <c r="AO787" s="44"/>
      <c r="AP787" s="44"/>
      <c r="AQ787" s="44"/>
      <c r="AR787" s="44"/>
      <c r="AS787" s="44"/>
      <c r="AT787" s="44"/>
      <c r="AU787" s="44"/>
      <c r="AV787" s="44"/>
      <c r="AW787" s="44"/>
      <c r="AX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c r="AR788" s="44"/>
      <c r="AS788" s="44"/>
      <c r="AT788" s="44"/>
      <c r="AU788" s="44"/>
      <c r="AV788" s="44"/>
      <c r="AW788" s="44"/>
      <c r="AX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c r="AS790" s="44"/>
      <c r="AT790" s="44"/>
      <c r="AU790" s="44"/>
      <c r="AV790" s="44"/>
      <c r="AW790" s="44"/>
      <c r="AX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c r="AN794" s="44"/>
      <c r="AO794" s="44"/>
      <c r="AP794" s="44"/>
      <c r="AQ794" s="44"/>
      <c r="AR794" s="44"/>
      <c r="AS794" s="44"/>
      <c r="AT794" s="44"/>
      <c r="AU794" s="44"/>
      <c r="AV794" s="44"/>
      <c r="AW794" s="44"/>
      <c r="AX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c r="AN795" s="44"/>
      <c r="AO795" s="44"/>
      <c r="AP795" s="44"/>
      <c r="AQ795" s="44"/>
      <c r="AR795" s="44"/>
      <c r="AS795" s="44"/>
      <c r="AT795" s="44"/>
      <c r="AU795" s="44"/>
      <c r="AV795" s="44"/>
      <c r="AW795" s="44"/>
      <c r="AX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c r="AR796" s="44"/>
      <c r="AS796" s="44"/>
      <c r="AT796" s="44"/>
      <c r="AU796" s="44"/>
      <c r="AV796" s="44"/>
      <c r="AW796" s="44"/>
      <c r="AX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c r="AS798" s="44"/>
      <c r="AT798" s="44"/>
      <c r="AU798" s="44"/>
      <c r="AV798" s="44"/>
      <c r="AW798" s="44"/>
      <c r="AX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c r="AS800" s="44"/>
      <c r="AT800" s="44"/>
      <c r="AU800" s="44"/>
      <c r="AV800" s="44"/>
      <c r="AW800" s="44"/>
      <c r="AX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c r="AS801" s="44"/>
      <c r="AT801" s="44"/>
      <c r="AU801" s="44"/>
      <c r="AV801" s="44"/>
      <c r="AW801" s="44"/>
      <c r="AX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c r="AR802" s="44"/>
      <c r="AS802" s="44"/>
      <c r="AT802" s="44"/>
      <c r="AU802" s="44"/>
      <c r="AV802" s="44"/>
      <c r="AW802" s="44"/>
      <c r="AX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c r="AR803" s="44"/>
      <c r="AS803" s="44"/>
      <c r="AT803" s="44"/>
      <c r="AU803" s="44"/>
      <c r="AV803" s="44"/>
      <c r="AW803" s="44"/>
      <c r="AX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c r="AR804" s="44"/>
      <c r="AS804" s="44"/>
      <c r="AT804" s="44"/>
      <c r="AU804" s="44"/>
      <c r="AV804" s="44"/>
      <c r="AW804" s="44"/>
      <c r="AX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c r="AR805" s="44"/>
      <c r="AS805" s="44"/>
      <c r="AT805" s="44"/>
      <c r="AU805" s="44"/>
      <c r="AV805" s="44"/>
      <c r="AW805" s="44"/>
      <c r="AX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c r="AR806" s="44"/>
      <c r="AS806" s="44"/>
      <c r="AT806" s="44"/>
      <c r="AU806" s="44"/>
      <c r="AV806" s="44"/>
      <c r="AW806" s="44"/>
      <c r="AX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c r="AR807" s="44"/>
      <c r="AS807" s="44"/>
      <c r="AT807" s="44"/>
      <c r="AU807" s="44"/>
      <c r="AV807" s="44"/>
      <c r="AW807" s="44"/>
      <c r="AX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c r="AS810" s="44"/>
      <c r="AT810" s="44"/>
      <c r="AU810" s="44"/>
      <c r="AV810" s="44"/>
      <c r="AW810" s="44"/>
      <c r="AX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c r="AS811" s="44"/>
      <c r="AT811" s="44"/>
      <c r="AU811" s="44"/>
      <c r="AV811" s="44"/>
      <c r="AW811" s="44"/>
      <c r="AX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c r="AS812" s="44"/>
      <c r="AT812" s="44"/>
      <c r="AU812" s="44"/>
      <c r="AV812" s="44"/>
      <c r="AW812" s="44"/>
      <c r="AX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c r="AS813" s="44"/>
      <c r="AT813" s="44"/>
      <c r="AU813" s="44"/>
      <c r="AV813" s="44"/>
      <c r="AW813" s="44"/>
      <c r="AX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c r="AS815" s="44"/>
      <c r="AT815" s="44"/>
      <c r="AU815" s="44"/>
      <c r="AV815" s="44"/>
      <c r="AW815" s="44"/>
      <c r="AX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c r="AS816" s="44"/>
      <c r="AT816" s="44"/>
      <c r="AU816" s="44"/>
      <c r="AV816" s="44"/>
      <c r="AW816" s="44"/>
      <c r="AX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c r="AR817" s="44"/>
      <c r="AS817" s="44"/>
      <c r="AT817" s="44"/>
      <c r="AU817" s="44"/>
      <c r="AV817" s="44"/>
      <c r="AW817" s="44"/>
      <c r="AX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c r="AR818" s="44"/>
      <c r="AS818" s="44"/>
      <c r="AT818" s="44"/>
      <c r="AU818" s="44"/>
      <c r="AV818" s="44"/>
      <c r="AW818" s="44"/>
      <c r="AX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c r="AR819" s="44"/>
      <c r="AS819" s="44"/>
      <c r="AT819" s="44"/>
      <c r="AU819" s="44"/>
      <c r="AV819" s="44"/>
      <c r="AW819" s="44"/>
      <c r="AX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c r="AR820" s="44"/>
      <c r="AS820" s="44"/>
      <c r="AT820" s="44"/>
      <c r="AU820" s="44"/>
      <c r="AV820" s="44"/>
      <c r="AW820" s="44"/>
      <c r="AX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4"/>
      <c r="AV824" s="44"/>
      <c r="AW824" s="44"/>
      <c r="AX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c r="AR826" s="44"/>
      <c r="AS826" s="44"/>
      <c r="AT826" s="44"/>
      <c r="AU826" s="44"/>
      <c r="AV826" s="44"/>
      <c r="AW826" s="44"/>
      <c r="AX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4"/>
      <c r="AV827" s="44"/>
      <c r="AW827" s="44"/>
      <c r="AX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4"/>
      <c r="AV829" s="44"/>
      <c r="AW829" s="44"/>
      <c r="AX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c r="AR830" s="44"/>
      <c r="AS830" s="44"/>
      <c r="AT830" s="44"/>
      <c r="AU830" s="44"/>
      <c r="AV830" s="44"/>
      <c r="AW830" s="44"/>
      <c r="AX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c r="AR834" s="44"/>
      <c r="AS834" s="44"/>
      <c r="AT834" s="44"/>
      <c r="AU834" s="44"/>
      <c r="AV834" s="44"/>
      <c r="AW834" s="44"/>
      <c r="AX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4"/>
      <c r="AV835" s="44"/>
      <c r="AW835" s="44"/>
      <c r="AX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c r="AR838" s="44"/>
      <c r="AS838" s="44"/>
      <c r="AT838" s="44"/>
      <c r="AU838" s="44"/>
      <c r="AV838" s="44"/>
      <c r="AW838" s="44"/>
      <c r="AX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c r="AS840" s="44"/>
      <c r="AT840" s="44"/>
      <c r="AU840" s="44"/>
      <c r="AV840" s="44"/>
      <c r="AW840" s="44"/>
      <c r="AX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c r="AS842" s="44"/>
      <c r="AT842" s="44"/>
      <c r="AU842" s="44"/>
      <c r="AV842" s="44"/>
      <c r="AW842" s="44"/>
      <c r="AX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c r="AS844" s="44"/>
      <c r="AT844" s="44"/>
      <c r="AU844" s="44"/>
      <c r="AV844" s="44"/>
      <c r="AW844" s="44"/>
      <c r="AX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c r="AS845" s="44"/>
      <c r="AT845" s="44"/>
      <c r="AU845" s="44"/>
      <c r="AV845" s="44"/>
      <c r="AW845" s="44"/>
      <c r="AX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c r="AR846" s="44"/>
      <c r="AS846" s="44"/>
      <c r="AT846" s="44"/>
      <c r="AU846" s="44"/>
      <c r="AV846" s="44"/>
      <c r="AW846" s="44"/>
      <c r="AX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c r="AS847" s="44"/>
      <c r="AT847" s="44"/>
      <c r="AU847" s="44"/>
      <c r="AV847" s="44"/>
      <c r="AW847" s="44"/>
      <c r="AX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c r="AS848" s="44"/>
      <c r="AT848" s="44"/>
      <c r="AU848" s="44"/>
      <c r="AV848" s="44"/>
      <c r="AW848" s="44"/>
      <c r="AX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c r="AR852" s="44"/>
      <c r="AS852" s="44"/>
      <c r="AT852" s="44"/>
      <c r="AU852" s="44"/>
      <c r="AV852" s="44"/>
      <c r="AW852" s="44"/>
      <c r="AX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c r="AS853" s="44"/>
      <c r="AT853" s="44"/>
      <c r="AU853" s="44"/>
      <c r="AV853" s="44"/>
      <c r="AW853" s="44"/>
      <c r="AX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c r="AS856" s="44"/>
      <c r="AT856" s="44"/>
      <c r="AU856" s="44"/>
      <c r="AV856" s="44"/>
      <c r="AW856" s="44"/>
      <c r="AX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c r="AS857" s="44"/>
      <c r="AT857" s="44"/>
      <c r="AU857" s="44"/>
      <c r="AV857" s="44"/>
      <c r="AW857" s="44"/>
      <c r="AX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c r="AR858" s="44"/>
      <c r="AS858" s="44"/>
      <c r="AT858" s="44"/>
      <c r="AU858" s="44"/>
      <c r="AV858" s="44"/>
      <c r="AW858" s="44"/>
      <c r="AX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c r="AS859" s="44"/>
      <c r="AT859" s="44"/>
      <c r="AU859" s="44"/>
      <c r="AV859" s="44"/>
      <c r="AW859" s="44"/>
      <c r="AX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c r="AR863" s="44"/>
      <c r="AS863" s="44"/>
      <c r="AT863" s="44"/>
      <c r="AU863" s="44"/>
      <c r="AV863" s="44"/>
      <c r="AW863" s="44"/>
      <c r="AX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c r="AR864" s="44"/>
      <c r="AS864" s="44"/>
      <c r="AT864" s="44"/>
      <c r="AU864" s="44"/>
      <c r="AV864" s="44"/>
      <c r="AW864" s="44"/>
      <c r="AX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c r="AR865" s="44"/>
      <c r="AS865" s="44"/>
      <c r="AT865" s="44"/>
      <c r="AU865" s="44"/>
      <c r="AV865" s="44"/>
      <c r="AW865" s="44"/>
      <c r="AX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c r="AR866" s="44"/>
      <c r="AS866" s="44"/>
      <c r="AT866" s="44"/>
      <c r="AU866" s="44"/>
      <c r="AV866" s="44"/>
      <c r="AW866" s="44"/>
      <c r="AX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c r="AS867" s="44"/>
      <c r="AT867" s="44"/>
      <c r="AU867" s="44"/>
      <c r="AV867" s="44"/>
      <c r="AW867" s="44"/>
      <c r="AX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c r="AR868" s="44"/>
      <c r="AS868" s="44"/>
      <c r="AT868" s="44"/>
      <c r="AU868" s="44"/>
      <c r="AV868" s="44"/>
      <c r="AW868" s="44"/>
      <c r="AX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c r="AR869" s="44"/>
      <c r="AS869" s="44"/>
      <c r="AT869" s="44"/>
      <c r="AU869" s="44"/>
      <c r="AV869" s="44"/>
      <c r="AW869" s="44"/>
      <c r="AX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c r="AR870" s="44"/>
      <c r="AS870" s="44"/>
      <c r="AT870" s="44"/>
      <c r="AU870" s="44"/>
      <c r="AV870" s="44"/>
      <c r="AW870" s="44"/>
      <c r="AX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c r="AR871" s="44"/>
      <c r="AS871" s="44"/>
      <c r="AT871" s="44"/>
      <c r="AU871" s="44"/>
      <c r="AV871" s="44"/>
      <c r="AW871" s="44"/>
      <c r="AX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c r="AR872" s="44"/>
      <c r="AS872" s="44"/>
      <c r="AT872" s="44"/>
      <c r="AU872" s="44"/>
      <c r="AV872" s="44"/>
      <c r="AW872" s="44"/>
      <c r="AX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c r="AS873" s="44"/>
      <c r="AT873" s="44"/>
      <c r="AU873" s="44"/>
      <c r="AV873" s="44"/>
      <c r="AW873" s="44"/>
      <c r="AX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c r="AR874" s="44"/>
      <c r="AS874" s="44"/>
      <c r="AT874" s="44"/>
      <c r="AU874" s="44"/>
      <c r="AV874" s="44"/>
      <c r="AW874" s="44"/>
      <c r="AX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c r="AR875" s="44"/>
      <c r="AS875" s="44"/>
      <c r="AT875" s="44"/>
      <c r="AU875" s="44"/>
      <c r="AV875" s="44"/>
      <c r="AW875" s="44"/>
      <c r="AX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c r="AR876" s="44"/>
      <c r="AS876" s="44"/>
      <c r="AT876" s="44"/>
      <c r="AU876" s="44"/>
      <c r="AV876" s="44"/>
      <c r="AW876" s="44"/>
      <c r="AX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c r="AG877" s="44"/>
      <c r="AH877" s="44"/>
      <c r="AI877" s="44"/>
      <c r="AJ877" s="44"/>
      <c r="AK877" s="44"/>
      <c r="AL877" s="44"/>
      <c r="AM877" s="44"/>
      <c r="AN877" s="44"/>
      <c r="AO877" s="44"/>
      <c r="AP877" s="44"/>
      <c r="AQ877" s="44"/>
      <c r="AR877" s="44"/>
      <c r="AS877" s="44"/>
      <c r="AT877" s="44"/>
      <c r="AU877" s="44"/>
      <c r="AV877" s="44"/>
      <c r="AW877" s="44"/>
      <c r="AX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c r="AG878" s="44"/>
      <c r="AH878" s="44"/>
      <c r="AI878" s="44"/>
      <c r="AJ878" s="44"/>
      <c r="AK878" s="44"/>
      <c r="AL878" s="44"/>
      <c r="AM878" s="44"/>
      <c r="AN878" s="44"/>
      <c r="AO878" s="44"/>
      <c r="AP878" s="44"/>
      <c r="AQ878" s="44"/>
      <c r="AR878" s="44"/>
      <c r="AS878" s="44"/>
      <c r="AT878" s="44"/>
      <c r="AU878" s="44"/>
      <c r="AV878" s="44"/>
      <c r="AW878" s="44"/>
      <c r="AX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c r="AN879" s="44"/>
      <c r="AO879" s="44"/>
      <c r="AP879" s="44"/>
      <c r="AQ879" s="44"/>
      <c r="AR879" s="44"/>
      <c r="AS879" s="44"/>
      <c r="AT879" s="44"/>
      <c r="AU879" s="44"/>
      <c r="AV879" s="44"/>
      <c r="AW879" s="44"/>
      <c r="AX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c r="AN880" s="44"/>
      <c r="AO880" s="44"/>
      <c r="AP880" s="44"/>
      <c r="AQ880" s="44"/>
      <c r="AR880" s="44"/>
      <c r="AS880" s="44"/>
      <c r="AT880" s="44"/>
      <c r="AU880" s="44"/>
      <c r="AV880" s="44"/>
      <c r="AW880" s="44"/>
      <c r="AX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c r="AN881" s="44"/>
      <c r="AO881" s="44"/>
      <c r="AP881" s="44"/>
      <c r="AQ881" s="44"/>
      <c r="AR881" s="44"/>
      <c r="AS881" s="44"/>
      <c r="AT881" s="44"/>
      <c r="AU881" s="44"/>
      <c r="AV881" s="44"/>
      <c r="AW881" s="44"/>
      <c r="AX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c r="AR882" s="44"/>
      <c r="AS882" s="44"/>
      <c r="AT882" s="44"/>
      <c r="AU882" s="44"/>
      <c r="AV882" s="44"/>
      <c r="AW882" s="44"/>
      <c r="AX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c r="AN883" s="44"/>
      <c r="AO883" s="44"/>
      <c r="AP883" s="44"/>
      <c r="AQ883" s="44"/>
      <c r="AR883" s="44"/>
      <c r="AS883" s="44"/>
      <c r="AT883" s="44"/>
      <c r="AU883" s="44"/>
      <c r="AV883" s="44"/>
      <c r="AW883" s="44"/>
      <c r="AX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c r="AN884" s="44"/>
      <c r="AO884" s="44"/>
      <c r="AP884" s="44"/>
      <c r="AQ884" s="44"/>
      <c r="AR884" s="44"/>
      <c r="AS884" s="44"/>
      <c r="AT884" s="44"/>
      <c r="AU884" s="44"/>
      <c r="AV884" s="44"/>
      <c r="AW884" s="44"/>
      <c r="AX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c r="AN885" s="44"/>
      <c r="AO885" s="44"/>
      <c r="AP885" s="44"/>
      <c r="AQ885" s="44"/>
      <c r="AR885" s="44"/>
      <c r="AS885" s="44"/>
      <c r="AT885" s="44"/>
      <c r="AU885" s="44"/>
      <c r="AV885" s="44"/>
      <c r="AW885" s="44"/>
      <c r="AX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c r="AR886" s="44"/>
      <c r="AS886" s="44"/>
      <c r="AT886" s="44"/>
      <c r="AU886" s="44"/>
      <c r="AV886" s="44"/>
      <c r="AW886" s="44"/>
      <c r="AX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c r="AN887" s="44"/>
      <c r="AO887" s="44"/>
      <c r="AP887" s="44"/>
      <c r="AQ887" s="44"/>
      <c r="AR887" s="44"/>
      <c r="AS887" s="44"/>
      <c r="AT887" s="44"/>
      <c r="AU887" s="44"/>
      <c r="AV887" s="44"/>
      <c r="AW887" s="44"/>
      <c r="AX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c r="AN888" s="44"/>
      <c r="AO888" s="44"/>
      <c r="AP888" s="44"/>
      <c r="AQ888" s="44"/>
      <c r="AR888" s="44"/>
      <c r="AS888" s="44"/>
      <c r="AT888" s="44"/>
      <c r="AU888" s="44"/>
      <c r="AV888" s="44"/>
      <c r="AW888" s="44"/>
      <c r="AX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c r="AR889" s="44"/>
      <c r="AS889" s="44"/>
      <c r="AT889" s="44"/>
      <c r="AU889" s="44"/>
      <c r="AV889" s="44"/>
      <c r="AW889" s="44"/>
      <c r="AX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c r="AG890" s="44"/>
      <c r="AH890" s="44"/>
      <c r="AI890" s="44"/>
      <c r="AJ890" s="44"/>
      <c r="AK890" s="44"/>
      <c r="AL890" s="44"/>
      <c r="AM890" s="44"/>
      <c r="AN890" s="44"/>
      <c r="AO890" s="44"/>
      <c r="AP890" s="44"/>
      <c r="AQ890" s="44"/>
      <c r="AR890" s="44"/>
      <c r="AS890" s="44"/>
      <c r="AT890" s="44"/>
      <c r="AU890" s="44"/>
      <c r="AV890" s="44"/>
      <c r="AW890" s="44"/>
      <c r="AX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c r="AR891" s="44"/>
      <c r="AS891" s="44"/>
      <c r="AT891" s="44"/>
      <c r="AU891" s="44"/>
      <c r="AV891" s="44"/>
      <c r="AW891" s="44"/>
      <c r="AX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c r="AN892" s="44"/>
      <c r="AO892" s="44"/>
      <c r="AP892" s="44"/>
      <c r="AQ892" s="44"/>
      <c r="AR892" s="44"/>
      <c r="AS892" s="44"/>
      <c r="AT892" s="44"/>
      <c r="AU892" s="44"/>
      <c r="AV892" s="44"/>
      <c r="AW892" s="44"/>
      <c r="AX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c r="AN893" s="44"/>
      <c r="AO893" s="44"/>
      <c r="AP893" s="44"/>
      <c r="AQ893" s="44"/>
      <c r="AR893" s="44"/>
      <c r="AS893" s="44"/>
      <c r="AT893" s="44"/>
      <c r="AU893" s="44"/>
      <c r="AV893" s="44"/>
      <c r="AW893" s="44"/>
      <c r="AX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c r="AN894" s="44"/>
      <c r="AO894" s="44"/>
      <c r="AP894" s="44"/>
      <c r="AQ894" s="44"/>
      <c r="AR894" s="44"/>
      <c r="AS894" s="44"/>
      <c r="AT894" s="44"/>
      <c r="AU894" s="44"/>
      <c r="AV894" s="44"/>
      <c r="AW894" s="44"/>
      <c r="AX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c r="AR895" s="44"/>
      <c r="AS895" s="44"/>
      <c r="AT895" s="44"/>
      <c r="AU895" s="44"/>
      <c r="AV895" s="44"/>
      <c r="AW895" s="44"/>
      <c r="AX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c r="AN896" s="44"/>
      <c r="AO896" s="44"/>
      <c r="AP896" s="44"/>
      <c r="AQ896" s="44"/>
      <c r="AR896" s="44"/>
      <c r="AS896" s="44"/>
      <c r="AT896" s="44"/>
      <c r="AU896" s="44"/>
      <c r="AV896" s="44"/>
      <c r="AW896" s="44"/>
      <c r="AX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c r="AN897" s="44"/>
      <c r="AO897" s="44"/>
      <c r="AP897" s="44"/>
      <c r="AQ897" s="44"/>
      <c r="AR897" s="44"/>
      <c r="AS897" s="44"/>
      <c r="AT897" s="44"/>
      <c r="AU897" s="44"/>
      <c r="AV897" s="44"/>
      <c r="AW897" s="44"/>
      <c r="AX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c r="AR898" s="44"/>
      <c r="AS898" s="44"/>
      <c r="AT898" s="44"/>
      <c r="AU898" s="44"/>
      <c r="AV898" s="44"/>
      <c r="AW898" s="44"/>
      <c r="AX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c r="AN899" s="44"/>
      <c r="AO899" s="44"/>
      <c r="AP899" s="44"/>
      <c r="AQ899" s="44"/>
      <c r="AR899" s="44"/>
      <c r="AS899" s="44"/>
      <c r="AT899" s="44"/>
      <c r="AU899" s="44"/>
      <c r="AV899" s="44"/>
      <c r="AW899" s="44"/>
      <c r="AX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c r="AR900" s="44"/>
      <c r="AS900" s="44"/>
      <c r="AT900" s="44"/>
      <c r="AU900" s="44"/>
      <c r="AV900" s="44"/>
      <c r="AW900" s="44"/>
      <c r="AX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c r="AN901" s="44"/>
      <c r="AO901" s="44"/>
      <c r="AP901" s="44"/>
      <c r="AQ901" s="44"/>
      <c r="AR901" s="44"/>
      <c r="AS901" s="44"/>
      <c r="AT901" s="44"/>
      <c r="AU901" s="44"/>
      <c r="AV901" s="44"/>
      <c r="AW901" s="44"/>
      <c r="AX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c r="AN902" s="44"/>
      <c r="AO902" s="44"/>
      <c r="AP902" s="44"/>
      <c r="AQ902" s="44"/>
      <c r="AR902" s="44"/>
      <c r="AS902" s="44"/>
      <c r="AT902" s="44"/>
      <c r="AU902" s="44"/>
      <c r="AV902" s="44"/>
      <c r="AW902" s="44"/>
      <c r="AX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c r="AG903" s="44"/>
      <c r="AH903" s="44"/>
      <c r="AI903" s="44"/>
      <c r="AJ903" s="44"/>
      <c r="AK903" s="44"/>
      <c r="AL903" s="44"/>
      <c r="AM903" s="44"/>
      <c r="AN903" s="44"/>
      <c r="AO903" s="44"/>
      <c r="AP903" s="44"/>
      <c r="AQ903" s="44"/>
      <c r="AR903" s="44"/>
      <c r="AS903" s="44"/>
      <c r="AT903" s="44"/>
      <c r="AU903" s="44"/>
      <c r="AV903" s="44"/>
      <c r="AW903" s="44"/>
      <c r="AX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c r="AN904" s="44"/>
      <c r="AO904" s="44"/>
      <c r="AP904" s="44"/>
      <c r="AQ904" s="44"/>
      <c r="AR904" s="44"/>
      <c r="AS904" s="44"/>
      <c r="AT904" s="44"/>
      <c r="AU904" s="44"/>
      <c r="AV904" s="44"/>
      <c r="AW904" s="44"/>
      <c r="AX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c r="AN905" s="44"/>
      <c r="AO905" s="44"/>
      <c r="AP905" s="44"/>
      <c r="AQ905" s="44"/>
      <c r="AR905" s="44"/>
      <c r="AS905" s="44"/>
      <c r="AT905" s="44"/>
      <c r="AU905" s="44"/>
      <c r="AV905" s="44"/>
      <c r="AW905" s="44"/>
      <c r="AX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c r="AN906" s="44"/>
      <c r="AO906" s="44"/>
      <c r="AP906" s="44"/>
      <c r="AQ906" s="44"/>
      <c r="AR906" s="44"/>
      <c r="AS906" s="44"/>
      <c r="AT906" s="44"/>
      <c r="AU906" s="44"/>
      <c r="AV906" s="44"/>
      <c r="AW906" s="44"/>
      <c r="AX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c r="AR907" s="44"/>
      <c r="AS907" s="44"/>
      <c r="AT907" s="44"/>
      <c r="AU907" s="44"/>
      <c r="AV907" s="44"/>
      <c r="AW907" s="44"/>
      <c r="AX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c r="AR908" s="44"/>
      <c r="AS908" s="44"/>
      <c r="AT908" s="44"/>
      <c r="AU908" s="44"/>
      <c r="AV908" s="44"/>
      <c r="AW908" s="44"/>
      <c r="AX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c r="AG909" s="44"/>
      <c r="AH909" s="44"/>
      <c r="AI909" s="44"/>
      <c r="AJ909" s="44"/>
      <c r="AK909" s="44"/>
      <c r="AL909" s="44"/>
      <c r="AM909" s="44"/>
      <c r="AN909" s="44"/>
      <c r="AO909" s="44"/>
      <c r="AP909" s="44"/>
      <c r="AQ909" s="44"/>
      <c r="AR909" s="44"/>
      <c r="AS909" s="44"/>
      <c r="AT909" s="44"/>
      <c r="AU909" s="44"/>
      <c r="AV909" s="44"/>
      <c r="AW909" s="44"/>
      <c r="AX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c r="AR910" s="44"/>
      <c r="AS910" s="44"/>
      <c r="AT910" s="44"/>
      <c r="AU910" s="44"/>
      <c r="AV910" s="44"/>
      <c r="AW910" s="44"/>
      <c r="AX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c r="AN911" s="44"/>
      <c r="AO911" s="44"/>
      <c r="AP911" s="44"/>
      <c r="AQ911" s="44"/>
      <c r="AR911" s="44"/>
      <c r="AS911" s="44"/>
      <c r="AT911" s="44"/>
      <c r="AU911" s="44"/>
      <c r="AV911" s="44"/>
      <c r="AW911" s="44"/>
      <c r="AX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c r="AR912" s="44"/>
      <c r="AS912" s="44"/>
      <c r="AT912" s="44"/>
      <c r="AU912" s="44"/>
      <c r="AV912" s="44"/>
      <c r="AW912" s="44"/>
      <c r="AX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c r="AG913" s="44"/>
      <c r="AH913" s="44"/>
      <c r="AI913" s="44"/>
      <c r="AJ913" s="44"/>
      <c r="AK913" s="44"/>
      <c r="AL913" s="44"/>
      <c r="AM913" s="44"/>
      <c r="AN913" s="44"/>
      <c r="AO913" s="44"/>
      <c r="AP913" s="44"/>
      <c r="AQ913" s="44"/>
      <c r="AR913" s="44"/>
      <c r="AS913" s="44"/>
      <c r="AT913" s="44"/>
      <c r="AU913" s="44"/>
      <c r="AV913" s="44"/>
      <c r="AW913" s="44"/>
      <c r="AX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c r="AR914" s="44"/>
      <c r="AS914" s="44"/>
      <c r="AT914" s="44"/>
      <c r="AU914" s="44"/>
      <c r="AV914" s="44"/>
      <c r="AW914" s="44"/>
      <c r="AX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c r="AR915" s="44"/>
      <c r="AS915" s="44"/>
      <c r="AT915" s="44"/>
      <c r="AU915" s="44"/>
      <c r="AV915" s="44"/>
      <c r="AW915" s="44"/>
      <c r="AX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c r="AR916" s="44"/>
      <c r="AS916" s="44"/>
      <c r="AT916" s="44"/>
      <c r="AU916" s="44"/>
      <c r="AV916" s="44"/>
      <c r="AW916" s="44"/>
      <c r="AX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c r="AG917" s="44"/>
      <c r="AH917" s="44"/>
      <c r="AI917" s="44"/>
      <c r="AJ917" s="44"/>
      <c r="AK917" s="44"/>
      <c r="AL917" s="44"/>
      <c r="AM917" s="44"/>
      <c r="AN917" s="44"/>
      <c r="AO917" s="44"/>
      <c r="AP917" s="44"/>
      <c r="AQ917" s="44"/>
      <c r="AR917" s="44"/>
      <c r="AS917" s="44"/>
      <c r="AT917" s="44"/>
      <c r="AU917" s="44"/>
      <c r="AV917" s="44"/>
      <c r="AW917" s="44"/>
      <c r="AX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44"/>
      <c r="AO918" s="44"/>
      <c r="AP918" s="44"/>
      <c r="AQ918" s="44"/>
      <c r="AR918" s="44"/>
      <c r="AS918" s="44"/>
      <c r="AT918" s="44"/>
      <c r="AU918" s="44"/>
      <c r="AV918" s="44"/>
      <c r="AW918" s="44"/>
      <c r="AX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c r="AN919" s="44"/>
      <c r="AO919" s="44"/>
      <c r="AP919" s="44"/>
      <c r="AQ919" s="44"/>
      <c r="AR919" s="44"/>
      <c r="AS919" s="44"/>
      <c r="AT919" s="44"/>
      <c r="AU919" s="44"/>
      <c r="AV919" s="44"/>
      <c r="AW919" s="44"/>
      <c r="AX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c r="AR920" s="44"/>
      <c r="AS920" s="44"/>
      <c r="AT920" s="44"/>
      <c r="AU920" s="44"/>
      <c r="AV920" s="44"/>
      <c r="AW920" s="44"/>
      <c r="AX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c r="AG921" s="44"/>
      <c r="AH921" s="44"/>
      <c r="AI921" s="44"/>
      <c r="AJ921" s="44"/>
      <c r="AK921" s="44"/>
      <c r="AL921" s="44"/>
      <c r="AM921" s="44"/>
      <c r="AN921" s="44"/>
      <c r="AO921" s="44"/>
      <c r="AP921" s="44"/>
      <c r="AQ921" s="44"/>
      <c r="AR921" s="44"/>
      <c r="AS921" s="44"/>
      <c r="AT921" s="44"/>
      <c r="AU921" s="44"/>
      <c r="AV921" s="44"/>
      <c r="AW921" s="44"/>
      <c r="AX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c r="AN922" s="44"/>
      <c r="AO922" s="44"/>
      <c r="AP922" s="44"/>
      <c r="AQ922" s="44"/>
      <c r="AR922" s="44"/>
      <c r="AS922" s="44"/>
      <c r="AT922" s="44"/>
      <c r="AU922" s="44"/>
      <c r="AV922" s="44"/>
      <c r="AW922" s="44"/>
      <c r="AX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c r="AN923" s="44"/>
      <c r="AO923" s="44"/>
      <c r="AP923" s="44"/>
      <c r="AQ923" s="44"/>
      <c r="AR923" s="44"/>
      <c r="AS923" s="44"/>
      <c r="AT923" s="44"/>
      <c r="AU923" s="44"/>
      <c r="AV923" s="44"/>
      <c r="AW923" s="44"/>
      <c r="AX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c r="AN924" s="44"/>
      <c r="AO924" s="44"/>
      <c r="AP924" s="44"/>
      <c r="AQ924" s="44"/>
      <c r="AR924" s="44"/>
      <c r="AS924" s="44"/>
      <c r="AT924" s="44"/>
      <c r="AU924" s="44"/>
      <c r="AV924" s="44"/>
      <c r="AW924" s="44"/>
      <c r="AX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c r="AN925" s="44"/>
      <c r="AO925" s="44"/>
      <c r="AP925" s="44"/>
      <c r="AQ925" s="44"/>
      <c r="AR925" s="44"/>
      <c r="AS925" s="44"/>
      <c r="AT925" s="44"/>
      <c r="AU925" s="44"/>
      <c r="AV925" s="44"/>
      <c r="AW925" s="44"/>
      <c r="AX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c r="AR926" s="44"/>
      <c r="AS926" s="44"/>
      <c r="AT926" s="44"/>
      <c r="AU926" s="44"/>
      <c r="AV926" s="44"/>
      <c r="AW926" s="44"/>
      <c r="AX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c r="AN927" s="44"/>
      <c r="AO927" s="44"/>
      <c r="AP927" s="44"/>
      <c r="AQ927" s="44"/>
      <c r="AR927" s="44"/>
      <c r="AS927" s="44"/>
      <c r="AT927" s="44"/>
      <c r="AU927" s="44"/>
      <c r="AV927" s="44"/>
      <c r="AW927" s="44"/>
      <c r="AX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c r="AN928" s="44"/>
      <c r="AO928" s="44"/>
      <c r="AP928" s="44"/>
      <c r="AQ928" s="44"/>
      <c r="AR928" s="44"/>
      <c r="AS928" s="44"/>
      <c r="AT928" s="44"/>
      <c r="AU928" s="44"/>
      <c r="AV928" s="44"/>
      <c r="AW928" s="44"/>
      <c r="AX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c r="AG929" s="44"/>
      <c r="AH929" s="44"/>
      <c r="AI929" s="44"/>
      <c r="AJ929" s="44"/>
      <c r="AK929" s="44"/>
      <c r="AL929" s="44"/>
      <c r="AM929" s="44"/>
      <c r="AN929" s="44"/>
      <c r="AO929" s="44"/>
      <c r="AP929" s="44"/>
      <c r="AQ929" s="44"/>
      <c r="AR929" s="44"/>
      <c r="AS929" s="44"/>
      <c r="AT929" s="44"/>
      <c r="AU929" s="44"/>
      <c r="AV929" s="44"/>
      <c r="AW929" s="44"/>
      <c r="AX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c r="AN930" s="44"/>
      <c r="AO930" s="44"/>
      <c r="AP930" s="44"/>
      <c r="AQ930" s="44"/>
      <c r="AR930" s="44"/>
      <c r="AS930" s="44"/>
      <c r="AT930" s="44"/>
      <c r="AU930" s="44"/>
      <c r="AV930" s="44"/>
      <c r="AW930" s="44"/>
      <c r="AX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c r="AN931" s="44"/>
      <c r="AO931" s="44"/>
      <c r="AP931" s="44"/>
      <c r="AQ931" s="44"/>
      <c r="AR931" s="44"/>
      <c r="AS931" s="44"/>
      <c r="AT931" s="44"/>
      <c r="AU931" s="44"/>
      <c r="AV931" s="44"/>
      <c r="AW931" s="44"/>
      <c r="AX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c r="AR932" s="44"/>
      <c r="AS932" s="44"/>
      <c r="AT932" s="44"/>
      <c r="AU932" s="44"/>
      <c r="AV932" s="44"/>
      <c r="AW932" s="44"/>
      <c r="AX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c r="AN933" s="44"/>
      <c r="AO933" s="44"/>
      <c r="AP933" s="44"/>
      <c r="AQ933" s="44"/>
      <c r="AR933" s="44"/>
      <c r="AS933" s="44"/>
      <c r="AT933" s="44"/>
      <c r="AU933" s="44"/>
      <c r="AV933" s="44"/>
      <c r="AW933" s="44"/>
      <c r="AX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c r="AN934" s="44"/>
      <c r="AO934" s="44"/>
      <c r="AP934" s="44"/>
      <c r="AQ934" s="44"/>
      <c r="AR934" s="44"/>
      <c r="AS934" s="44"/>
      <c r="AT934" s="44"/>
      <c r="AU934" s="44"/>
      <c r="AV934" s="44"/>
      <c r="AW934" s="44"/>
      <c r="AX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c r="AG935" s="44"/>
      <c r="AH935" s="44"/>
      <c r="AI935" s="44"/>
      <c r="AJ935" s="44"/>
      <c r="AK935" s="44"/>
      <c r="AL935" s="44"/>
      <c r="AM935" s="44"/>
      <c r="AN935" s="44"/>
      <c r="AO935" s="44"/>
      <c r="AP935" s="44"/>
      <c r="AQ935" s="44"/>
      <c r="AR935" s="44"/>
      <c r="AS935" s="44"/>
      <c r="AT935" s="44"/>
      <c r="AU935" s="44"/>
      <c r="AV935" s="44"/>
      <c r="AW935" s="44"/>
      <c r="AX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44"/>
      <c r="AO936" s="44"/>
      <c r="AP936" s="44"/>
      <c r="AQ936" s="44"/>
      <c r="AR936" s="44"/>
      <c r="AS936" s="44"/>
      <c r="AT936" s="44"/>
      <c r="AU936" s="44"/>
      <c r="AV936" s="44"/>
      <c r="AW936" s="44"/>
      <c r="AX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c r="AN937" s="44"/>
      <c r="AO937" s="44"/>
      <c r="AP937" s="44"/>
      <c r="AQ937" s="44"/>
      <c r="AR937" s="44"/>
      <c r="AS937" s="44"/>
      <c r="AT937" s="44"/>
      <c r="AU937" s="44"/>
      <c r="AV937" s="44"/>
      <c r="AW937" s="44"/>
      <c r="AX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c r="AR938" s="44"/>
      <c r="AS938" s="44"/>
      <c r="AT938" s="44"/>
      <c r="AU938" s="44"/>
      <c r="AV938" s="44"/>
      <c r="AW938" s="44"/>
      <c r="AX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c r="AN939" s="44"/>
      <c r="AO939" s="44"/>
      <c r="AP939" s="44"/>
      <c r="AQ939" s="44"/>
      <c r="AR939" s="44"/>
      <c r="AS939" s="44"/>
      <c r="AT939" s="44"/>
      <c r="AU939" s="44"/>
      <c r="AV939" s="44"/>
      <c r="AW939" s="44"/>
      <c r="AX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c r="AN940" s="44"/>
      <c r="AO940" s="44"/>
      <c r="AP940" s="44"/>
      <c r="AQ940" s="44"/>
      <c r="AR940" s="44"/>
      <c r="AS940" s="44"/>
      <c r="AT940" s="44"/>
      <c r="AU940" s="44"/>
      <c r="AV940" s="44"/>
      <c r="AW940" s="44"/>
      <c r="AX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c r="AG941" s="44"/>
      <c r="AH941" s="44"/>
      <c r="AI941" s="44"/>
      <c r="AJ941" s="44"/>
      <c r="AK941" s="44"/>
      <c r="AL941" s="44"/>
      <c r="AM941" s="44"/>
      <c r="AN941" s="44"/>
      <c r="AO941" s="44"/>
      <c r="AP941" s="44"/>
      <c r="AQ941" s="44"/>
      <c r="AR941" s="44"/>
      <c r="AS941" s="44"/>
      <c r="AT941" s="44"/>
      <c r="AU941" s="44"/>
      <c r="AV941" s="44"/>
      <c r="AW941" s="44"/>
      <c r="AX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c r="AN942" s="44"/>
      <c r="AO942" s="44"/>
      <c r="AP942" s="44"/>
      <c r="AQ942" s="44"/>
      <c r="AR942" s="44"/>
      <c r="AS942" s="44"/>
      <c r="AT942" s="44"/>
      <c r="AU942" s="44"/>
      <c r="AV942" s="44"/>
      <c r="AW942" s="44"/>
      <c r="AX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c r="AN943" s="44"/>
      <c r="AO943" s="44"/>
      <c r="AP943" s="44"/>
      <c r="AQ943" s="44"/>
      <c r="AR943" s="44"/>
      <c r="AS943" s="44"/>
      <c r="AT943" s="44"/>
      <c r="AU943" s="44"/>
      <c r="AV943" s="44"/>
      <c r="AW943" s="44"/>
      <c r="AX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c r="AR944" s="44"/>
      <c r="AS944" s="44"/>
      <c r="AT944" s="44"/>
      <c r="AU944" s="44"/>
      <c r="AV944" s="44"/>
      <c r="AW944" s="44"/>
      <c r="AX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c r="AN945" s="44"/>
      <c r="AO945" s="44"/>
      <c r="AP945" s="44"/>
      <c r="AQ945" s="44"/>
      <c r="AR945" s="44"/>
      <c r="AS945" s="44"/>
      <c r="AT945" s="44"/>
      <c r="AU945" s="44"/>
      <c r="AV945" s="44"/>
      <c r="AW945" s="44"/>
      <c r="AX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c r="AG946" s="44"/>
      <c r="AH946" s="44"/>
      <c r="AI946" s="44"/>
      <c r="AJ946" s="44"/>
      <c r="AK946" s="44"/>
      <c r="AL946" s="44"/>
      <c r="AM946" s="44"/>
      <c r="AN946" s="44"/>
      <c r="AO946" s="44"/>
      <c r="AP946" s="44"/>
      <c r="AQ946" s="44"/>
      <c r="AR946" s="44"/>
      <c r="AS946" s="44"/>
      <c r="AT946" s="44"/>
      <c r="AU946" s="44"/>
      <c r="AV946" s="44"/>
      <c r="AW946" s="44"/>
      <c r="AX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c r="AG947" s="44"/>
      <c r="AH947" s="44"/>
      <c r="AI947" s="44"/>
      <c r="AJ947" s="44"/>
      <c r="AK947" s="44"/>
      <c r="AL947" s="44"/>
      <c r="AM947" s="44"/>
      <c r="AN947" s="44"/>
      <c r="AO947" s="44"/>
      <c r="AP947" s="44"/>
      <c r="AQ947" s="44"/>
      <c r="AR947" s="44"/>
      <c r="AS947" s="44"/>
      <c r="AT947" s="44"/>
      <c r="AU947" s="44"/>
      <c r="AV947" s="44"/>
      <c r="AW947" s="44"/>
      <c r="AX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c r="AG948" s="44"/>
      <c r="AH948" s="44"/>
      <c r="AI948" s="44"/>
      <c r="AJ948" s="44"/>
      <c r="AK948" s="44"/>
      <c r="AL948" s="44"/>
      <c r="AM948" s="44"/>
      <c r="AN948" s="44"/>
      <c r="AO948" s="44"/>
      <c r="AP948" s="44"/>
      <c r="AQ948" s="44"/>
      <c r="AR948" s="44"/>
      <c r="AS948" s="44"/>
      <c r="AT948" s="44"/>
      <c r="AU948" s="44"/>
      <c r="AV948" s="44"/>
      <c r="AW948" s="44"/>
      <c r="AX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c r="AG949" s="44"/>
      <c r="AH949" s="44"/>
      <c r="AI949" s="44"/>
      <c r="AJ949" s="44"/>
      <c r="AK949" s="44"/>
      <c r="AL949" s="44"/>
      <c r="AM949" s="44"/>
      <c r="AN949" s="44"/>
      <c r="AO949" s="44"/>
      <c r="AP949" s="44"/>
      <c r="AQ949" s="44"/>
      <c r="AR949" s="44"/>
      <c r="AS949" s="44"/>
      <c r="AT949" s="44"/>
      <c r="AU949" s="44"/>
      <c r="AV949" s="44"/>
      <c r="AW949" s="44"/>
      <c r="AX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c r="AN950" s="44"/>
      <c r="AO950" s="44"/>
      <c r="AP950" s="44"/>
      <c r="AQ950" s="44"/>
      <c r="AR950" s="44"/>
      <c r="AS950" s="44"/>
      <c r="AT950" s="44"/>
      <c r="AU950" s="44"/>
      <c r="AV950" s="44"/>
      <c r="AW950" s="44"/>
      <c r="AX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c r="AG951" s="44"/>
      <c r="AH951" s="44"/>
      <c r="AI951" s="44"/>
      <c r="AJ951" s="44"/>
      <c r="AK951" s="44"/>
      <c r="AL951" s="44"/>
      <c r="AM951" s="44"/>
      <c r="AN951" s="44"/>
      <c r="AO951" s="44"/>
      <c r="AP951" s="44"/>
      <c r="AQ951" s="44"/>
      <c r="AR951" s="44"/>
      <c r="AS951" s="44"/>
      <c r="AT951" s="44"/>
      <c r="AU951" s="44"/>
      <c r="AV951" s="44"/>
      <c r="AW951" s="44"/>
      <c r="AX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c r="AN952" s="44"/>
      <c r="AO952" s="44"/>
      <c r="AP952" s="44"/>
      <c r="AQ952" s="44"/>
      <c r="AR952" s="44"/>
      <c r="AS952" s="44"/>
      <c r="AT952" s="44"/>
      <c r="AU952" s="44"/>
      <c r="AV952" s="44"/>
      <c r="AW952" s="44"/>
      <c r="AX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c r="AG953" s="44"/>
      <c r="AH953" s="44"/>
      <c r="AI953" s="44"/>
      <c r="AJ953" s="44"/>
      <c r="AK953" s="44"/>
      <c r="AL953" s="44"/>
      <c r="AM953" s="44"/>
      <c r="AN953" s="44"/>
      <c r="AO953" s="44"/>
      <c r="AP953" s="44"/>
      <c r="AQ953" s="44"/>
      <c r="AR953" s="44"/>
      <c r="AS953" s="44"/>
      <c r="AT953" s="44"/>
      <c r="AU953" s="44"/>
      <c r="AV953" s="44"/>
      <c r="AW953" s="44"/>
      <c r="AX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c r="AG954" s="44"/>
      <c r="AH954" s="44"/>
      <c r="AI954" s="44"/>
      <c r="AJ954" s="44"/>
      <c r="AK954" s="44"/>
      <c r="AL954" s="44"/>
      <c r="AM954" s="44"/>
      <c r="AN954" s="44"/>
      <c r="AO954" s="44"/>
      <c r="AP954" s="44"/>
      <c r="AQ954" s="44"/>
      <c r="AR954" s="44"/>
      <c r="AS954" s="44"/>
      <c r="AT954" s="44"/>
      <c r="AU954" s="44"/>
      <c r="AV954" s="44"/>
      <c r="AW954" s="44"/>
      <c r="AX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c r="AG955" s="44"/>
      <c r="AH955" s="44"/>
      <c r="AI955" s="44"/>
      <c r="AJ955" s="44"/>
      <c r="AK955" s="44"/>
      <c r="AL955" s="44"/>
      <c r="AM955" s="44"/>
      <c r="AN955" s="44"/>
      <c r="AO955" s="44"/>
      <c r="AP955" s="44"/>
      <c r="AQ955" s="44"/>
      <c r="AR955" s="44"/>
      <c r="AS955" s="44"/>
      <c r="AT955" s="44"/>
      <c r="AU955" s="44"/>
      <c r="AV955" s="44"/>
      <c r="AW955" s="44"/>
      <c r="AX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c r="AN956" s="44"/>
      <c r="AO956" s="44"/>
      <c r="AP956" s="44"/>
      <c r="AQ956" s="44"/>
      <c r="AR956" s="44"/>
      <c r="AS956" s="44"/>
      <c r="AT956" s="44"/>
      <c r="AU956" s="44"/>
      <c r="AV956" s="44"/>
      <c r="AW956" s="44"/>
      <c r="AX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c r="AG957" s="44"/>
      <c r="AH957" s="44"/>
      <c r="AI957" s="44"/>
      <c r="AJ957" s="44"/>
      <c r="AK957" s="44"/>
      <c r="AL957" s="44"/>
      <c r="AM957" s="44"/>
      <c r="AN957" s="44"/>
      <c r="AO957" s="44"/>
      <c r="AP957" s="44"/>
      <c r="AQ957" s="44"/>
      <c r="AR957" s="44"/>
      <c r="AS957" s="44"/>
      <c r="AT957" s="44"/>
      <c r="AU957" s="44"/>
      <c r="AV957" s="44"/>
      <c r="AW957" s="44"/>
      <c r="AX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c r="AN958" s="44"/>
      <c r="AO958" s="44"/>
      <c r="AP958" s="44"/>
      <c r="AQ958" s="44"/>
      <c r="AR958" s="44"/>
      <c r="AS958" s="44"/>
      <c r="AT958" s="44"/>
      <c r="AU958" s="44"/>
      <c r="AV958" s="44"/>
      <c r="AW958" s="44"/>
      <c r="AX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c r="AG959" s="44"/>
      <c r="AH959" s="44"/>
      <c r="AI959" s="44"/>
      <c r="AJ959" s="44"/>
      <c r="AK959" s="44"/>
      <c r="AL959" s="44"/>
      <c r="AM959" s="44"/>
      <c r="AN959" s="44"/>
      <c r="AO959" s="44"/>
      <c r="AP959" s="44"/>
      <c r="AQ959" s="44"/>
      <c r="AR959" s="44"/>
      <c r="AS959" s="44"/>
      <c r="AT959" s="44"/>
      <c r="AU959" s="44"/>
      <c r="AV959" s="44"/>
      <c r="AW959" s="44"/>
      <c r="AX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c r="AG960" s="44"/>
      <c r="AH960" s="44"/>
      <c r="AI960" s="44"/>
      <c r="AJ960" s="44"/>
      <c r="AK960" s="44"/>
      <c r="AL960" s="44"/>
      <c r="AM960" s="44"/>
      <c r="AN960" s="44"/>
      <c r="AO960" s="44"/>
      <c r="AP960" s="44"/>
      <c r="AQ960" s="44"/>
      <c r="AR960" s="44"/>
      <c r="AS960" s="44"/>
      <c r="AT960" s="44"/>
      <c r="AU960" s="44"/>
      <c r="AV960" s="44"/>
      <c r="AW960" s="44"/>
      <c r="AX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c r="AG961" s="44"/>
      <c r="AH961" s="44"/>
      <c r="AI961" s="44"/>
      <c r="AJ961" s="44"/>
      <c r="AK961" s="44"/>
      <c r="AL961" s="44"/>
      <c r="AM961" s="44"/>
      <c r="AN961" s="44"/>
      <c r="AO961" s="44"/>
      <c r="AP961" s="44"/>
      <c r="AQ961" s="44"/>
      <c r="AR961" s="44"/>
      <c r="AS961" s="44"/>
      <c r="AT961" s="44"/>
      <c r="AU961" s="44"/>
      <c r="AV961" s="44"/>
      <c r="AW961" s="44"/>
      <c r="AX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c r="AN962" s="44"/>
      <c r="AO962" s="44"/>
      <c r="AP962" s="44"/>
      <c r="AQ962" s="44"/>
      <c r="AR962" s="44"/>
      <c r="AS962" s="44"/>
      <c r="AT962" s="44"/>
      <c r="AU962" s="44"/>
      <c r="AV962" s="44"/>
      <c r="AW962" s="44"/>
      <c r="AX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c r="AG963" s="44"/>
      <c r="AH963" s="44"/>
      <c r="AI963" s="44"/>
      <c r="AJ963" s="44"/>
      <c r="AK963" s="44"/>
      <c r="AL963" s="44"/>
      <c r="AM963" s="44"/>
      <c r="AN963" s="44"/>
      <c r="AO963" s="44"/>
      <c r="AP963" s="44"/>
      <c r="AQ963" s="44"/>
      <c r="AR963" s="44"/>
      <c r="AS963" s="44"/>
      <c r="AT963" s="44"/>
      <c r="AU963" s="44"/>
      <c r="AV963" s="44"/>
      <c r="AW963" s="44"/>
      <c r="AX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44"/>
      <c r="AO964" s="44"/>
      <c r="AP964" s="44"/>
      <c r="AQ964" s="44"/>
      <c r="AR964" s="44"/>
      <c r="AS964" s="44"/>
      <c r="AT964" s="44"/>
      <c r="AU964" s="44"/>
      <c r="AV964" s="44"/>
      <c r="AW964" s="44"/>
      <c r="AX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c r="AG965" s="44"/>
      <c r="AH965" s="44"/>
      <c r="AI965" s="44"/>
      <c r="AJ965" s="44"/>
      <c r="AK965" s="44"/>
      <c r="AL965" s="44"/>
      <c r="AM965" s="44"/>
      <c r="AN965" s="44"/>
      <c r="AO965" s="44"/>
      <c r="AP965" s="44"/>
      <c r="AQ965" s="44"/>
      <c r="AR965" s="44"/>
      <c r="AS965" s="44"/>
      <c r="AT965" s="44"/>
      <c r="AU965" s="44"/>
      <c r="AV965" s="44"/>
      <c r="AW965" s="44"/>
      <c r="AX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c r="AN966" s="44"/>
      <c r="AO966" s="44"/>
      <c r="AP966" s="44"/>
      <c r="AQ966" s="44"/>
      <c r="AR966" s="44"/>
      <c r="AS966" s="44"/>
      <c r="AT966" s="44"/>
      <c r="AU966" s="44"/>
      <c r="AV966" s="44"/>
      <c r="AW966" s="44"/>
      <c r="AX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c r="AG967" s="44"/>
      <c r="AH967" s="44"/>
      <c r="AI967" s="44"/>
      <c r="AJ967" s="44"/>
      <c r="AK967" s="44"/>
      <c r="AL967" s="44"/>
      <c r="AM967" s="44"/>
      <c r="AN967" s="44"/>
      <c r="AO967" s="44"/>
      <c r="AP967" s="44"/>
      <c r="AQ967" s="44"/>
      <c r="AR967" s="44"/>
      <c r="AS967" s="44"/>
      <c r="AT967" s="44"/>
      <c r="AU967" s="44"/>
      <c r="AV967" s="44"/>
      <c r="AW967" s="44"/>
      <c r="AX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c r="AN968" s="44"/>
      <c r="AO968" s="44"/>
      <c r="AP968" s="44"/>
      <c r="AQ968" s="44"/>
      <c r="AR968" s="44"/>
      <c r="AS968" s="44"/>
      <c r="AT968" s="44"/>
      <c r="AU968" s="44"/>
      <c r="AV968" s="44"/>
      <c r="AW968" s="44"/>
      <c r="AX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c r="AN969" s="44"/>
      <c r="AO969" s="44"/>
      <c r="AP969" s="44"/>
      <c r="AQ969" s="44"/>
      <c r="AR969" s="44"/>
      <c r="AS969" s="44"/>
      <c r="AT969" s="44"/>
      <c r="AU969" s="44"/>
      <c r="AV969" s="44"/>
      <c r="AW969" s="44"/>
      <c r="AX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c r="AG970" s="44"/>
      <c r="AH970" s="44"/>
      <c r="AI970" s="44"/>
      <c r="AJ970" s="44"/>
      <c r="AK970" s="44"/>
      <c r="AL970" s="44"/>
      <c r="AM970" s="44"/>
      <c r="AN970" s="44"/>
      <c r="AO970" s="44"/>
      <c r="AP970" s="44"/>
      <c r="AQ970" s="44"/>
      <c r="AR970" s="44"/>
      <c r="AS970" s="44"/>
      <c r="AT970" s="44"/>
      <c r="AU970" s="44"/>
      <c r="AV970" s="44"/>
      <c r="AW970" s="44"/>
      <c r="AX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c r="AG971" s="44"/>
      <c r="AH971" s="44"/>
      <c r="AI971" s="44"/>
      <c r="AJ971" s="44"/>
      <c r="AK971" s="44"/>
      <c r="AL971" s="44"/>
      <c r="AM971" s="44"/>
      <c r="AN971" s="44"/>
      <c r="AO971" s="44"/>
      <c r="AP971" s="44"/>
      <c r="AQ971" s="44"/>
      <c r="AR971" s="44"/>
      <c r="AS971" s="44"/>
      <c r="AT971" s="44"/>
      <c r="AU971" s="44"/>
      <c r="AV971" s="44"/>
      <c r="AW971" s="44"/>
      <c r="AX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c r="AN972" s="44"/>
      <c r="AO972" s="44"/>
      <c r="AP972" s="44"/>
      <c r="AQ972" s="44"/>
      <c r="AR972" s="44"/>
      <c r="AS972" s="44"/>
      <c r="AT972" s="44"/>
      <c r="AU972" s="44"/>
      <c r="AV972" s="44"/>
      <c r="AW972" s="44"/>
      <c r="AX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c r="AG973" s="44"/>
      <c r="AH973" s="44"/>
      <c r="AI973" s="44"/>
      <c r="AJ973" s="44"/>
      <c r="AK973" s="44"/>
      <c r="AL973" s="44"/>
      <c r="AM973" s="44"/>
      <c r="AN973" s="44"/>
      <c r="AO973" s="44"/>
      <c r="AP973" s="44"/>
      <c r="AQ973" s="44"/>
      <c r="AR973" s="44"/>
      <c r="AS973" s="44"/>
      <c r="AT973" s="44"/>
      <c r="AU973" s="44"/>
      <c r="AV973" s="44"/>
      <c r="AW973" s="44"/>
      <c r="AX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c r="AR974" s="44"/>
      <c r="AS974" s="44"/>
      <c r="AT974" s="44"/>
      <c r="AU974" s="44"/>
      <c r="AV974" s="44"/>
      <c r="AW974" s="44"/>
      <c r="AX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c r="AG975" s="44"/>
      <c r="AH975" s="44"/>
      <c r="AI975" s="44"/>
      <c r="AJ975" s="44"/>
      <c r="AK975" s="44"/>
      <c r="AL975" s="44"/>
      <c r="AM975" s="44"/>
      <c r="AN975" s="44"/>
      <c r="AO975" s="44"/>
      <c r="AP975" s="44"/>
      <c r="AQ975" s="44"/>
      <c r="AR975" s="44"/>
      <c r="AS975" s="44"/>
      <c r="AT975" s="44"/>
      <c r="AU975" s="44"/>
      <c r="AV975" s="44"/>
      <c r="AW975" s="44"/>
      <c r="AX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c r="AG976" s="44"/>
      <c r="AH976" s="44"/>
      <c r="AI976" s="44"/>
      <c r="AJ976" s="44"/>
      <c r="AK976" s="44"/>
      <c r="AL976" s="44"/>
      <c r="AM976" s="44"/>
      <c r="AN976" s="44"/>
      <c r="AO976" s="44"/>
      <c r="AP976" s="44"/>
      <c r="AQ976" s="44"/>
      <c r="AR976" s="44"/>
      <c r="AS976" s="44"/>
      <c r="AT976" s="44"/>
      <c r="AU976" s="44"/>
      <c r="AV976" s="44"/>
      <c r="AW976" s="44"/>
      <c r="AX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c r="AG977" s="44"/>
      <c r="AH977" s="44"/>
      <c r="AI977" s="44"/>
      <c r="AJ977" s="44"/>
      <c r="AK977" s="44"/>
      <c r="AL977" s="44"/>
      <c r="AM977" s="44"/>
      <c r="AN977" s="44"/>
      <c r="AO977" s="44"/>
      <c r="AP977" s="44"/>
      <c r="AQ977" s="44"/>
      <c r="AR977" s="44"/>
      <c r="AS977" s="44"/>
      <c r="AT977" s="44"/>
      <c r="AU977" s="44"/>
      <c r="AV977" s="44"/>
      <c r="AW977" s="44"/>
      <c r="AX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c r="AG978" s="44"/>
      <c r="AH978" s="44"/>
      <c r="AI978" s="44"/>
      <c r="AJ978" s="44"/>
      <c r="AK978" s="44"/>
      <c r="AL978" s="44"/>
      <c r="AM978" s="44"/>
      <c r="AN978" s="44"/>
      <c r="AO978" s="44"/>
      <c r="AP978" s="44"/>
      <c r="AQ978" s="44"/>
      <c r="AR978" s="44"/>
      <c r="AS978" s="44"/>
      <c r="AT978" s="44"/>
      <c r="AU978" s="44"/>
      <c r="AV978" s="44"/>
      <c r="AW978" s="44"/>
      <c r="AX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c r="AG979" s="44"/>
      <c r="AH979" s="44"/>
      <c r="AI979" s="44"/>
      <c r="AJ979" s="44"/>
      <c r="AK979" s="44"/>
      <c r="AL979" s="44"/>
      <c r="AM979" s="44"/>
      <c r="AN979" s="44"/>
      <c r="AO979" s="44"/>
      <c r="AP979" s="44"/>
      <c r="AQ979" s="44"/>
      <c r="AR979" s="44"/>
      <c r="AS979" s="44"/>
      <c r="AT979" s="44"/>
      <c r="AU979" s="44"/>
      <c r="AV979" s="44"/>
      <c r="AW979" s="44"/>
      <c r="AX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c r="AE980" s="44"/>
      <c r="AF980" s="44"/>
      <c r="AG980" s="44"/>
      <c r="AH980" s="44"/>
      <c r="AI980" s="44"/>
      <c r="AJ980" s="44"/>
      <c r="AK980" s="44"/>
      <c r="AL980" s="44"/>
      <c r="AM980" s="44"/>
      <c r="AN980" s="44"/>
      <c r="AO980" s="44"/>
      <c r="AP980" s="44"/>
      <c r="AQ980" s="44"/>
      <c r="AR980" s="44"/>
      <c r="AS980" s="44"/>
      <c r="AT980" s="44"/>
      <c r="AU980" s="44"/>
      <c r="AV980" s="44"/>
      <c r="AW980" s="44"/>
      <c r="AX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c r="AE981" s="44"/>
      <c r="AF981" s="44"/>
      <c r="AG981" s="44"/>
      <c r="AH981" s="44"/>
      <c r="AI981" s="44"/>
      <c r="AJ981" s="44"/>
      <c r="AK981" s="44"/>
      <c r="AL981" s="44"/>
      <c r="AM981" s="44"/>
      <c r="AN981" s="44"/>
      <c r="AO981" s="44"/>
      <c r="AP981" s="44"/>
      <c r="AQ981" s="44"/>
      <c r="AR981" s="44"/>
      <c r="AS981" s="44"/>
      <c r="AT981" s="44"/>
      <c r="AU981" s="44"/>
      <c r="AV981" s="44"/>
      <c r="AW981" s="44"/>
      <c r="AX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c r="AE982" s="44"/>
      <c r="AF982" s="44"/>
      <c r="AG982" s="44"/>
      <c r="AH982" s="44"/>
      <c r="AI982" s="44"/>
      <c r="AJ982" s="44"/>
      <c r="AK982" s="44"/>
      <c r="AL982" s="44"/>
      <c r="AM982" s="44"/>
      <c r="AN982" s="44"/>
      <c r="AO982" s="44"/>
      <c r="AP982" s="44"/>
      <c r="AQ982" s="44"/>
      <c r="AR982" s="44"/>
      <c r="AS982" s="44"/>
      <c r="AT982" s="44"/>
      <c r="AU982" s="44"/>
      <c r="AV982" s="44"/>
      <c r="AW982" s="44"/>
      <c r="AX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c r="AE983" s="44"/>
      <c r="AF983" s="44"/>
      <c r="AG983" s="44"/>
      <c r="AH983" s="44"/>
      <c r="AI983" s="44"/>
      <c r="AJ983" s="44"/>
      <c r="AK983" s="44"/>
      <c r="AL983" s="44"/>
      <c r="AM983" s="44"/>
      <c r="AN983" s="44"/>
      <c r="AO983" s="44"/>
      <c r="AP983" s="44"/>
      <c r="AQ983" s="44"/>
      <c r="AR983" s="44"/>
      <c r="AS983" s="44"/>
      <c r="AT983" s="44"/>
      <c r="AU983" s="44"/>
      <c r="AV983" s="44"/>
      <c r="AW983" s="44"/>
      <c r="AX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c r="AE984" s="44"/>
      <c r="AF984" s="44"/>
      <c r="AG984" s="44"/>
      <c r="AH984" s="44"/>
      <c r="AI984" s="44"/>
      <c r="AJ984" s="44"/>
      <c r="AK984" s="44"/>
      <c r="AL984" s="44"/>
      <c r="AM984" s="44"/>
      <c r="AN984" s="44"/>
      <c r="AO984" s="44"/>
      <c r="AP984" s="44"/>
      <c r="AQ984" s="44"/>
      <c r="AR984" s="44"/>
      <c r="AS984" s="44"/>
      <c r="AT984" s="44"/>
      <c r="AU984" s="44"/>
      <c r="AV984" s="44"/>
      <c r="AW984" s="44"/>
      <c r="AX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c r="AD985" s="44"/>
      <c r="AE985" s="44"/>
      <c r="AF985" s="44"/>
      <c r="AG985" s="44"/>
      <c r="AH985" s="44"/>
      <c r="AI985" s="44"/>
      <c r="AJ985" s="44"/>
      <c r="AK985" s="44"/>
      <c r="AL985" s="44"/>
      <c r="AM985" s="44"/>
      <c r="AN985" s="44"/>
      <c r="AO985" s="44"/>
      <c r="AP985" s="44"/>
      <c r="AQ985" s="44"/>
      <c r="AR985" s="44"/>
      <c r="AS985" s="44"/>
      <c r="AT985" s="44"/>
      <c r="AU985" s="44"/>
      <c r="AV985" s="44"/>
      <c r="AW985" s="44"/>
      <c r="AX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c r="AE986" s="44"/>
      <c r="AF986" s="44"/>
      <c r="AG986" s="44"/>
      <c r="AH986" s="44"/>
      <c r="AI986" s="44"/>
      <c r="AJ986" s="44"/>
      <c r="AK986" s="44"/>
      <c r="AL986" s="44"/>
      <c r="AM986" s="44"/>
      <c r="AN986" s="44"/>
      <c r="AO986" s="44"/>
      <c r="AP986" s="44"/>
      <c r="AQ986" s="44"/>
      <c r="AR986" s="44"/>
      <c r="AS986" s="44"/>
      <c r="AT986" s="44"/>
      <c r="AU986" s="44"/>
      <c r="AV986" s="44"/>
      <c r="AW986" s="44"/>
      <c r="AX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c r="AE987" s="44"/>
      <c r="AF987" s="44"/>
      <c r="AG987" s="44"/>
      <c r="AH987" s="44"/>
      <c r="AI987" s="44"/>
      <c r="AJ987" s="44"/>
      <c r="AK987" s="44"/>
      <c r="AL987" s="44"/>
      <c r="AM987" s="44"/>
      <c r="AN987" s="44"/>
      <c r="AO987" s="44"/>
      <c r="AP987" s="44"/>
      <c r="AQ987" s="44"/>
      <c r="AR987" s="44"/>
      <c r="AS987" s="44"/>
      <c r="AT987" s="44"/>
      <c r="AU987" s="44"/>
      <c r="AV987" s="44"/>
      <c r="AW987" s="44"/>
      <c r="AX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c r="AD988" s="44"/>
      <c r="AE988" s="44"/>
      <c r="AF988" s="44"/>
      <c r="AG988" s="44"/>
      <c r="AH988" s="44"/>
      <c r="AI988" s="44"/>
      <c r="AJ988" s="44"/>
      <c r="AK988" s="44"/>
      <c r="AL988" s="44"/>
      <c r="AM988" s="44"/>
      <c r="AN988" s="44"/>
      <c r="AO988" s="44"/>
      <c r="AP988" s="44"/>
      <c r="AQ988" s="44"/>
      <c r="AR988" s="44"/>
      <c r="AS988" s="44"/>
      <c r="AT988" s="44"/>
      <c r="AU988" s="44"/>
      <c r="AV988" s="44"/>
      <c r="AW988" s="44"/>
      <c r="AX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c r="AD989" s="44"/>
      <c r="AE989" s="44"/>
      <c r="AF989" s="44"/>
      <c r="AG989" s="44"/>
      <c r="AH989" s="44"/>
      <c r="AI989" s="44"/>
      <c r="AJ989" s="44"/>
      <c r="AK989" s="44"/>
      <c r="AL989" s="44"/>
      <c r="AM989" s="44"/>
      <c r="AN989" s="44"/>
      <c r="AO989" s="44"/>
      <c r="AP989" s="44"/>
      <c r="AQ989" s="44"/>
      <c r="AR989" s="44"/>
      <c r="AS989" s="44"/>
      <c r="AT989" s="44"/>
      <c r="AU989" s="44"/>
      <c r="AV989" s="44"/>
      <c r="AW989" s="44"/>
      <c r="AX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c r="AE990" s="44"/>
      <c r="AF990" s="44"/>
      <c r="AG990" s="44"/>
      <c r="AH990" s="44"/>
      <c r="AI990" s="44"/>
      <c r="AJ990" s="44"/>
      <c r="AK990" s="44"/>
      <c r="AL990" s="44"/>
      <c r="AM990" s="44"/>
      <c r="AN990" s="44"/>
      <c r="AO990" s="44"/>
      <c r="AP990" s="44"/>
      <c r="AQ990" s="44"/>
      <c r="AR990" s="44"/>
      <c r="AS990" s="44"/>
      <c r="AT990" s="44"/>
      <c r="AU990" s="44"/>
      <c r="AV990" s="44"/>
      <c r="AW990" s="44"/>
      <c r="AX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c r="AE991" s="44"/>
      <c r="AF991" s="44"/>
      <c r="AG991" s="44"/>
      <c r="AH991" s="44"/>
      <c r="AI991" s="44"/>
      <c r="AJ991" s="44"/>
      <c r="AK991" s="44"/>
      <c r="AL991" s="44"/>
      <c r="AM991" s="44"/>
      <c r="AN991" s="44"/>
      <c r="AO991" s="44"/>
      <c r="AP991" s="44"/>
      <c r="AQ991" s="44"/>
      <c r="AR991" s="44"/>
      <c r="AS991" s="44"/>
      <c r="AT991" s="44"/>
      <c r="AU991" s="44"/>
      <c r="AV991" s="44"/>
      <c r="AW991" s="44"/>
      <c r="AX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c r="AD992" s="44"/>
      <c r="AE992" s="44"/>
      <c r="AF992" s="44"/>
      <c r="AG992" s="44"/>
      <c r="AH992" s="44"/>
      <c r="AI992" s="44"/>
      <c r="AJ992" s="44"/>
      <c r="AK992" s="44"/>
      <c r="AL992" s="44"/>
      <c r="AM992" s="44"/>
      <c r="AN992" s="44"/>
      <c r="AO992" s="44"/>
      <c r="AP992" s="44"/>
      <c r="AQ992" s="44"/>
      <c r="AR992" s="44"/>
      <c r="AS992" s="44"/>
      <c r="AT992" s="44"/>
      <c r="AU992" s="44"/>
      <c r="AV992" s="44"/>
      <c r="AW992" s="44"/>
      <c r="AX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c r="AE993" s="44"/>
      <c r="AF993" s="44"/>
      <c r="AG993" s="44"/>
      <c r="AH993" s="44"/>
      <c r="AI993" s="44"/>
      <c r="AJ993" s="44"/>
      <c r="AK993" s="44"/>
      <c r="AL993" s="44"/>
      <c r="AM993" s="44"/>
      <c r="AN993" s="44"/>
      <c r="AO993" s="44"/>
      <c r="AP993" s="44"/>
      <c r="AQ993" s="44"/>
      <c r="AR993" s="44"/>
      <c r="AS993" s="44"/>
      <c r="AT993" s="44"/>
      <c r="AU993" s="44"/>
      <c r="AV993" s="44"/>
      <c r="AW993" s="44"/>
      <c r="AX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c r="AD994" s="44"/>
      <c r="AE994" s="44"/>
      <c r="AF994" s="44"/>
      <c r="AG994" s="44"/>
      <c r="AH994" s="44"/>
      <c r="AI994" s="44"/>
      <c r="AJ994" s="44"/>
      <c r="AK994" s="44"/>
      <c r="AL994" s="44"/>
      <c r="AM994" s="44"/>
      <c r="AN994" s="44"/>
      <c r="AO994" s="44"/>
      <c r="AP994" s="44"/>
      <c r="AQ994" s="44"/>
      <c r="AR994" s="44"/>
      <c r="AS994" s="44"/>
      <c r="AT994" s="44"/>
      <c r="AU994" s="44"/>
      <c r="AV994" s="44"/>
      <c r="AW994" s="44"/>
      <c r="AX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c r="AD995" s="44"/>
      <c r="AE995" s="44"/>
      <c r="AF995" s="44"/>
      <c r="AG995" s="44"/>
      <c r="AH995" s="44"/>
      <c r="AI995" s="44"/>
      <c r="AJ995" s="44"/>
      <c r="AK995" s="44"/>
      <c r="AL995" s="44"/>
      <c r="AM995" s="44"/>
      <c r="AN995" s="44"/>
      <c r="AO995" s="44"/>
      <c r="AP995" s="44"/>
      <c r="AQ995" s="44"/>
      <c r="AR995" s="44"/>
      <c r="AS995" s="44"/>
      <c r="AT995" s="44"/>
      <c r="AU995" s="44"/>
      <c r="AV995" s="44"/>
      <c r="AW995" s="44"/>
      <c r="AX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c r="AE996" s="44"/>
      <c r="AF996" s="44"/>
      <c r="AG996" s="44"/>
      <c r="AH996" s="44"/>
      <c r="AI996" s="44"/>
      <c r="AJ996" s="44"/>
      <c r="AK996" s="44"/>
      <c r="AL996" s="44"/>
      <c r="AM996" s="44"/>
      <c r="AN996" s="44"/>
      <c r="AO996" s="44"/>
      <c r="AP996" s="44"/>
      <c r="AQ996" s="44"/>
      <c r="AR996" s="44"/>
      <c r="AS996" s="44"/>
      <c r="AT996" s="44"/>
      <c r="AU996" s="44"/>
      <c r="AV996" s="44"/>
      <c r="AW996" s="44"/>
      <c r="AX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c r="AD997" s="44"/>
      <c r="AE997" s="44"/>
      <c r="AF997" s="44"/>
      <c r="AG997" s="44"/>
      <c r="AH997" s="44"/>
      <c r="AI997" s="44"/>
      <c r="AJ997" s="44"/>
      <c r="AK997" s="44"/>
      <c r="AL997" s="44"/>
      <c r="AM997" s="44"/>
      <c r="AN997" s="44"/>
      <c r="AO997" s="44"/>
      <c r="AP997" s="44"/>
      <c r="AQ997" s="44"/>
      <c r="AR997" s="44"/>
      <c r="AS997" s="44"/>
      <c r="AT997" s="44"/>
      <c r="AU997" s="44"/>
      <c r="AV997" s="44"/>
      <c r="AW997" s="44"/>
      <c r="AX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c r="AD998" s="44"/>
      <c r="AE998" s="44"/>
      <c r="AF998" s="44"/>
      <c r="AG998" s="44"/>
      <c r="AH998" s="44"/>
      <c r="AI998" s="44"/>
      <c r="AJ998" s="44"/>
      <c r="AK998" s="44"/>
      <c r="AL998" s="44"/>
      <c r="AM998" s="44"/>
      <c r="AN998" s="44"/>
      <c r="AO998" s="44"/>
      <c r="AP998" s="44"/>
      <c r="AQ998" s="44"/>
      <c r="AR998" s="44"/>
      <c r="AS998" s="44"/>
      <c r="AT998" s="44"/>
      <c r="AU998" s="44"/>
      <c r="AV998" s="44"/>
      <c r="AW998" s="44"/>
      <c r="AX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c r="AD999" s="44"/>
      <c r="AE999" s="44"/>
      <c r="AF999" s="44"/>
      <c r="AG999" s="44"/>
      <c r="AH999" s="44"/>
      <c r="AI999" s="44"/>
      <c r="AJ999" s="44"/>
      <c r="AK999" s="44"/>
      <c r="AL999" s="44"/>
      <c r="AM999" s="44"/>
      <c r="AN999" s="44"/>
      <c r="AO999" s="44"/>
      <c r="AP999" s="44"/>
      <c r="AQ999" s="44"/>
      <c r="AR999" s="44"/>
      <c r="AS999" s="44"/>
      <c r="AT999" s="44"/>
      <c r="AU999" s="44"/>
      <c r="AV999" s="44"/>
      <c r="AW999" s="44"/>
      <c r="AX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c r="AE1000" s="44"/>
      <c r="AF1000" s="44"/>
      <c r="AG1000" s="44"/>
      <c r="AH1000" s="44"/>
      <c r="AI1000" s="44"/>
      <c r="AJ1000" s="44"/>
      <c r="AK1000" s="44"/>
      <c r="AL1000" s="44"/>
      <c r="AM1000" s="44"/>
      <c r="AN1000" s="44"/>
      <c r="AO1000" s="44"/>
      <c r="AP1000" s="44"/>
      <c r="AQ1000" s="44"/>
      <c r="AR1000" s="44"/>
      <c r="AS1000" s="44"/>
      <c r="AT1000" s="44"/>
      <c r="AU1000" s="44"/>
      <c r="AV1000" s="44"/>
      <c r="AW1000" s="44"/>
      <c r="AX1000" s="44"/>
    </row>
  </sheetData>
  <hyperlinks>
    <hyperlink r:id="rId1" ref="L4"/>
    <hyperlink r:id="rId2" ref="L5"/>
    <hyperlink r:id="rId3" ref="L6"/>
    <hyperlink r:id="rId4" ref="L7"/>
    <hyperlink r:id="rId5" ref="L8"/>
    <hyperlink r:id="rId6" ref="L9"/>
    <hyperlink r:id="rId7" ref="L10"/>
    <hyperlink r:id="rId8" ref="L11"/>
    <hyperlink r:id="rId9" ref="L12"/>
  </hyperlinks>
  <printOptions/>
  <pageMargins bottom="0.75" footer="0.0" header="0.0" left="0.7" right="0.7" top="0.75"/>
  <pageSetup orientation="portrait"/>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89"/>
    <col customWidth="1" min="17" max="17" width="20.44"/>
    <col customWidth="1" min="18" max="18" width="25.44"/>
    <col customWidth="1" min="19" max="19" width="32.89"/>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67"/>
  </cols>
  <sheetData>
    <row r="1" ht="15.75" customHeight="1">
      <c r="A1" s="1" t="s">
        <v>0</v>
      </c>
      <c r="B1" s="3"/>
      <c r="C1" s="3"/>
      <c r="D1" s="3"/>
      <c r="E1" s="6"/>
      <c r="F1" s="7"/>
      <c r="G1" s="7"/>
      <c r="H1" s="7"/>
      <c r="I1" s="7"/>
      <c r="J1" s="7"/>
      <c r="K1" s="7"/>
      <c r="L1" s="7"/>
      <c r="M1" s="7"/>
      <c r="N1" s="7"/>
      <c r="O1" s="7"/>
      <c r="P1" s="7"/>
      <c r="Q1" s="7"/>
      <c r="R1" s="7"/>
      <c r="S1" s="12"/>
      <c r="T1" s="13"/>
      <c r="U1" s="13"/>
      <c r="V1" s="13"/>
      <c r="W1" s="13"/>
      <c r="X1" s="13"/>
      <c r="Y1" s="13"/>
      <c r="Z1" s="13"/>
      <c r="AA1" s="13"/>
      <c r="AB1" s="13"/>
      <c r="AC1" s="13"/>
      <c r="AD1" s="13"/>
      <c r="AE1" s="14"/>
      <c r="AF1" s="15"/>
    </row>
    <row r="2" ht="15.75" customHeight="1">
      <c r="A2" s="19" t="s">
        <v>10</v>
      </c>
      <c r="B2" s="21"/>
      <c r="C2" s="21"/>
      <c r="D2" s="21"/>
      <c r="E2" s="23"/>
      <c r="F2" s="24" t="s">
        <v>14</v>
      </c>
      <c r="G2" s="25"/>
      <c r="H2" s="25"/>
      <c r="I2" s="25"/>
      <c r="J2" s="25"/>
      <c r="K2" s="25"/>
      <c r="L2" s="25"/>
      <c r="M2" s="25"/>
      <c r="N2" s="25"/>
      <c r="O2" s="25"/>
      <c r="P2" s="25"/>
      <c r="Q2" s="25"/>
      <c r="R2" s="26"/>
      <c r="S2" s="27" t="s">
        <v>29</v>
      </c>
      <c r="T2" s="21"/>
      <c r="U2" s="21"/>
      <c r="V2" s="21"/>
      <c r="W2" s="21"/>
      <c r="X2" s="21"/>
      <c r="Y2" s="21"/>
      <c r="Z2" s="21"/>
      <c r="AA2" s="21"/>
      <c r="AB2" s="21"/>
      <c r="AC2" s="21"/>
      <c r="AD2" s="21"/>
      <c r="AE2" s="23"/>
      <c r="AF2" s="15"/>
    </row>
    <row r="3" ht="15.75" customHeight="1">
      <c r="A3" s="31"/>
      <c r="B3" s="32"/>
      <c r="C3" s="32"/>
      <c r="D3" s="32"/>
      <c r="E3" s="34"/>
      <c r="F3" s="36" t="s">
        <v>47</v>
      </c>
      <c r="G3" s="25"/>
      <c r="H3" s="25"/>
      <c r="I3" s="26"/>
      <c r="J3" s="36" t="s">
        <v>51</v>
      </c>
      <c r="K3" s="26"/>
      <c r="L3" s="36" t="s">
        <v>57</v>
      </c>
      <c r="M3" s="25"/>
      <c r="N3" s="25"/>
      <c r="O3" s="26"/>
      <c r="P3" s="36" t="s">
        <v>61</v>
      </c>
      <c r="Q3" s="25"/>
      <c r="R3" s="26"/>
      <c r="S3" s="31"/>
      <c r="T3" s="32"/>
      <c r="U3" s="32"/>
      <c r="V3" s="32"/>
      <c r="W3" s="32"/>
      <c r="X3" s="32"/>
      <c r="Y3" s="32"/>
      <c r="Z3" s="32"/>
      <c r="AA3" s="32"/>
      <c r="AB3" s="32"/>
      <c r="AC3" s="32"/>
      <c r="AD3" s="32"/>
      <c r="AE3" s="34"/>
      <c r="AF3" s="37"/>
    </row>
    <row r="4" ht="228.75" customHeight="1">
      <c r="A4" s="39" t="s">
        <v>70</v>
      </c>
      <c r="B4" s="39" t="s">
        <v>73</v>
      </c>
      <c r="C4" s="39" t="s">
        <v>75</v>
      </c>
      <c r="D4" s="39"/>
      <c r="E4" s="39"/>
      <c r="F4" s="41" t="s">
        <v>79</v>
      </c>
      <c r="G4" s="41" t="s">
        <v>82</v>
      </c>
      <c r="H4" s="41" t="s">
        <v>84</v>
      </c>
      <c r="I4" s="41"/>
      <c r="J4" s="41" t="s">
        <v>88</v>
      </c>
      <c r="K4" s="41" t="s">
        <v>90</v>
      </c>
      <c r="L4" s="41"/>
      <c r="M4" s="41"/>
      <c r="N4" s="41"/>
      <c r="O4" s="41"/>
      <c r="P4" s="41" t="s">
        <v>96</v>
      </c>
      <c r="Q4" s="41" t="s">
        <v>100</v>
      </c>
      <c r="R4" s="41" t="s">
        <v>102</v>
      </c>
      <c r="S4" s="43" t="s">
        <v>105</v>
      </c>
      <c r="T4" s="45" t="s">
        <v>107</v>
      </c>
      <c r="U4" s="43" t="s">
        <v>105</v>
      </c>
      <c r="V4" s="45" t="s">
        <v>109</v>
      </c>
      <c r="W4" s="43" t="s">
        <v>105</v>
      </c>
      <c r="X4" s="45" t="s">
        <v>111</v>
      </c>
      <c r="Y4" s="46" t="s">
        <v>112</v>
      </c>
      <c r="Z4" s="43" t="s">
        <v>105</v>
      </c>
      <c r="AA4" s="45" t="s">
        <v>113</v>
      </c>
      <c r="AB4" s="46" t="s">
        <v>114</v>
      </c>
      <c r="AC4" s="46" t="s">
        <v>116</v>
      </c>
      <c r="AD4" s="43" t="s">
        <v>105</v>
      </c>
      <c r="AE4" s="45" t="s">
        <v>117</v>
      </c>
      <c r="AF4" s="49" t="s">
        <v>118</v>
      </c>
    </row>
    <row r="5" ht="15.75" customHeight="1">
      <c r="A5" s="50" t="s">
        <v>119</v>
      </c>
      <c r="B5" s="52" t="s">
        <v>120</v>
      </c>
      <c r="C5" s="52" t="s">
        <v>121</v>
      </c>
      <c r="D5" s="52" t="s">
        <v>123</v>
      </c>
      <c r="E5" s="52" t="s">
        <v>124</v>
      </c>
      <c r="F5" s="53" t="s">
        <v>126</v>
      </c>
      <c r="G5" s="53" t="s">
        <v>127</v>
      </c>
      <c r="H5" s="53" t="s">
        <v>128</v>
      </c>
      <c r="I5" s="53" t="s">
        <v>129</v>
      </c>
      <c r="J5" s="53" t="s">
        <v>130</v>
      </c>
      <c r="K5" s="53" t="s">
        <v>131</v>
      </c>
      <c r="L5" s="53" t="s">
        <v>132</v>
      </c>
      <c r="M5" s="53" t="s">
        <v>133</v>
      </c>
      <c r="N5" s="53" t="s">
        <v>136</v>
      </c>
      <c r="O5" s="53" t="s">
        <v>138</v>
      </c>
      <c r="P5" s="53" t="s">
        <v>140</v>
      </c>
      <c r="Q5" s="53" t="s">
        <v>141</v>
      </c>
      <c r="R5" s="53" t="s">
        <v>142</v>
      </c>
      <c r="S5" s="55" t="s">
        <v>143</v>
      </c>
      <c r="T5" s="55" t="s">
        <v>144</v>
      </c>
      <c r="U5" s="55" t="s">
        <v>147</v>
      </c>
      <c r="V5" s="55" t="s">
        <v>148</v>
      </c>
      <c r="W5" s="55" t="s">
        <v>149</v>
      </c>
      <c r="X5" s="55" t="s">
        <v>150</v>
      </c>
      <c r="Y5" s="55" t="s">
        <v>151</v>
      </c>
      <c r="Z5" s="55" t="s">
        <v>152</v>
      </c>
      <c r="AA5" s="55" t="s">
        <v>153</v>
      </c>
      <c r="AB5" s="55" t="s">
        <v>154</v>
      </c>
      <c r="AC5" s="55" t="s">
        <v>155</v>
      </c>
      <c r="AD5" s="55" t="s">
        <v>156</v>
      </c>
      <c r="AE5" s="55" t="s">
        <v>157</v>
      </c>
      <c r="AF5" s="57" t="s">
        <v>160</v>
      </c>
    </row>
    <row r="6" ht="15.75" customHeight="1">
      <c r="A6" s="58" t="s">
        <v>164</v>
      </c>
      <c r="B6" s="58" t="s">
        <v>135</v>
      </c>
      <c r="C6" s="59" t="s">
        <v>169</v>
      </c>
      <c r="D6" s="59">
        <v>174.7</v>
      </c>
      <c r="E6" s="59" t="s">
        <v>135</v>
      </c>
      <c r="F6" s="60"/>
      <c r="G6" s="60"/>
      <c r="H6" s="60"/>
      <c r="I6" s="60"/>
      <c r="J6" s="60" t="s">
        <v>172</v>
      </c>
      <c r="K6" s="60" t="s">
        <v>173</v>
      </c>
      <c r="L6" s="60"/>
      <c r="M6" s="60"/>
      <c r="N6" s="60"/>
      <c r="O6" s="60"/>
      <c r="P6" s="60"/>
      <c r="Q6" s="60"/>
      <c r="R6" s="60"/>
      <c r="S6" s="62"/>
      <c r="T6" s="62"/>
      <c r="U6" s="62"/>
      <c r="V6" s="62"/>
      <c r="W6" s="62"/>
      <c r="X6" s="62"/>
      <c r="Y6" s="62"/>
      <c r="Z6" s="62"/>
      <c r="AA6" s="62"/>
      <c r="AB6" s="62"/>
      <c r="AC6" s="62"/>
      <c r="AD6" s="62"/>
      <c r="AE6" s="62"/>
      <c r="AF6" s="64"/>
    </row>
    <row r="7" ht="15.75" customHeight="1">
      <c r="A7" s="58" t="s">
        <v>164</v>
      </c>
      <c r="B7" s="58" t="s">
        <v>135</v>
      </c>
      <c r="C7" s="59" t="s">
        <v>180</v>
      </c>
      <c r="D7" s="59">
        <v>168.2</v>
      </c>
      <c r="E7" s="59" t="s">
        <v>135</v>
      </c>
      <c r="F7" s="60"/>
      <c r="G7" s="60"/>
      <c r="H7" s="60"/>
      <c r="I7" s="60"/>
      <c r="J7" s="60" t="s">
        <v>172</v>
      </c>
      <c r="K7" s="60" t="s">
        <v>173</v>
      </c>
      <c r="L7" s="60"/>
      <c r="M7" s="60"/>
      <c r="N7" s="60"/>
      <c r="O7" s="60"/>
      <c r="P7" s="60"/>
      <c r="Q7" s="60"/>
      <c r="R7" s="60"/>
      <c r="S7" s="62"/>
      <c r="T7" s="62"/>
      <c r="U7" s="62"/>
      <c r="V7" s="62"/>
      <c r="W7" s="62"/>
      <c r="X7" s="62"/>
      <c r="Y7" s="62"/>
      <c r="Z7" s="62"/>
      <c r="AA7" s="62"/>
      <c r="AB7" s="62"/>
      <c r="AC7" s="62"/>
      <c r="AD7" s="62"/>
      <c r="AE7" s="62"/>
      <c r="AF7" s="64"/>
    </row>
    <row r="8" ht="15.75" customHeight="1">
      <c r="A8" s="58"/>
      <c r="B8" s="58"/>
      <c r="C8" s="59"/>
      <c r="D8" s="59"/>
      <c r="E8" s="59"/>
      <c r="F8" s="60"/>
      <c r="G8" s="60"/>
      <c r="H8" s="60"/>
      <c r="I8" s="60"/>
      <c r="J8" s="60"/>
      <c r="K8" s="60"/>
      <c r="L8" s="60"/>
      <c r="M8" s="60"/>
      <c r="N8" s="60"/>
      <c r="O8" s="60"/>
      <c r="P8" s="60"/>
      <c r="Q8" s="60"/>
      <c r="R8" s="60"/>
      <c r="S8" s="62"/>
      <c r="T8" s="62"/>
      <c r="U8" s="62"/>
      <c r="V8" s="62"/>
      <c r="W8" s="62"/>
      <c r="X8" s="62"/>
      <c r="Y8" s="62"/>
      <c r="Z8" s="62"/>
      <c r="AA8" s="62"/>
      <c r="AB8" s="62"/>
      <c r="AC8" s="62"/>
      <c r="AD8" s="62"/>
      <c r="AE8" s="62"/>
      <c r="AF8" s="64"/>
    </row>
    <row r="9" ht="15.75" customHeight="1">
      <c r="A9" s="58"/>
      <c r="B9" s="58"/>
      <c r="C9" s="59"/>
      <c r="D9" s="59"/>
      <c r="E9" s="59"/>
      <c r="F9" s="60"/>
      <c r="G9" s="60"/>
      <c r="H9" s="60"/>
      <c r="I9" s="60"/>
      <c r="J9" s="60"/>
      <c r="K9" s="60"/>
      <c r="L9" s="60"/>
      <c r="M9" s="60"/>
      <c r="N9" s="60"/>
      <c r="O9" s="60"/>
      <c r="P9" s="60"/>
      <c r="Q9" s="60"/>
      <c r="R9" s="60"/>
      <c r="S9" s="62"/>
      <c r="T9" s="62"/>
      <c r="U9" s="62"/>
      <c r="V9" s="62"/>
      <c r="W9" s="62"/>
      <c r="X9" s="62"/>
      <c r="Y9" s="62"/>
      <c r="Z9" s="62"/>
      <c r="AA9" s="62"/>
      <c r="AB9" s="62"/>
      <c r="AC9" s="62"/>
      <c r="AD9" s="62"/>
      <c r="AE9" s="62"/>
      <c r="AF9" s="64"/>
    </row>
    <row r="10" ht="15.75" customHeight="1">
      <c r="A10" s="58"/>
      <c r="B10" s="58"/>
      <c r="C10" s="59"/>
      <c r="D10" s="59"/>
      <c r="E10" s="59"/>
      <c r="F10" s="60"/>
      <c r="G10" s="60"/>
      <c r="H10" s="60"/>
      <c r="I10" s="60"/>
      <c r="J10" s="60"/>
      <c r="K10" s="60"/>
      <c r="L10" s="60"/>
      <c r="M10" s="60"/>
      <c r="N10" s="60"/>
      <c r="O10" s="60"/>
      <c r="P10" s="60"/>
      <c r="Q10" s="60"/>
      <c r="R10" s="60"/>
      <c r="S10" s="62"/>
      <c r="T10" s="62"/>
      <c r="U10" s="62"/>
      <c r="V10" s="62"/>
      <c r="W10" s="62"/>
      <c r="X10" s="62"/>
      <c r="Y10" s="62"/>
      <c r="Z10" s="62"/>
      <c r="AA10" s="62"/>
      <c r="AB10" s="62"/>
      <c r="AC10" s="62"/>
      <c r="AD10" s="62"/>
      <c r="AE10" s="62"/>
      <c r="AF10" s="64"/>
    </row>
    <row r="11" ht="15.75" customHeight="1">
      <c r="A11" s="58"/>
      <c r="B11" s="58"/>
      <c r="C11" s="59"/>
      <c r="D11" s="59"/>
      <c r="E11" s="59"/>
      <c r="F11" s="60"/>
      <c r="G11" s="60"/>
      <c r="H11" s="60"/>
      <c r="I11" s="60"/>
      <c r="J11" s="60"/>
      <c r="K11" s="60"/>
      <c r="L11" s="60"/>
      <c r="M11" s="60"/>
      <c r="N11" s="60"/>
      <c r="O11" s="60"/>
      <c r="P11" s="60"/>
      <c r="Q11" s="60"/>
      <c r="R11" s="60"/>
      <c r="S11" s="62"/>
      <c r="T11" s="62"/>
      <c r="U11" s="62"/>
      <c r="V11" s="62"/>
      <c r="W11" s="62"/>
      <c r="X11" s="62"/>
      <c r="Y11" s="62"/>
      <c r="Z11" s="62"/>
      <c r="AA11" s="62"/>
      <c r="AB11" s="62"/>
      <c r="AC11" s="62"/>
      <c r="AD11" s="62"/>
      <c r="AE11" s="62"/>
      <c r="AF11" s="64"/>
    </row>
    <row r="12" ht="15.75" customHeight="1">
      <c r="A12" s="58"/>
      <c r="B12" s="58"/>
      <c r="C12" s="59"/>
      <c r="D12" s="59"/>
      <c r="E12" s="59"/>
      <c r="F12" s="60"/>
      <c r="G12" s="60"/>
      <c r="H12" s="60"/>
      <c r="I12" s="60"/>
      <c r="J12" s="60"/>
      <c r="K12" s="60"/>
      <c r="L12" s="60"/>
      <c r="M12" s="60"/>
      <c r="N12" s="60"/>
      <c r="O12" s="60"/>
      <c r="P12" s="60"/>
      <c r="Q12" s="60"/>
      <c r="R12" s="60"/>
      <c r="S12" s="62"/>
      <c r="T12" s="62"/>
      <c r="U12" s="62"/>
      <c r="V12" s="62"/>
      <c r="W12" s="62"/>
      <c r="X12" s="62"/>
      <c r="Y12" s="62"/>
      <c r="Z12" s="62"/>
      <c r="AA12" s="62"/>
      <c r="AB12" s="62"/>
      <c r="AC12" s="62"/>
      <c r="AD12" s="62"/>
      <c r="AE12" s="62"/>
      <c r="AF12" s="64"/>
    </row>
    <row r="13" ht="15.75" customHeight="1">
      <c r="A13" s="58"/>
      <c r="B13" s="58"/>
      <c r="C13" s="59"/>
      <c r="D13" s="59"/>
      <c r="E13" s="59"/>
      <c r="F13" s="60"/>
      <c r="G13" s="60"/>
      <c r="H13" s="60"/>
      <c r="I13" s="60"/>
      <c r="J13" s="60"/>
      <c r="K13" s="60"/>
      <c r="L13" s="60"/>
      <c r="M13" s="60"/>
      <c r="N13" s="60"/>
      <c r="O13" s="60"/>
      <c r="P13" s="60"/>
      <c r="Q13" s="60"/>
      <c r="R13" s="60"/>
      <c r="S13" s="62"/>
      <c r="T13" s="62"/>
      <c r="U13" s="62"/>
      <c r="V13" s="62"/>
      <c r="W13" s="62"/>
      <c r="X13" s="62"/>
      <c r="Y13" s="62"/>
      <c r="Z13" s="62"/>
      <c r="AA13" s="62"/>
      <c r="AB13" s="62"/>
      <c r="AC13" s="62"/>
      <c r="AD13" s="62"/>
      <c r="AE13" s="62"/>
      <c r="AF13" s="64"/>
    </row>
    <row r="14" ht="15.75" customHeight="1">
      <c r="A14" s="58"/>
      <c r="B14" s="58"/>
      <c r="C14" s="59"/>
      <c r="D14" s="59"/>
      <c r="E14" s="59"/>
      <c r="F14" s="60"/>
      <c r="G14" s="60"/>
      <c r="H14" s="60"/>
      <c r="I14" s="60"/>
      <c r="J14" s="60"/>
      <c r="K14" s="60"/>
      <c r="L14" s="60"/>
      <c r="M14" s="60"/>
      <c r="N14" s="60"/>
      <c r="O14" s="60"/>
      <c r="P14" s="60"/>
      <c r="Q14" s="60"/>
      <c r="R14" s="60"/>
      <c r="S14" s="62"/>
      <c r="T14" s="62"/>
      <c r="U14" s="62"/>
      <c r="V14" s="62"/>
      <c r="W14" s="62"/>
      <c r="X14" s="62"/>
      <c r="Y14" s="62"/>
      <c r="Z14" s="62"/>
      <c r="AA14" s="62"/>
      <c r="AB14" s="62"/>
      <c r="AC14" s="62"/>
      <c r="AD14" s="62"/>
      <c r="AE14" s="62"/>
      <c r="AF14" s="64"/>
    </row>
    <row r="15" ht="15.75" customHeight="1">
      <c r="A15" s="58"/>
      <c r="B15" s="58"/>
      <c r="C15" s="59"/>
      <c r="D15" s="59"/>
      <c r="E15" s="59"/>
      <c r="F15" s="60"/>
      <c r="G15" s="60"/>
      <c r="H15" s="60"/>
      <c r="I15" s="60"/>
      <c r="J15" s="60"/>
      <c r="K15" s="60"/>
      <c r="L15" s="60"/>
      <c r="M15" s="60"/>
      <c r="N15" s="60"/>
      <c r="O15" s="60"/>
      <c r="P15" s="60"/>
      <c r="Q15" s="60"/>
      <c r="R15" s="60"/>
      <c r="S15" s="62"/>
      <c r="T15" s="62"/>
      <c r="U15" s="62"/>
      <c r="V15" s="62"/>
      <c r="W15" s="62"/>
      <c r="X15" s="62"/>
      <c r="Y15" s="62"/>
      <c r="Z15" s="62"/>
      <c r="AA15" s="62"/>
      <c r="AB15" s="62"/>
      <c r="AC15" s="62"/>
      <c r="AD15" s="62"/>
      <c r="AE15" s="62"/>
      <c r="AF15" s="64"/>
    </row>
    <row r="16" ht="15.75" customHeight="1">
      <c r="A16" s="58"/>
      <c r="B16" s="58"/>
      <c r="C16" s="59"/>
      <c r="D16" s="59"/>
      <c r="E16" s="59"/>
      <c r="F16" s="60"/>
      <c r="G16" s="60"/>
      <c r="H16" s="60"/>
      <c r="I16" s="60"/>
      <c r="J16" s="60"/>
      <c r="K16" s="60"/>
      <c r="L16" s="60"/>
      <c r="M16" s="60"/>
      <c r="N16" s="60"/>
      <c r="O16" s="60"/>
      <c r="P16" s="60"/>
      <c r="Q16" s="60"/>
      <c r="R16" s="60"/>
      <c r="S16" s="62"/>
      <c r="T16" s="62"/>
      <c r="U16" s="62"/>
      <c r="V16" s="62"/>
      <c r="W16" s="62"/>
      <c r="X16" s="62"/>
      <c r="Y16" s="62"/>
      <c r="Z16" s="62"/>
      <c r="AA16" s="62"/>
      <c r="AB16" s="62"/>
      <c r="AC16" s="62"/>
      <c r="AD16" s="62"/>
      <c r="AE16" s="62"/>
      <c r="AF16" s="64"/>
    </row>
    <row r="17" ht="15.75" customHeight="1">
      <c r="A17" s="58"/>
      <c r="B17" s="58"/>
      <c r="C17" s="59"/>
      <c r="D17" s="59"/>
      <c r="E17" s="59"/>
      <c r="F17" s="60"/>
      <c r="G17" s="60"/>
      <c r="H17" s="60"/>
      <c r="I17" s="60"/>
      <c r="J17" s="60"/>
      <c r="K17" s="60"/>
      <c r="L17" s="60"/>
      <c r="M17" s="60"/>
      <c r="N17" s="60"/>
      <c r="O17" s="60"/>
      <c r="P17" s="60"/>
      <c r="Q17" s="60"/>
      <c r="R17" s="60"/>
      <c r="S17" s="62"/>
      <c r="T17" s="62"/>
      <c r="U17" s="62"/>
      <c r="V17" s="62"/>
      <c r="W17" s="62"/>
      <c r="X17" s="62"/>
      <c r="Y17" s="62"/>
      <c r="Z17" s="62"/>
      <c r="AA17" s="62"/>
      <c r="AB17" s="62"/>
      <c r="AC17" s="62"/>
      <c r="AD17" s="62"/>
      <c r="AE17" s="62"/>
      <c r="AF17" s="64"/>
    </row>
    <row r="18" ht="15.75" customHeight="1">
      <c r="A18" s="58"/>
      <c r="B18" s="58"/>
      <c r="C18" s="59"/>
      <c r="D18" s="59"/>
      <c r="E18" s="59"/>
      <c r="F18" s="60"/>
      <c r="G18" s="60"/>
      <c r="H18" s="60"/>
      <c r="I18" s="60"/>
      <c r="J18" s="60"/>
      <c r="K18" s="60"/>
      <c r="L18" s="60"/>
      <c r="M18" s="60"/>
      <c r="N18" s="60"/>
      <c r="O18" s="60"/>
      <c r="P18" s="60"/>
      <c r="Q18" s="60"/>
      <c r="R18" s="60"/>
      <c r="S18" s="62"/>
      <c r="T18" s="62"/>
      <c r="U18" s="62"/>
      <c r="V18" s="62"/>
      <c r="W18" s="62"/>
      <c r="X18" s="62"/>
      <c r="Y18" s="62"/>
      <c r="Z18" s="62"/>
      <c r="AA18" s="62"/>
      <c r="AB18" s="62"/>
      <c r="AC18" s="62"/>
      <c r="AD18" s="62"/>
      <c r="AE18" s="62"/>
      <c r="AF18" s="64"/>
    </row>
    <row r="19" ht="15.75" customHeight="1">
      <c r="A19" s="58"/>
      <c r="B19" s="58"/>
      <c r="C19" s="59"/>
      <c r="D19" s="59"/>
      <c r="E19" s="59"/>
      <c r="F19" s="60"/>
      <c r="G19" s="60"/>
      <c r="H19" s="60"/>
      <c r="I19" s="60"/>
      <c r="J19" s="60"/>
      <c r="K19" s="60"/>
      <c r="L19" s="60"/>
      <c r="M19" s="60"/>
      <c r="N19" s="60"/>
      <c r="O19" s="60"/>
      <c r="P19" s="60"/>
      <c r="Q19" s="60"/>
      <c r="R19" s="60"/>
      <c r="S19" s="62"/>
      <c r="T19" s="62"/>
      <c r="U19" s="62"/>
      <c r="V19" s="62"/>
      <c r="W19" s="62"/>
      <c r="X19" s="62"/>
      <c r="Y19" s="62"/>
      <c r="Z19" s="62"/>
      <c r="AA19" s="62"/>
      <c r="AB19" s="62"/>
      <c r="AC19" s="62"/>
      <c r="AD19" s="62"/>
      <c r="AE19" s="62"/>
      <c r="AF19" s="64"/>
    </row>
    <row r="20" ht="15.75" customHeight="1">
      <c r="A20" s="58"/>
      <c r="B20" s="58"/>
      <c r="C20" s="59"/>
      <c r="D20" s="59"/>
      <c r="E20" s="59"/>
      <c r="F20" s="60"/>
      <c r="G20" s="60"/>
      <c r="H20" s="60"/>
      <c r="I20" s="60"/>
      <c r="J20" s="60"/>
      <c r="K20" s="60"/>
      <c r="L20" s="60"/>
      <c r="M20" s="60"/>
      <c r="N20" s="60"/>
      <c r="O20" s="60"/>
      <c r="P20" s="60"/>
      <c r="Q20" s="60"/>
      <c r="R20" s="60"/>
      <c r="S20" s="62"/>
      <c r="T20" s="62"/>
      <c r="U20" s="62"/>
      <c r="V20" s="62"/>
      <c r="W20" s="62"/>
      <c r="X20" s="62"/>
      <c r="Y20" s="62"/>
      <c r="Z20" s="62"/>
      <c r="AA20" s="62"/>
      <c r="AB20" s="62"/>
      <c r="AC20" s="62"/>
      <c r="AD20" s="62"/>
      <c r="AE20" s="62"/>
      <c r="AF20" s="64"/>
    </row>
    <row r="21" ht="15.75" customHeight="1">
      <c r="A21" s="58"/>
      <c r="B21" s="58"/>
      <c r="C21" s="59"/>
      <c r="D21" s="59"/>
      <c r="E21" s="59"/>
      <c r="F21" s="60"/>
      <c r="G21" s="60"/>
      <c r="H21" s="60"/>
      <c r="I21" s="60"/>
      <c r="J21" s="60"/>
      <c r="K21" s="60"/>
      <c r="L21" s="60"/>
      <c r="M21" s="60"/>
      <c r="N21" s="60"/>
      <c r="O21" s="60"/>
      <c r="P21" s="60"/>
      <c r="Q21" s="60"/>
      <c r="R21" s="60"/>
      <c r="S21" s="62"/>
      <c r="T21" s="62"/>
      <c r="U21" s="62"/>
      <c r="V21" s="62"/>
      <c r="W21" s="62"/>
      <c r="X21" s="62"/>
      <c r="Y21" s="62"/>
      <c r="Z21" s="62"/>
      <c r="AA21" s="62"/>
      <c r="AB21" s="62"/>
      <c r="AC21" s="62"/>
      <c r="AD21" s="62"/>
      <c r="AE21" s="62"/>
      <c r="AF21" s="64"/>
    </row>
    <row r="22" ht="15.75" customHeight="1">
      <c r="A22" s="58"/>
      <c r="B22" s="58"/>
      <c r="C22" s="59"/>
      <c r="D22" s="59"/>
      <c r="E22" s="59"/>
      <c r="F22" s="60"/>
      <c r="G22" s="60"/>
      <c r="H22" s="60"/>
      <c r="I22" s="60"/>
      <c r="J22" s="60"/>
      <c r="K22" s="60"/>
      <c r="L22" s="60"/>
      <c r="M22" s="60"/>
      <c r="N22" s="60"/>
      <c r="O22" s="60"/>
      <c r="P22" s="60"/>
      <c r="Q22" s="60"/>
      <c r="R22" s="60"/>
      <c r="S22" s="62"/>
      <c r="T22" s="62"/>
      <c r="U22" s="62"/>
      <c r="V22" s="62"/>
      <c r="W22" s="62"/>
      <c r="X22" s="62"/>
      <c r="Y22" s="62"/>
      <c r="Z22" s="62"/>
      <c r="AA22" s="62"/>
      <c r="AB22" s="62"/>
      <c r="AC22" s="62"/>
      <c r="AD22" s="62"/>
      <c r="AE22" s="62"/>
      <c r="AF22" s="64"/>
    </row>
    <row r="23" ht="15.75" customHeight="1">
      <c r="A23" s="58"/>
      <c r="B23" s="58"/>
      <c r="C23" s="59"/>
      <c r="D23" s="59"/>
      <c r="E23" s="59"/>
      <c r="F23" s="60"/>
      <c r="G23" s="60"/>
      <c r="H23" s="60"/>
      <c r="I23" s="60"/>
      <c r="J23" s="60"/>
      <c r="K23" s="60"/>
      <c r="L23" s="60"/>
      <c r="M23" s="60"/>
      <c r="N23" s="60"/>
      <c r="O23" s="60"/>
      <c r="P23" s="60"/>
      <c r="Q23" s="60"/>
      <c r="R23" s="60"/>
      <c r="S23" s="62"/>
      <c r="T23" s="62"/>
      <c r="U23" s="62"/>
      <c r="V23" s="62"/>
      <c r="W23" s="62"/>
      <c r="X23" s="62"/>
      <c r="Y23" s="62"/>
      <c r="Z23" s="62"/>
      <c r="AA23" s="62"/>
      <c r="AB23" s="62"/>
      <c r="AC23" s="62"/>
      <c r="AD23" s="62"/>
      <c r="AE23" s="62"/>
      <c r="AF23" s="64"/>
    </row>
    <row r="24" ht="15.75" customHeight="1">
      <c r="A24" s="58"/>
      <c r="B24" s="58"/>
      <c r="C24" s="59"/>
      <c r="D24" s="59"/>
      <c r="E24" s="59"/>
      <c r="F24" s="60"/>
      <c r="G24" s="60"/>
      <c r="H24" s="60"/>
      <c r="I24" s="60"/>
      <c r="J24" s="60"/>
      <c r="K24" s="60"/>
      <c r="L24" s="60"/>
      <c r="M24" s="60"/>
      <c r="N24" s="60"/>
      <c r="O24" s="60"/>
      <c r="P24" s="60"/>
      <c r="Q24" s="60"/>
      <c r="R24" s="60"/>
      <c r="S24" s="62"/>
      <c r="T24" s="62"/>
      <c r="U24" s="62"/>
      <c r="V24" s="62"/>
      <c r="W24" s="62"/>
      <c r="X24" s="62"/>
      <c r="Y24" s="62"/>
      <c r="Z24" s="62"/>
      <c r="AA24" s="62"/>
      <c r="AB24" s="62"/>
      <c r="AC24" s="62"/>
      <c r="AD24" s="62"/>
      <c r="AE24" s="62"/>
      <c r="AF24" s="64"/>
    </row>
    <row r="25" ht="15.75" customHeight="1">
      <c r="A25" s="58"/>
      <c r="B25" s="58"/>
      <c r="C25" s="59"/>
      <c r="D25" s="59"/>
      <c r="E25" s="59"/>
      <c r="F25" s="60"/>
      <c r="G25" s="60"/>
      <c r="H25" s="60"/>
      <c r="I25" s="60"/>
      <c r="J25" s="60"/>
      <c r="K25" s="60"/>
      <c r="L25" s="60"/>
      <c r="M25" s="60"/>
      <c r="N25" s="60"/>
      <c r="O25" s="60"/>
      <c r="P25" s="60"/>
      <c r="Q25" s="60"/>
      <c r="R25" s="60"/>
      <c r="S25" s="62"/>
      <c r="T25" s="62"/>
      <c r="U25" s="62"/>
      <c r="V25" s="62"/>
      <c r="W25" s="62"/>
      <c r="X25" s="62"/>
      <c r="Y25" s="62"/>
      <c r="Z25" s="62"/>
      <c r="AA25" s="62"/>
      <c r="AB25" s="62"/>
      <c r="AC25" s="62"/>
      <c r="AD25" s="62"/>
      <c r="AE25" s="62"/>
      <c r="AF25" s="64"/>
    </row>
    <row r="26" ht="15.75" customHeight="1">
      <c r="A26" s="58"/>
      <c r="B26" s="58"/>
      <c r="C26" s="59"/>
      <c r="D26" s="59"/>
      <c r="E26" s="59"/>
      <c r="F26" s="60"/>
      <c r="G26" s="60"/>
      <c r="H26" s="60"/>
      <c r="I26" s="60"/>
      <c r="J26" s="60"/>
      <c r="K26" s="60"/>
      <c r="L26" s="60"/>
      <c r="M26" s="60"/>
      <c r="N26" s="60"/>
      <c r="O26" s="60"/>
      <c r="P26" s="60"/>
      <c r="Q26" s="60"/>
      <c r="R26" s="60"/>
      <c r="S26" s="62"/>
      <c r="T26" s="62"/>
      <c r="U26" s="62"/>
      <c r="V26" s="62"/>
      <c r="W26" s="62"/>
      <c r="X26" s="62"/>
      <c r="Y26" s="62"/>
      <c r="Z26" s="62"/>
      <c r="AA26" s="62"/>
      <c r="AB26" s="62"/>
      <c r="AC26" s="62"/>
      <c r="AD26" s="62"/>
      <c r="AE26" s="62"/>
      <c r="AF26" s="64"/>
    </row>
    <row r="27" ht="15.75" customHeight="1">
      <c r="A27" s="58"/>
      <c r="B27" s="58"/>
      <c r="C27" s="59"/>
      <c r="D27" s="59"/>
      <c r="E27" s="59"/>
      <c r="F27" s="60"/>
      <c r="G27" s="60"/>
      <c r="H27" s="60"/>
      <c r="I27" s="60"/>
      <c r="J27" s="60"/>
      <c r="K27" s="60"/>
      <c r="L27" s="60"/>
      <c r="M27" s="60"/>
      <c r="N27" s="60"/>
      <c r="O27" s="60"/>
      <c r="P27" s="60"/>
      <c r="Q27" s="60"/>
      <c r="R27" s="60"/>
      <c r="S27" s="62"/>
      <c r="T27" s="62"/>
      <c r="U27" s="62"/>
      <c r="V27" s="62"/>
      <c r="W27" s="62"/>
      <c r="X27" s="62"/>
      <c r="Y27" s="62"/>
      <c r="Z27" s="62"/>
      <c r="AA27" s="62"/>
      <c r="AB27" s="62"/>
      <c r="AC27" s="62"/>
      <c r="AD27" s="62"/>
      <c r="AE27" s="62"/>
      <c r="AF27" s="64"/>
    </row>
    <row r="28" ht="15.75" customHeight="1">
      <c r="A28" s="58"/>
      <c r="B28" s="58"/>
      <c r="C28" s="59"/>
      <c r="D28" s="59"/>
      <c r="E28" s="59"/>
      <c r="F28" s="60"/>
      <c r="G28" s="60"/>
      <c r="H28" s="60"/>
      <c r="I28" s="60"/>
      <c r="J28" s="60"/>
      <c r="K28" s="60"/>
      <c r="L28" s="60"/>
      <c r="M28" s="60"/>
      <c r="N28" s="60"/>
      <c r="O28" s="60"/>
      <c r="P28" s="60"/>
      <c r="Q28" s="60"/>
      <c r="R28" s="60"/>
      <c r="S28" s="62"/>
      <c r="T28" s="62"/>
      <c r="U28" s="62"/>
      <c r="V28" s="62"/>
      <c r="W28" s="62"/>
      <c r="X28" s="62"/>
      <c r="Y28" s="62"/>
      <c r="Z28" s="62"/>
      <c r="AA28" s="62"/>
      <c r="AB28" s="62"/>
      <c r="AC28" s="62"/>
      <c r="AD28" s="62"/>
      <c r="AE28" s="62"/>
      <c r="AF28" s="64"/>
    </row>
    <row r="29" ht="15.75" customHeight="1">
      <c r="A29" s="58"/>
      <c r="B29" s="58"/>
      <c r="C29" s="59"/>
      <c r="D29" s="59"/>
      <c r="E29" s="59"/>
      <c r="F29" s="60"/>
      <c r="G29" s="60"/>
      <c r="H29" s="60"/>
      <c r="I29" s="60"/>
      <c r="J29" s="60"/>
      <c r="K29" s="60"/>
      <c r="L29" s="60"/>
      <c r="M29" s="60"/>
      <c r="N29" s="60"/>
      <c r="O29" s="60"/>
      <c r="P29" s="60"/>
      <c r="Q29" s="60"/>
      <c r="R29" s="60"/>
      <c r="S29" s="62"/>
      <c r="T29" s="62"/>
      <c r="U29" s="62"/>
      <c r="V29" s="62"/>
      <c r="W29" s="62"/>
      <c r="X29" s="62"/>
      <c r="Y29" s="62"/>
      <c r="Z29" s="62"/>
      <c r="AA29" s="62"/>
      <c r="AB29" s="62"/>
      <c r="AC29" s="62"/>
      <c r="AD29" s="62"/>
      <c r="AE29" s="62"/>
      <c r="AF29" s="64"/>
    </row>
    <row r="30" ht="15.75" customHeight="1">
      <c r="A30" s="58"/>
      <c r="B30" s="58"/>
      <c r="C30" s="59"/>
      <c r="D30" s="59"/>
      <c r="E30" s="59"/>
      <c r="F30" s="60"/>
      <c r="G30" s="60"/>
      <c r="H30" s="60"/>
      <c r="I30" s="60"/>
      <c r="J30" s="60"/>
      <c r="K30" s="60"/>
      <c r="L30" s="60"/>
      <c r="M30" s="60"/>
      <c r="N30" s="60"/>
      <c r="O30" s="60"/>
      <c r="P30" s="60"/>
      <c r="Q30" s="60"/>
      <c r="R30" s="60"/>
      <c r="S30" s="62"/>
      <c r="T30" s="62"/>
      <c r="U30" s="62"/>
      <c r="V30" s="62"/>
      <c r="W30" s="62"/>
      <c r="X30" s="62"/>
      <c r="Y30" s="62"/>
      <c r="Z30" s="62"/>
      <c r="AA30" s="62"/>
      <c r="AB30" s="62"/>
      <c r="AC30" s="62"/>
      <c r="AD30" s="62"/>
      <c r="AE30" s="62"/>
      <c r="AF30" s="64"/>
    </row>
    <row r="31" ht="15.75" customHeight="1">
      <c r="A31" s="58"/>
      <c r="B31" s="58"/>
      <c r="C31" s="59"/>
      <c r="D31" s="59"/>
      <c r="E31" s="59"/>
      <c r="F31" s="60"/>
      <c r="G31" s="60"/>
      <c r="H31" s="60"/>
      <c r="I31" s="60"/>
      <c r="J31" s="60"/>
      <c r="K31" s="60"/>
      <c r="L31" s="60"/>
      <c r="M31" s="60"/>
      <c r="N31" s="60"/>
      <c r="O31" s="60"/>
      <c r="P31" s="60"/>
      <c r="Q31" s="60"/>
      <c r="R31" s="60"/>
      <c r="S31" s="62"/>
      <c r="T31" s="62"/>
      <c r="U31" s="62"/>
      <c r="V31" s="62"/>
      <c r="W31" s="62"/>
      <c r="X31" s="62"/>
      <c r="Y31" s="62"/>
      <c r="Z31" s="62"/>
      <c r="AA31" s="62"/>
      <c r="AB31" s="62"/>
      <c r="AC31" s="62"/>
      <c r="AD31" s="62"/>
      <c r="AE31" s="62"/>
      <c r="AF31" s="64"/>
    </row>
    <row r="32" ht="15.75" customHeight="1">
      <c r="A32" s="58"/>
      <c r="B32" s="58"/>
      <c r="C32" s="59"/>
      <c r="D32" s="59"/>
      <c r="E32" s="59"/>
      <c r="F32" s="60"/>
      <c r="G32" s="60"/>
      <c r="H32" s="60"/>
      <c r="I32" s="60"/>
      <c r="J32" s="60"/>
      <c r="K32" s="60"/>
      <c r="L32" s="60"/>
      <c r="M32" s="60"/>
      <c r="N32" s="60"/>
      <c r="O32" s="60"/>
      <c r="P32" s="60"/>
      <c r="Q32" s="60"/>
      <c r="R32" s="60"/>
      <c r="S32" s="62"/>
      <c r="T32" s="62"/>
      <c r="U32" s="62"/>
      <c r="V32" s="62"/>
      <c r="W32" s="62"/>
      <c r="X32" s="62"/>
      <c r="Y32" s="62"/>
      <c r="Z32" s="62"/>
      <c r="AA32" s="62"/>
      <c r="AB32" s="62"/>
      <c r="AC32" s="62"/>
      <c r="AD32" s="62"/>
      <c r="AE32" s="62"/>
      <c r="AF32" s="64"/>
    </row>
    <row r="33" ht="15.75" customHeight="1">
      <c r="A33" s="58"/>
      <c r="B33" s="58"/>
      <c r="C33" s="59"/>
      <c r="D33" s="59"/>
      <c r="E33" s="59"/>
      <c r="F33" s="60"/>
      <c r="G33" s="60"/>
      <c r="H33" s="60"/>
      <c r="I33" s="60"/>
      <c r="J33" s="60"/>
      <c r="K33" s="60"/>
      <c r="L33" s="60"/>
      <c r="M33" s="60"/>
      <c r="N33" s="60"/>
      <c r="O33" s="60"/>
      <c r="P33" s="60"/>
      <c r="Q33" s="60"/>
      <c r="R33" s="60"/>
      <c r="S33" s="62"/>
      <c r="T33" s="62"/>
      <c r="U33" s="62"/>
      <c r="V33" s="62"/>
      <c r="W33" s="62"/>
      <c r="X33" s="62"/>
      <c r="Y33" s="62"/>
      <c r="Z33" s="62"/>
      <c r="AA33" s="62"/>
      <c r="AB33" s="62"/>
      <c r="AC33" s="62"/>
      <c r="AD33" s="62"/>
      <c r="AE33" s="62"/>
      <c r="AF33" s="64"/>
    </row>
    <row r="34" ht="15.75" customHeight="1">
      <c r="A34" s="58"/>
      <c r="B34" s="58"/>
      <c r="C34" s="59"/>
      <c r="D34" s="59"/>
      <c r="E34" s="59"/>
      <c r="F34" s="60"/>
      <c r="G34" s="60"/>
      <c r="H34" s="60"/>
      <c r="I34" s="60"/>
      <c r="J34" s="60"/>
      <c r="K34" s="60"/>
      <c r="L34" s="60"/>
      <c r="M34" s="60"/>
      <c r="N34" s="60"/>
      <c r="O34" s="60"/>
      <c r="P34" s="60"/>
      <c r="Q34" s="60"/>
      <c r="R34" s="60"/>
      <c r="S34" s="62"/>
      <c r="T34" s="62"/>
      <c r="U34" s="62"/>
      <c r="V34" s="62"/>
      <c r="W34" s="62"/>
      <c r="X34" s="62"/>
      <c r="Y34" s="62"/>
      <c r="Z34" s="62"/>
      <c r="AA34" s="62"/>
      <c r="AB34" s="62"/>
      <c r="AC34" s="62"/>
      <c r="AD34" s="62"/>
      <c r="AE34" s="62"/>
      <c r="AF34" s="64"/>
    </row>
    <row r="35" ht="15.75" customHeight="1">
      <c r="A35" s="58"/>
      <c r="B35" s="58"/>
      <c r="C35" s="59"/>
      <c r="D35" s="59"/>
      <c r="E35" s="59"/>
      <c r="F35" s="60"/>
      <c r="G35" s="60"/>
      <c r="H35" s="60"/>
      <c r="I35" s="60"/>
      <c r="J35" s="60"/>
      <c r="K35" s="60"/>
      <c r="L35" s="60"/>
      <c r="M35" s="60"/>
      <c r="N35" s="60"/>
      <c r="O35" s="60"/>
      <c r="P35" s="60"/>
      <c r="Q35" s="60"/>
      <c r="R35" s="60"/>
      <c r="S35" s="62"/>
      <c r="T35" s="62"/>
      <c r="U35" s="62"/>
      <c r="V35" s="62"/>
      <c r="W35" s="62"/>
      <c r="X35" s="62"/>
      <c r="Y35" s="62"/>
      <c r="Z35" s="62"/>
      <c r="AA35" s="62"/>
      <c r="AB35" s="62"/>
      <c r="AC35" s="62"/>
      <c r="AD35" s="62"/>
      <c r="AE35" s="62"/>
      <c r="AF35" s="64"/>
    </row>
    <row r="36" ht="15.75" customHeight="1">
      <c r="A36" s="58"/>
      <c r="B36" s="58"/>
      <c r="C36" s="59"/>
      <c r="D36" s="59"/>
      <c r="E36" s="59"/>
      <c r="F36" s="60"/>
      <c r="G36" s="60"/>
      <c r="H36" s="60"/>
      <c r="I36" s="60"/>
      <c r="J36" s="60"/>
      <c r="K36" s="60"/>
      <c r="L36" s="60"/>
      <c r="M36" s="60"/>
      <c r="N36" s="60"/>
      <c r="O36" s="60"/>
      <c r="P36" s="60"/>
      <c r="Q36" s="60"/>
      <c r="R36" s="60"/>
      <c r="S36" s="62"/>
      <c r="T36" s="62"/>
      <c r="U36" s="62"/>
      <c r="V36" s="62"/>
      <c r="W36" s="62"/>
      <c r="X36" s="62"/>
      <c r="Y36" s="62"/>
      <c r="Z36" s="62"/>
      <c r="AA36" s="62"/>
      <c r="AB36" s="62"/>
      <c r="AC36" s="62"/>
      <c r="AD36" s="62"/>
      <c r="AE36" s="62"/>
      <c r="AF36" s="64"/>
    </row>
    <row r="37" ht="15.75" customHeight="1">
      <c r="A37" s="58"/>
      <c r="B37" s="58"/>
      <c r="C37" s="59"/>
      <c r="D37" s="59"/>
      <c r="E37" s="59"/>
      <c r="F37" s="60"/>
      <c r="G37" s="60"/>
      <c r="H37" s="60"/>
      <c r="I37" s="60"/>
      <c r="J37" s="60"/>
      <c r="K37" s="60"/>
      <c r="L37" s="60"/>
      <c r="M37" s="60"/>
      <c r="N37" s="60"/>
      <c r="O37" s="60"/>
      <c r="P37" s="60"/>
      <c r="Q37" s="60"/>
      <c r="R37" s="60"/>
      <c r="S37" s="62"/>
      <c r="T37" s="62"/>
      <c r="U37" s="62"/>
      <c r="V37" s="62"/>
      <c r="W37" s="62"/>
      <c r="X37" s="62"/>
      <c r="Y37" s="62"/>
      <c r="Z37" s="62"/>
      <c r="AA37" s="62"/>
      <c r="AB37" s="62"/>
      <c r="AC37" s="62"/>
      <c r="AD37" s="62"/>
      <c r="AE37" s="62"/>
      <c r="AF37" s="64"/>
    </row>
    <row r="38" ht="15.75" customHeight="1">
      <c r="A38" s="58"/>
      <c r="B38" s="58"/>
      <c r="C38" s="59"/>
      <c r="D38" s="59"/>
      <c r="E38" s="59"/>
      <c r="F38" s="60"/>
      <c r="G38" s="60"/>
      <c r="H38" s="60"/>
      <c r="I38" s="60"/>
      <c r="J38" s="60"/>
      <c r="K38" s="60"/>
      <c r="L38" s="60"/>
      <c r="M38" s="60"/>
      <c r="N38" s="60"/>
      <c r="O38" s="60"/>
      <c r="P38" s="60"/>
      <c r="Q38" s="60"/>
      <c r="R38" s="60"/>
      <c r="S38" s="62"/>
      <c r="T38" s="62"/>
      <c r="U38" s="62"/>
      <c r="V38" s="62"/>
      <c r="W38" s="62"/>
      <c r="X38" s="62"/>
      <c r="Y38" s="62"/>
      <c r="Z38" s="62"/>
      <c r="AA38" s="62"/>
      <c r="AB38" s="62"/>
      <c r="AC38" s="62"/>
      <c r="AD38" s="62"/>
      <c r="AE38" s="62"/>
      <c r="AF38" s="64"/>
    </row>
    <row r="39" ht="15.75" customHeight="1">
      <c r="A39" s="58"/>
      <c r="B39" s="58"/>
      <c r="C39" s="59"/>
      <c r="D39" s="59"/>
      <c r="E39" s="59"/>
      <c r="F39" s="60"/>
      <c r="G39" s="60"/>
      <c r="H39" s="60"/>
      <c r="I39" s="60"/>
      <c r="J39" s="60"/>
      <c r="K39" s="60"/>
      <c r="L39" s="60"/>
      <c r="M39" s="60"/>
      <c r="N39" s="60"/>
      <c r="O39" s="60"/>
      <c r="P39" s="60"/>
      <c r="Q39" s="60"/>
      <c r="R39" s="60"/>
      <c r="S39" s="62"/>
      <c r="T39" s="62"/>
      <c r="U39" s="62"/>
      <c r="V39" s="62"/>
      <c r="W39" s="62"/>
      <c r="X39" s="62"/>
      <c r="Y39" s="62"/>
      <c r="Z39" s="62"/>
      <c r="AA39" s="62"/>
      <c r="AB39" s="62"/>
      <c r="AC39" s="62"/>
      <c r="AD39" s="62"/>
      <c r="AE39" s="62"/>
      <c r="AF39" s="64"/>
    </row>
    <row r="40" ht="15.75" customHeight="1">
      <c r="A40" s="58"/>
      <c r="B40" s="58"/>
      <c r="C40" s="59"/>
      <c r="D40" s="59"/>
      <c r="E40" s="59"/>
      <c r="F40" s="60"/>
      <c r="G40" s="60"/>
      <c r="H40" s="60"/>
      <c r="I40" s="60"/>
      <c r="J40" s="60"/>
      <c r="K40" s="60"/>
      <c r="L40" s="60"/>
      <c r="M40" s="60"/>
      <c r="N40" s="60"/>
      <c r="O40" s="60"/>
      <c r="P40" s="60"/>
      <c r="Q40" s="60"/>
      <c r="R40" s="60"/>
      <c r="S40" s="62"/>
      <c r="T40" s="62"/>
      <c r="U40" s="62"/>
      <c r="V40" s="62"/>
      <c r="W40" s="62"/>
      <c r="X40" s="62"/>
      <c r="Y40" s="62"/>
      <c r="Z40" s="62"/>
      <c r="AA40" s="62"/>
      <c r="AB40" s="62"/>
      <c r="AC40" s="62"/>
      <c r="AD40" s="62"/>
      <c r="AE40" s="62"/>
      <c r="AF40" s="64"/>
    </row>
    <row r="41" ht="15.75" customHeight="1">
      <c r="A41" s="58"/>
      <c r="B41" s="58"/>
      <c r="C41" s="59"/>
      <c r="D41" s="59"/>
      <c r="E41" s="59"/>
      <c r="F41" s="60"/>
      <c r="G41" s="60"/>
      <c r="H41" s="60"/>
      <c r="I41" s="60"/>
      <c r="J41" s="60"/>
      <c r="K41" s="60"/>
      <c r="L41" s="60"/>
      <c r="M41" s="60"/>
      <c r="N41" s="60"/>
      <c r="O41" s="60"/>
      <c r="P41" s="60"/>
      <c r="Q41" s="60"/>
      <c r="R41" s="60"/>
      <c r="S41" s="62"/>
      <c r="T41" s="62"/>
      <c r="U41" s="62"/>
      <c r="V41" s="62"/>
      <c r="W41" s="62"/>
      <c r="X41" s="62"/>
      <c r="Y41" s="62"/>
      <c r="Z41" s="62"/>
      <c r="AA41" s="62"/>
      <c r="AB41" s="62"/>
      <c r="AC41" s="62"/>
      <c r="AD41" s="62"/>
      <c r="AE41" s="62"/>
      <c r="AF41" s="64"/>
    </row>
    <row r="42" ht="15.75" customHeight="1">
      <c r="A42" s="58"/>
      <c r="B42" s="58"/>
      <c r="C42" s="59"/>
      <c r="D42" s="59"/>
      <c r="E42" s="59"/>
      <c r="F42" s="60"/>
      <c r="G42" s="60"/>
      <c r="H42" s="60"/>
      <c r="I42" s="60"/>
      <c r="J42" s="60"/>
      <c r="K42" s="60"/>
      <c r="L42" s="60"/>
      <c r="M42" s="60"/>
      <c r="N42" s="60"/>
      <c r="O42" s="60"/>
      <c r="P42" s="60"/>
      <c r="Q42" s="60"/>
      <c r="R42" s="60"/>
      <c r="S42" s="62"/>
      <c r="T42" s="62"/>
      <c r="U42" s="62"/>
      <c r="V42" s="62"/>
      <c r="W42" s="62"/>
      <c r="X42" s="62"/>
      <c r="Y42" s="62"/>
      <c r="Z42" s="62"/>
      <c r="AA42" s="62"/>
      <c r="AB42" s="62"/>
      <c r="AC42" s="62"/>
      <c r="AD42" s="62"/>
      <c r="AE42" s="62"/>
      <c r="AF42" s="64"/>
    </row>
    <row r="43" ht="15.75" customHeight="1">
      <c r="A43" s="58"/>
      <c r="B43" s="58"/>
      <c r="C43" s="59"/>
      <c r="D43" s="59"/>
      <c r="E43" s="59"/>
      <c r="F43" s="60"/>
      <c r="G43" s="60"/>
      <c r="H43" s="60"/>
      <c r="I43" s="60"/>
      <c r="J43" s="60"/>
      <c r="K43" s="60"/>
      <c r="L43" s="60"/>
      <c r="M43" s="60"/>
      <c r="N43" s="60"/>
      <c r="O43" s="60"/>
      <c r="P43" s="60"/>
      <c r="Q43" s="60"/>
      <c r="R43" s="60"/>
      <c r="S43" s="62"/>
      <c r="T43" s="62"/>
      <c r="U43" s="62"/>
      <c r="V43" s="62"/>
      <c r="W43" s="62"/>
      <c r="X43" s="62"/>
      <c r="Y43" s="62"/>
      <c r="Z43" s="62"/>
      <c r="AA43" s="62"/>
      <c r="AB43" s="62"/>
      <c r="AC43" s="62"/>
      <c r="AD43" s="62"/>
      <c r="AE43" s="62"/>
      <c r="AF43" s="64"/>
    </row>
    <row r="44" ht="15.75" customHeight="1">
      <c r="A44" s="58"/>
      <c r="B44" s="58"/>
      <c r="C44" s="59"/>
      <c r="D44" s="59"/>
      <c r="E44" s="59"/>
      <c r="F44" s="60"/>
      <c r="G44" s="60"/>
      <c r="H44" s="60"/>
      <c r="I44" s="60"/>
      <c r="J44" s="60"/>
      <c r="K44" s="60"/>
      <c r="L44" s="60"/>
      <c r="M44" s="60"/>
      <c r="N44" s="60"/>
      <c r="O44" s="60"/>
      <c r="P44" s="60"/>
      <c r="Q44" s="60"/>
      <c r="R44" s="60"/>
      <c r="S44" s="62"/>
      <c r="T44" s="62"/>
      <c r="U44" s="62"/>
      <c r="V44" s="62"/>
      <c r="W44" s="62"/>
      <c r="X44" s="62"/>
      <c r="Y44" s="62"/>
      <c r="Z44" s="62"/>
      <c r="AA44" s="62"/>
      <c r="AB44" s="62"/>
      <c r="AC44" s="62"/>
      <c r="AD44" s="62"/>
      <c r="AE44" s="62"/>
      <c r="AF44" s="64"/>
    </row>
    <row r="45" ht="15.75" customHeight="1">
      <c r="A45" s="58"/>
      <c r="B45" s="58"/>
      <c r="C45" s="59"/>
      <c r="D45" s="59"/>
      <c r="E45" s="59"/>
      <c r="F45" s="60"/>
      <c r="G45" s="60"/>
      <c r="H45" s="60"/>
      <c r="I45" s="60"/>
      <c r="J45" s="60"/>
      <c r="K45" s="60"/>
      <c r="L45" s="60"/>
      <c r="M45" s="60"/>
      <c r="N45" s="60"/>
      <c r="O45" s="60"/>
      <c r="P45" s="60"/>
      <c r="Q45" s="60"/>
      <c r="R45" s="60"/>
      <c r="S45" s="62"/>
      <c r="T45" s="62"/>
      <c r="U45" s="62"/>
      <c r="V45" s="62"/>
      <c r="W45" s="62"/>
      <c r="X45" s="62"/>
      <c r="Y45" s="62"/>
      <c r="Z45" s="62"/>
      <c r="AA45" s="62"/>
      <c r="AB45" s="62"/>
      <c r="AC45" s="62"/>
      <c r="AD45" s="62"/>
      <c r="AE45" s="62"/>
      <c r="AF45" s="64"/>
    </row>
    <row r="46" ht="15.75" customHeight="1">
      <c r="A46" s="58"/>
      <c r="B46" s="58"/>
      <c r="C46" s="59"/>
      <c r="D46" s="59"/>
      <c r="E46" s="59"/>
      <c r="F46" s="60"/>
      <c r="G46" s="60"/>
      <c r="H46" s="60"/>
      <c r="I46" s="60"/>
      <c r="J46" s="60"/>
      <c r="K46" s="60"/>
      <c r="L46" s="60"/>
      <c r="M46" s="60"/>
      <c r="N46" s="60"/>
      <c r="O46" s="60"/>
      <c r="P46" s="60"/>
      <c r="Q46" s="60"/>
      <c r="R46" s="60"/>
      <c r="S46" s="62"/>
      <c r="T46" s="62"/>
      <c r="U46" s="62"/>
      <c r="V46" s="62"/>
      <c r="W46" s="62"/>
      <c r="X46" s="62"/>
      <c r="Y46" s="62"/>
      <c r="Z46" s="62"/>
      <c r="AA46" s="62"/>
      <c r="AB46" s="62"/>
      <c r="AC46" s="62"/>
      <c r="AD46" s="62"/>
      <c r="AE46" s="62"/>
      <c r="AF46" s="64"/>
    </row>
    <row r="47" ht="15.75" customHeight="1">
      <c r="A47" s="58"/>
      <c r="B47" s="58"/>
      <c r="C47" s="59"/>
      <c r="D47" s="59"/>
      <c r="E47" s="59"/>
      <c r="F47" s="60"/>
      <c r="G47" s="60"/>
      <c r="H47" s="60"/>
      <c r="I47" s="60"/>
      <c r="J47" s="60"/>
      <c r="K47" s="60"/>
      <c r="L47" s="60"/>
      <c r="M47" s="60"/>
      <c r="N47" s="60"/>
      <c r="O47" s="60"/>
      <c r="P47" s="60"/>
      <c r="Q47" s="60"/>
      <c r="R47" s="60"/>
      <c r="S47" s="62"/>
      <c r="T47" s="62"/>
      <c r="U47" s="62"/>
      <c r="V47" s="62"/>
      <c r="W47" s="62"/>
      <c r="X47" s="62"/>
      <c r="Y47" s="62"/>
      <c r="Z47" s="62"/>
      <c r="AA47" s="62"/>
      <c r="AB47" s="62"/>
      <c r="AC47" s="62"/>
      <c r="AD47" s="62"/>
      <c r="AE47" s="62"/>
      <c r="AF47" s="64"/>
    </row>
    <row r="48" ht="15.75" customHeight="1">
      <c r="A48" s="58"/>
      <c r="B48" s="58"/>
      <c r="C48" s="59"/>
      <c r="D48" s="59"/>
      <c r="E48" s="59"/>
      <c r="F48" s="60"/>
      <c r="G48" s="60"/>
      <c r="H48" s="60"/>
      <c r="I48" s="60"/>
      <c r="J48" s="60"/>
      <c r="K48" s="60"/>
      <c r="L48" s="60"/>
      <c r="M48" s="60"/>
      <c r="N48" s="60"/>
      <c r="O48" s="60"/>
      <c r="P48" s="60"/>
      <c r="Q48" s="60"/>
      <c r="R48" s="60"/>
      <c r="S48" s="62"/>
      <c r="T48" s="62"/>
      <c r="U48" s="62"/>
      <c r="V48" s="62"/>
      <c r="W48" s="62"/>
      <c r="X48" s="62"/>
      <c r="Y48" s="62"/>
      <c r="Z48" s="62"/>
      <c r="AA48" s="62"/>
      <c r="AB48" s="62"/>
      <c r="AC48" s="62"/>
      <c r="AD48" s="62"/>
      <c r="AE48" s="62"/>
      <c r="AF48" s="64"/>
    </row>
    <row r="49" ht="15.75" customHeight="1">
      <c r="A49" s="58"/>
      <c r="B49" s="58"/>
      <c r="C49" s="59"/>
      <c r="D49" s="59"/>
      <c r="E49" s="59"/>
      <c r="F49" s="60"/>
      <c r="G49" s="60"/>
      <c r="H49" s="60"/>
      <c r="I49" s="60"/>
      <c r="J49" s="60"/>
      <c r="K49" s="60"/>
      <c r="L49" s="60"/>
      <c r="M49" s="60"/>
      <c r="N49" s="60"/>
      <c r="O49" s="60"/>
      <c r="P49" s="60"/>
      <c r="Q49" s="60"/>
      <c r="R49" s="60"/>
      <c r="S49" s="62"/>
      <c r="T49" s="62"/>
      <c r="U49" s="62"/>
      <c r="V49" s="62"/>
      <c r="W49" s="62"/>
      <c r="X49" s="62"/>
      <c r="Y49" s="62"/>
      <c r="Z49" s="62"/>
      <c r="AA49" s="62"/>
      <c r="AB49" s="62"/>
      <c r="AC49" s="62"/>
      <c r="AD49" s="62"/>
      <c r="AE49" s="62"/>
      <c r="AF49" s="64"/>
    </row>
    <row r="50" ht="15.75" customHeight="1">
      <c r="A50" s="58"/>
      <c r="B50" s="58"/>
      <c r="C50" s="59"/>
      <c r="D50" s="59"/>
      <c r="E50" s="59"/>
      <c r="F50" s="60"/>
      <c r="G50" s="60"/>
      <c r="H50" s="60"/>
      <c r="I50" s="60"/>
      <c r="J50" s="60"/>
      <c r="K50" s="60"/>
      <c r="L50" s="60"/>
      <c r="M50" s="60"/>
      <c r="N50" s="60"/>
      <c r="O50" s="60"/>
      <c r="P50" s="60"/>
      <c r="Q50" s="60"/>
      <c r="R50" s="60"/>
      <c r="S50" s="62"/>
      <c r="T50" s="62"/>
      <c r="U50" s="62"/>
      <c r="V50" s="62"/>
      <c r="W50" s="62"/>
      <c r="X50" s="62"/>
      <c r="Y50" s="62"/>
      <c r="Z50" s="62"/>
      <c r="AA50" s="62"/>
      <c r="AB50" s="62"/>
      <c r="AC50" s="62"/>
      <c r="AD50" s="62"/>
      <c r="AE50" s="62"/>
      <c r="AF50" s="64"/>
    </row>
    <row r="51" ht="15.75" customHeight="1">
      <c r="A51" s="58"/>
      <c r="B51" s="58"/>
      <c r="C51" s="59"/>
      <c r="D51" s="59"/>
      <c r="E51" s="59"/>
      <c r="F51" s="60"/>
      <c r="G51" s="60"/>
      <c r="H51" s="60"/>
      <c r="I51" s="60"/>
      <c r="J51" s="60"/>
      <c r="K51" s="60"/>
      <c r="L51" s="60"/>
      <c r="M51" s="60"/>
      <c r="N51" s="60"/>
      <c r="O51" s="60"/>
      <c r="P51" s="60"/>
      <c r="Q51" s="60"/>
      <c r="R51" s="60"/>
      <c r="S51" s="62"/>
      <c r="T51" s="62"/>
      <c r="U51" s="62"/>
      <c r="V51" s="62"/>
      <c r="W51" s="62"/>
      <c r="X51" s="62"/>
      <c r="Y51" s="62"/>
      <c r="Z51" s="62"/>
      <c r="AA51" s="62"/>
      <c r="AB51" s="62"/>
      <c r="AC51" s="62"/>
      <c r="AD51" s="62"/>
      <c r="AE51" s="62"/>
      <c r="AF51" s="64"/>
    </row>
    <row r="52" ht="15.75" customHeight="1">
      <c r="A52" s="58"/>
      <c r="B52" s="58"/>
      <c r="C52" s="59"/>
      <c r="D52" s="59"/>
      <c r="E52" s="59"/>
      <c r="F52" s="60"/>
      <c r="G52" s="60"/>
      <c r="H52" s="60"/>
      <c r="I52" s="60"/>
      <c r="J52" s="60"/>
      <c r="K52" s="60"/>
      <c r="L52" s="60"/>
      <c r="M52" s="60"/>
      <c r="N52" s="60"/>
      <c r="O52" s="60"/>
      <c r="P52" s="60"/>
      <c r="Q52" s="60"/>
      <c r="R52" s="60"/>
      <c r="S52" s="62"/>
      <c r="T52" s="62"/>
      <c r="U52" s="62"/>
      <c r="V52" s="62"/>
      <c r="W52" s="62"/>
      <c r="X52" s="62"/>
      <c r="Y52" s="62"/>
      <c r="Z52" s="62"/>
      <c r="AA52" s="62"/>
      <c r="AB52" s="62"/>
      <c r="AC52" s="62"/>
      <c r="AD52" s="62"/>
      <c r="AE52" s="62"/>
      <c r="AF52" s="64"/>
    </row>
    <row r="53" ht="15.75" customHeight="1">
      <c r="A53" s="58"/>
      <c r="B53" s="58"/>
      <c r="C53" s="59"/>
      <c r="D53" s="59"/>
      <c r="E53" s="59"/>
      <c r="F53" s="60"/>
      <c r="G53" s="60"/>
      <c r="H53" s="60"/>
      <c r="I53" s="60"/>
      <c r="J53" s="60"/>
      <c r="K53" s="60"/>
      <c r="L53" s="60"/>
      <c r="M53" s="60"/>
      <c r="N53" s="60"/>
      <c r="O53" s="60"/>
      <c r="P53" s="60"/>
      <c r="Q53" s="60"/>
      <c r="R53" s="60"/>
      <c r="S53" s="62"/>
      <c r="T53" s="62"/>
      <c r="U53" s="62"/>
      <c r="V53" s="62"/>
      <c r="W53" s="62"/>
      <c r="X53" s="62"/>
      <c r="Y53" s="62"/>
      <c r="Z53" s="62"/>
      <c r="AA53" s="62"/>
      <c r="AB53" s="62"/>
      <c r="AC53" s="62"/>
      <c r="AD53" s="62"/>
      <c r="AE53" s="62"/>
      <c r="AF53" s="64"/>
    </row>
    <row r="54" ht="15.75" customHeight="1">
      <c r="A54" s="58"/>
      <c r="B54" s="58"/>
      <c r="C54" s="59"/>
      <c r="D54" s="59"/>
      <c r="E54" s="59"/>
      <c r="F54" s="60"/>
      <c r="G54" s="60"/>
      <c r="H54" s="60"/>
      <c r="I54" s="60"/>
      <c r="J54" s="60"/>
      <c r="K54" s="60"/>
      <c r="L54" s="60"/>
      <c r="M54" s="60"/>
      <c r="N54" s="60"/>
      <c r="O54" s="60"/>
      <c r="P54" s="60"/>
      <c r="Q54" s="60"/>
      <c r="R54" s="60"/>
      <c r="S54" s="62"/>
      <c r="T54" s="62"/>
      <c r="U54" s="62"/>
      <c r="V54" s="62"/>
      <c r="W54" s="62"/>
      <c r="X54" s="62"/>
      <c r="Y54" s="62"/>
      <c r="Z54" s="62"/>
      <c r="AA54" s="62"/>
      <c r="AB54" s="62"/>
      <c r="AC54" s="62"/>
      <c r="AD54" s="62"/>
      <c r="AE54" s="62"/>
      <c r="AF54" s="64"/>
    </row>
    <row r="55" ht="15.75" customHeight="1">
      <c r="A55" s="58"/>
      <c r="B55" s="58"/>
      <c r="C55" s="59"/>
      <c r="D55" s="59"/>
      <c r="E55" s="59"/>
      <c r="F55" s="60"/>
      <c r="G55" s="60"/>
      <c r="H55" s="60"/>
      <c r="I55" s="60"/>
      <c r="J55" s="60"/>
      <c r="K55" s="60"/>
      <c r="L55" s="60"/>
      <c r="M55" s="60"/>
      <c r="N55" s="60"/>
      <c r="O55" s="60"/>
      <c r="P55" s="60"/>
      <c r="Q55" s="60"/>
      <c r="R55" s="60"/>
      <c r="S55" s="62"/>
      <c r="T55" s="62"/>
      <c r="U55" s="62"/>
      <c r="V55" s="62"/>
      <c r="W55" s="62"/>
      <c r="X55" s="62"/>
      <c r="Y55" s="62"/>
      <c r="Z55" s="62"/>
      <c r="AA55" s="62"/>
      <c r="AB55" s="62"/>
      <c r="AC55" s="62"/>
      <c r="AD55" s="62"/>
      <c r="AE55" s="62"/>
      <c r="AF55" s="64"/>
    </row>
    <row r="56" ht="15.75" customHeight="1">
      <c r="A56" s="58"/>
      <c r="B56" s="58"/>
      <c r="C56" s="59"/>
      <c r="D56" s="59"/>
      <c r="E56" s="59"/>
      <c r="F56" s="60"/>
      <c r="G56" s="60"/>
      <c r="H56" s="60"/>
      <c r="I56" s="60"/>
      <c r="J56" s="60"/>
      <c r="K56" s="60"/>
      <c r="L56" s="60"/>
      <c r="M56" s="60"/>
      <c r="N56" s="60"/>
      <c r="O56" s="60"/>
      <c r="P56" s="60"/>
      <c r="Q56" s="60"/>
      <c r="R56" s="60"/>
      <c r="S56" s="62"/>
      <c r="T56" s="62"/>
      <c r="U56" s="62"/>
      <c r="V56" s="62"/>
      <c r="W56" s="62"/>
      <c r="X56" s="62"/>
      <c r="Y56" s="62"/>
      <c r="Z56" s="62"/>
      <c r="AA56" s="62"/>
      <c r="AB56" s="62"/>
      <c r="AC56" s="62"/>
      <c r="AD56" s="62"/>
      <c r="AE56" s="62"/>
      <c r="AF56" s="64"/>
    </row>
    <row r="57" ht="15.75" customHeight="1">
      <c r="A57" s="58"/>
      <c r="B57" s="58"/>
      <c r="C57" s="59"/>
      <c r="D57" s="59"/>
      <c r="E57" s="59"/>
      <c r="F57" s="60"/>
      <c r="G57" s="60"/>
      <c r="H57" s="60"/>
      <c r="I57" s="60"/>
      <c r="J57" s="60"/>
      <c r="K57" s="60"/>
      <c r="L57" s="60"/>
      <c r="M57" s="60"/>
      <c r="N57" s="60"/>
      <c r="O57" s="60"/>
      <c r="P57" s="60"/>
      <c r="Q57" s="60"/>
      <c r="R57" s="60"/>
      <c r="S57" s="62"/>
      <c r="T57" s="62"/>
      <c r="U57" s="62"/>
      <c r="V57" s="62"/>
      <c r="W57" s="62"/>
      <c r="X57" s="62"/>
      <c r="Y57" s="62"/>
      <c r="Z57" s="62"/>
      <c r="AA57" s="62"/>
      <c r="AB57" s="62"/>
      <c r="AC57" s="62"/>
      <c r="AD57" s="62"/>
      <c r="AE57" s="62"/>
      <c r="AF57" s="64"/>
    </row>
    <row r="58" ht="15.75" customHeight="1">
      <c r="A58" s="58"/>
      <c r="B58" s="58"/>
      <c r="C58" s="59"/>
      <c r="D58" s="59"/>
      <c r="E58" s="59"/>
      <c r="F58" s="60"/>
      <c r="G58" s="60"/>
      <c r="H58" s="60"/>
      <c r="I58" s="60"/>
      <c r="J58" s="60"/>
      <c r="K58" s="60"/>
      <c r="L58" s="60"/>
      <c r="M58" s="60"/>
      <c r="N58" s="60"/>
      <c r="O58" s="60"/>
      <c r="P58" s="60"/>
      <c r="Q58" s="60"/>
      <c r="R58" s="60"/>
      <c r="S58" s="62"/>
      <c r="T58" s="62"/>
      <c r="U58" s="62"/>
      <c r="V58" s="62"/>
      <c r="W58" s="62"/>
      <c r="X58" s="62"/>
      <c r="Y58" s="62"/>
      <c r="Z58" s="62"/>
      <c r="AA58" s="62"/>
      <c r="AB58" s="62"/>
      <c r="AC58" s="62"/>
      <c r="AD58" s="62"/>
      <c r="AE58" s="62"/>
      <c r="AF58" s="64"/>
    </row>
    <row r="59" ht="15.75" customHeight="1">
      <c r="A59" s="58"/>
      <c r="B59" s="58"/>
      <c r="C59" s="59"/>
      <c r="D59" s="59"/>
      <c r="E59" s="59"/>
      <c r="F59" s="60"/>
      <c r="G59" s="60"/>
      <c r="H59" s="60"/>
      <c r="I59" s="60"/>
      <c r="J59" s="60"/>
      <c r="K59" s="60"/>
      <c r="L59" s="60"/>
      <c r="M59" s="60"/>
      <c r="N59" s="60"/>
      <c r="O59" s="60"/>
      <c r="P59" s="60"/>
      <c r="Q59" s="60"/>
      <c r="R59" s="60"/>
      <c r="S59" s="62"/>
      <c r="T59" s="62"/>
      <c r="U59" s="62"/>
      <c r="V59" s="62"/>
      <c r="W59" s="62"/>
      <c r="X59" s="62"/>
      <c r="Y59" s="62"/>
      <c r="Z59" s="62"/>
      <c r="AA59" s="62"/>
      <c r="AB59" s="62"/>
      <c r="AC59" s="62"/>
      <c r="AD59" s="62"/>
      <c r="AE59" s="62"/>
      <c r="AF59" s="64"/>
    </row>
    <row r="60" ht="15.75" customHeight="1">
      <c r="A60" s="58"/>
      <c r="B60" s="58"/>
      <c r="C60" s="59"/>
      <c r="D60" s="59"/>
      <c r="E60" s="59"/>
      <c r="F60" s="60"/>
      <c r="G60" s="60"/>
      <c r="H60" s="60"/>
      <c r="I60" s="60"/>
      <c r="J60" s="60"/>
      <c r="K60" s="60"/>
      <c r="L60" s="60"/>
      <c r="M60" s="60"/>
      <c r="N60" s="60"/>
      <c r="O60" s="60"/>
      <c r="P60" s="60"/>
      <c r="Q60" s="60"/>
      <c r="R60" s="60"/>
      <c r="S60" s="62"/>
      <c r="T60" s="62"/>
      <c r="U60" s="62"/>
      <c r="V60" s="62"/>
      <c r="W60" s="62"/>
      <c r="X60" s="62"/>
      <c r="Y60" s="62"/>
      <c r="Z60" s="62"/>
      <c r="AA60" s="62"/>
      <c r="AB60" s="62"/>
      <c r="AC60" s="62"/>
      <c r="AD60" s="62"/>
      <c r="AE60" s="62"/>
      <c r="AF60" s="64"/>
    </row>
    <row r="61" ht="15.75" customHeight="1">
      <c r="A61" s="58"/>
      <c r="B61" s="58"/>
      <c r="C61" s="59"/>
      <c r="D61" s="59"/>
      <c r="E61" s="59"/>
      <c r="F61" s="60"/>
      <c r="G61" s="60"/>
      <c r="H61" s="60"/>
      <c r="I61" s="60"/>
      <c r="J61" s="60"/>
      <c r="K61" s="60"/>
      <c r="L61" s="60"/>
      <c r="M61" s="60"/>
      <c r="N61" s="60"/>
      <c r="O61" s="60"/>
      <c r="P61" s="60"/>
      <c r="Q61" s="60"/>
      <c r="R61" s="60"/>
      <c r="S61" s="62"/>
      <c r="T61" s="62"/>
      <c r="U61" s="62"/>
      <c r="V61" s="62"/>
      <c r="W61" s="62"/>
      <c r="X61" s="62"/>
      <c r="Y61" s="62"/>
      <c r="Z61" s="62"/>
      <c r="AA61" s="62"/>
      <c r="AB61" s="62"/>
      <c r="AC61" s="62"/>
      <c r="AD61" s="62"/>
      <c r="AE61" s="62"/>
      <c r="AF61" s="64"/>
    </row>
    <row r="62" ht="15.75" customHeight="1">
      <c r="A62" s="58"/>
      <c r="B62" s="58"/>
      <c r="C62" s="59"/>
      <c r="D62" s="59"/>
      <c r="E62" s="59"/>
      <c r="F62" s="60"/>
      <c r="G62" s="60"/>
      <c r="H62" s="60"/>
      <c r="I62" s="60"/>
      <c r="J62" s="60"/>
      <c r="K62" s="60"/>
      <c r="L62" s="60"/>
      <c r="M62" s="60"/>
      <c r="N62" s="60"/>
      <c r="O62" s="60"/>
      <c r="P62" s="60"/>
      <c r="Q62" s="60"/>
      <c r="R62" s="60"/>
      <c r="S62" s="62"/>
      <c r="T62" s="62"/>
      <c r="U62" s="62"/>
      <c r="V62" s="62"/>
      <c r="W62" s="62"/>
      <c r="X62" s="62"/>
      <c r="Y62" s="62"/>
      <c r="Z62" s="62"/>
      <c r="AA62" s="62"/>
      <c r="AB62" s="62"/>
      <c r="AC62" s="62"/>
      <c r="AD62" s="62"/>
      <c r="AE62" s="62"/>
      <c r="AF62" s="64"/>
    </row>
    <row r="63" ht="15.75" customHeight="1">
      <c r="A63" s="58"/>
      <c r="B63" s="58"/>
      <c r="C63" s="59"/>
      <c r="D63" s="59"/>
      <c r="E63" s="59"/>
      <c r="F63" s="60"/>
      <c r="G63" s="60"/>
      <c r="H63" s="60"/>
      <c r="I63" s="60"/>
      <c r="J63" s="60"/>
      <c r="K63" s="60"/>
      <c r="L63" s="60"/>
      <c r="M63" s="60"/>
      <c r="N63" s="60"/>
      <c r="O63" s="60"/>
      <c r="P63" s="60"/>
      <c r="Q63" s="60"/>
      <c r="R63" s="60"/>
      <c r="S63" s="62"/>
      <c r="T63" s="62"/>
      <c r="U63" s="62"/>
      <c r="V63" s="62"/>
      <c r="W63" s="62"/>
      <c r="X63" s="62"/>
      <c r="Y63" s="62"/>
      <c r="Z63" s="62"/>
      <c r="AA63" s="62"/>
      <c r="AB63" s="62"/>
      <c r="AC63" s="62"/>
      <c r="AD63" s="62"/>
      <c r="AE63" s="62"/>
      <c r="AF63" s="64"/>
    </row>
    <row r="64" ht="15.75" customHeight="1">
      <c r="A64" s="58"/>
      <c r="B64" s="58"/>
      <c r="C64" s="59"/>
      <c r="D64" s="59"/>
      <c r="E64" s="59"/>
      <c r="F64" s="60"/>
      <c r="G64" s="60"/>
      <c r="H64" s="60"/>
      <c r="I64" s="60"/>
      <c r="J64" s="60"/>
      <c r="K64" s="60"/>
      <c r="L64" s="60"/>
      <c r="M64" s="60"/>
      <c r="N64" s="60"/>
      <c r="O64" s="60"/>
      <c r="P64" s="60"/>
      <c r="Q64" s="60"/>
      <c r="R64" s="60"/>
      <c r="S64" s="62"/>
      <c r="T64" s="62"/>
      <c r="U64" s="62"/>
      <c r="V64" s="62"/>
      <c r="W64" s="62"/>
      <c r="X64" s="62"/>
      <c r="Y64" s="62"/>
      <c r="Z64" s="62"/>
      <c r="AA64" s="62"/>
      <c r="AB64" s="62"/>
      <c r="AC64" s="62"/>
      <c r="AD64" s="62"/>
      <c r="AE64" s="62"/>
      <c r="AF64" s="64"/>
    </row>
    <row r="65" ht="15.75" customHeight="1">
      <c r="A65" s="58"/>
      <c r="B65" s="58"/>
      <c r="C65" s="59"/>
      <c r="D65" s="59"/>
      <c r="E65" s="59"/>
      <c r="F65" s="60"/>
      <c r="G65" s="60"/>
      <c r="H65" s="60"/>
      <c r="I65" s="60"/>
      <c r="J65" s="60"/>
      <c r="K65" s="60"/>
      <c r="L65" s="60"/>
      <c r="M65" s="60"/>
      <c r="N65" s="60"/>
      <c r="O65" s="60"/>
      <c r="P65" s="60"/>
      <c r="Q65" s="60"/>
      <c r="R65" s="60"/>
      <c r="S65" s="62"/>
      <c r="T65" s="62"/>
      <c r="U65" s="62"/>
      <c r="V65" s="62"/>
      <c r="W65" s="62"/>
      <c r="X65" s="62"/>
      <c r="Y65" s="62"/>
      <c r="Z65" s="62"/>
      <c r="AA65" s="62"/>
      <c r="AB65" s="62"/>
      <c r="AC65" s="62"/>
      <c r="AD65" s="62"/>
      <c r="AE65" s="62"/>
      <c r="AF65" s="64"/>
    </row>
    <row r="66" ht="15.75" customHeight="1">
      <c r="A66" s="58"/>
      <c r="B66" s="58"/>
      <c r="C66" s="59"/>
      <c r="D66" s="59"/>
      <c r="E66" s="59"/>
      <c r="F66" s="60"/>
      <c r="G66" s="60"/>
      <c r="H66" s="60"/>
      <c r="I66" s="60"/>
      <c r="J66" s="60"/>
      <c r="K66" s="60"/>
      <c r="L66" s="60"/>
      <c r="M66" s="60"/>
      <c r="N66" s="60"/>
      <c r="O66" s="60"/>
      <c r="P66" s="60"/>
      <c r="Q66" s="60"/>
      <c r="R66" s="60"/>
      <c r="S66" s="62"/>
      <c r="T66" s="62"/>
      <c r="U66" s="62"/>
      <c r="V66" s="62"/>
      <c r="W66" s="62"/>
      <c r="X66" s="62"/>
      <c r="Y66" s="62"/>
      <c r="Z66" s="62"/>
      <c r="AA66" s="62"/>
      <c r="AB66" s="62"/>
      <c r="AC66" s="62"/>
      <c r="AD66" s="62"/>
      <c r="AE66" s="62"/>
      <c r="AF66" s="64"/>
    </row>
    <row r="67" ht="15.75" customHeight="1">
      <c r="A67" s="58"/>
      <c r="B67" s="58"/>
      <c r="C67" s="59"/>
      <c r="D67" s="59"/>
      <c r="E67" s="59"/>
      <c r="F67" s="60"/>
      <c r="G67" s="60"/>
      <c r="H67" s="60"/>
      <c r="I67" s="60"/>
      <c r="J67" s="60"/>
      <c r="K67" s="60"/>
      <c r="L67" s="60"/>
      <c r="M67" s="60"/>
      <c r="N67" s="60"/>
      <c r="O67" s="60"/>
      <c r="P67" s="60"/>
      <c r="Q67" s="60"/>
      <c r="R67" s="60"/>
      <c r="S67" s="62"/>
      <c r="T67" s="62"/>
      <c r="U67" s="62"/>
      <c r="V67" s="62"/>
      <c r="W67" s="62"/>
      <c r="X67" s="62"/>
      <c r="Y67" s="62"/>
      <c r="Z67" s="62"/>
      <c r="AA67" s="62"/>
      <c r="AB67" s="62"/>
      <c r="AC67" s="62"/>
      <c r="AD67" s="62"/>
      <c r="AE67" s="62"/>
      <c r="AF67" s="64"/>
    </row>
    <row r="68" ht="15.75" customHeight="1">
      <c r="A68" s="58"/>
      <c r="B68" s="58"/>
      <c r="C68" s="59"/>
      <c r="D68" s="59"/>
      <c r="E68" s="59"/>
      <c r="F68" s="60"/>
      <c r="G68" s="60"/>
      <c r="H68" s="60"/>
      <c r="I68" s="60"/>
      <c r="J68" s="60"/>
      <c r="K68" s="60"/>
      <c r="L68" s="60"/>
      <c r="M68" s="60"/>
      <c r="N68" s="60"/>
      <c r="O68" s="60"/>
      <c r="P68" s="60"/>
      <c r="Q68" s="60"/>
      <c r="R68" s="60"/>
      <c r="S68" s="62"/>
      <c r="T68" s="62"/>
      <c r="U68" s="62"/>
      <c r="V68" s="62"/>
      <c r="W68" s="62"/>
      <c r="X68" s="62"/>
      <c r="Y68" s="62"/>
      <c r="Z68" s="62"/>
      <c r="AA68" s="62"/>
      <c r="AB68" s="62"/>
      <c r="AC68" s="62"/>
      <c r="AD68" s="62"/>
      <c r="AE68" s="62"/>
      <c r="AF68" s="64"/>
    </row>
    <row r="69" ht="15.75" customHeight="1">
      <c r="A69" s="58"/>
      <c r="B69" s="58"/>
      <c r="C69" s="59"/>
      <c r="D69" s="59"/>
      <c r="E69" s="59"/>
      <c r="F69" s="60"/>
      <c r="G69" s="60"/>
      <c r="H69" s="60"/>
      <c r="I69" s="60"/>
      <c r="J69" s="60"/>
      <c r="K69" s="60"/>
      <c r="L69" s="60"/>
      <c r="M69" s="60"/>
      <c r="N69" s="60"/>
      <c r="O69" s="60"/>
      <c r="P69" s="60"/>
      <c r="Q69" s="60"/>
      <c r="R69" s="60"/>
      <c r="S69" s="62"/>
      <c r="T69" s="62"/>
      <c r="U69" s="62"/>
      <c r="V69" s="62"/>
      <c r="W69" s="62"/>
      <c r="X69" s="62"/>
      <c r="Y69" s="62"/>
      <c r="Z69" s="62"/>
      <c r="AA69" s="62"/>
      <c r="AB69" s="62"/>
      <c r="AC69" s="62"/>
      <c r="AD69" s="62"/>
      <c r="AE69" s="62"/>
      <c r="AF69" s="64"/>
    </row>
    <row r="70" ht="15.75" customHeight="1">
      <c r="A70" s="58"/>
      <c r="B70" s="58"/>
      <c r="C70" s="59"/>
      <c r="D70" s="59"/>
      <c r="E70" s="59"/>
      <c r="F70" s="60"/>
      <c r="G70" s="60"/>
      <c r="H70" s="60"/>
      <c r="I70" s="60"/>
      <c r="J70" s="60"/>
      <c r="K70" s="60"/>
      <c r="L70" s="60"/>
      <c r="M70" s="60"/>
      <c r="N70" s="60"/>
      <c r="O70" s="60"/>
      <c r="P70" s="60"/>
      <c r="Q70" s="60"/>
      <c r="R70" s="60"/>
      <c r="S70" s="62"/>
      <c r="T70" s="62"/>
      <c r="U70" s="62"/>
      <c r="V70" s="62"/>
      <c r="W70" s="62"/>
      <c r="X70" s="62"/>
      <c r="Y70" s="62"/>
      <c r="Z70" s="62"/>
      <c r="AA70" s="62"/>
      <c r="AB70" s="62"/>
      <c r="AC70" s="62"/>
      <c r="AD70" s="62"/>
      <c r="AE70" s="62"/>
      <c r="AF70" s="64"/>
    </row>
    <row r="71" ht="15.75" customHeight="1">
      <c r="A71" s="58"/>
      <c r="B71" s="58"/>
      <c r="C71" s="59"/>
      <c r="D71" s="59"/>
      <c r="E71" s="59"/>
      <c r="F71" s="60"/>
      <c r="G71" s="60"/>
      <c r="H71" s="60"/>
      <c r="I71" s="60"/>
      <c r="J71" s="60"/>
      <c r="K71" s="60"/>
      <c r="L71" s="60"/>
      <c r="M71" s="60"/>
      <c r="N71" s="60"/>
      <c r="O71" s="60"/>
      <c r="P71" s="60"/>
      <c r="Q71" s="60"/>
      <c r="R71" s="60"/>
      <c r="S71" s="62"/>
      <c r="T71" s="62"/>
      <c r="U71" s="62"/>
      <c r="V71" s="62"/>
      <c r="W71" s="62"/>
      <c r="X71" s="62"/>
      <c r="Y71" s="62"/>
      <c r="Z71" s="62"/>
      <c r="AA71" s="62"/>
      <c r="AB71" s="62"/>
      <c r="AC71" s="62"/>
      <c r="AD71" s="62"/>
      <c r="AE71" s="62"/>
      <c r="AF71" s="64"/>
    </row>
    <row r="72" ht="15.75" customHeight="1">
      <c r="A72" s="58"/>
      <c r="B72" s="58"/>
      <c r="C72" s="59"/>
      <c r="D72" s="59"/>
      <c r="E72" s="59"/>
      <c r="F72" s="60"/>
      <c r="G72" s="60"/>
      <c r="H72" s="60"/>
      <c r="I72" s="60"/>
      <c r="J72" s="60"/>
      <c r="K72" s="60"/>
      <c r="L72" s="60"/>
      <c r="M72" s="60"/>
      <c r="N72" s="60"/>
      <c r="O72" s="60"/>
      <c r="P72" s="60"/>
      <c r="Q72" s="60"/>
      <c r="R72" s="60"/>
      <c r="S72" s="62"/>
      <c r="T72" s="62"/>
      <c r="U72" s="62"/>
      <c r="V72" s="62"/>
      <c r="W72" s="62"/>
      <c r="X72" s="62"/>
      <c r="Y72" s="62"/>
      <c r="Z72" s="62"/>
      <c r="AA72" s="62"/>
      <c r="AB72" s="62"/>
      <c r="AC72" s="62"/>
      <c r="AD72" s="62"/>
      <c r="AE72" s="62"/>
      <c r="AF72" s="64"/>
    </row>
    <row r="73" ht="15.75" customHeight="1">
      <c r="A73" s="58"/>
      <c r="B73" s="58"/>
      <c r="C73" s="59"/>
      <c r="D73" s="59"/>
      <c r="E73" s="59"/>
      <c r="F73" s="60"/>
      <c r="G73" s="60"/>
      <c r="H73" s="60"/>
      <c r="I73" s="60"/>
      <c r="J73" s="60"/>
      <c r="K73" s="60"/>
      <c r="L73" s="60"/>
      <c r="M73" s="60"/>
      <c r="N73" s="60"/>
      <c r="O73" s="60"/>
      <c r="P73" s="60"/>
      <c r="Q73" s="60"/>
      <c r="R73" s="60"/>
      <c r="S73" s="62"/>
      <c r="T73" s="62"/>
      <c r="U73" s="62"/>
      <c r="V73" s="62"/>
      <c r="W73" s="62"/>
      <c r="X73" s="62"/>
      <c r="Y73" s="62"/>
      <c r="Z73" s="62"/>
      <c r="AA73" s="62"/>
      <c r="AB73" s="62"/>
      <c r="AC73" s="62"/>
      <c r="AD73" s="62"/>
      <c r="AE73" s="62"/>
      <c r="AF73" s="64"/>
    </row>
    <row r="74" ht="15.75" customHeight="1">
      <c r="A74" s="58"/>
      <c r="B74" s="58"/>
      <c r="C74" s="59"/>
      <c r="D74" s="59"/>
      <c r="E74" s="59"/>
      <c r="F74" s="60"/>
      <c r="G74" s="60"/>
      <c r="H74" s="60"/>
      <c r="I74" s="60"/>
      <c r="J74" s="60"/>
      <c r="K74" s="60"/>
      <c r="L74" s="60"/>
      <c r="M74" s="60"/>
      <c r="N74" s="60"/>
      <c r="O74" s="60"/>
      <c r="P74" s="60"/>
      <c r="Q74" s="60"/>
      <c r="R74" s="60"/>
      <c r="S74" s="62"/>
      <c r="T74" s="62"/>
      <c r="U74" s="62"/>
      <c r="V74" s="62"/>
      <c r="W74" s="62"/>
      <c r="X74" s="62"/>
      <c r="Y74" s="62"/>
      <c r="Z74" s="62"/>
      <c r="AA74" s="62"/>
      <c r="AB74" s="62"/>
      <c r="AC74" s="62"/>
      <c r="AD74" s="62"/>
      <c r="AE74" s="62"/>
      <c r="AF74" s="64"/>
    </row>
    <row r="75" ht="15.75" customHeight="1">
      <c r="A75" s="58"/>
      <c r="B75" s="58"/>
      <c r="C75" s="59"/>
      <c r="D75" s="59"/>
      <c r="E75" s="59"/>
      <c r="F75" s="60"/>
      <c r="G75" s="60"/>
      <c r="H75" s="60"/>
      <c r="I75" s="60"/>
      <c r="J75" s="60"/>
      <c r="K75" s="60"/>
      <c r="L75" s="60"/>
      <c r="M75" s="60"/>
      <c r="N75" s="60"/>
      <c r="O75" s="60"/>
      <c r="P75" s="60"/>
      <c r="Q75" s="60"/>
      <c r="R75" s="60"/>
      <c r="S75" s="62"/>
      <c r="T75" s="62"/>
      <c r="U75" s="62"/>
      <c r="V75" s="62"/>
      <c r="W75" s="62"/>
      <c r="X75" s="62"/>
      <c r="Y75" s="62"/>
      <c r="Z75" s="62"/>
      <c r="AA75" s="62"/>
      <c r="AB75" s="62"/>
      <c r="AC75" s="62"/>
      <c r="AD75" s="62"/>
      <c r="AE75" s="62"/>
      <c r="AF75" s="64"/>
    </row>
    <row r="76" ht="15.75" customHeight="1">
      <c r="A76" s="58"/>
      <c r="B76" s="58"/>
      <c r="C76" s="59"/>
      <c r="D76" s="59"/>
      <c r="E76" s="59"/>
      <c r="F76" s="60"/>
      <c r="G76" s="60"/>
      <c r="H76" s="60"/>
      <c r="I76" s="60"/>
      <c r="J76" s="60"/>
      <c r="K76" s="60"/>
      <c r="L76" s="60"/>
      <c r="M76" s="60"/>
      <c r="N76" s="60"/>
      <c r="O76" s="60"/>
      <c r="P76" s="60"/>
      <c r="Q76" s="60"/>
      <c r="R76" s="60"/>
      <c r="S76" s="62"/>
      <c r="T76" s="62"/>
      <c r="U76" s="62"/>
      <c r="V76" s="62"/>
      <c r="W76" s="62"/>
      <c r="X76" s="62"/>
      <c r="Y76" s="62"/>
      <c r="Z76" s="62"/>
      <c r="AA76" s="62"/>
      <c r="AB76" s="62"/>
      <c r="AC76" s="62"/>
      <c r="AD76" s="62"/>
      <c r="AE76" s="62"/>
      <c r="AF76" s="64"/>
    </row>
    <row r="77" ht="15.75" customHeight="1">
      <c r="A77" s="58"/>
      <c r="B77" s="58"/>
      <c r="C77" s="59"/>
      <c r="D77" s="59"/>
      <c r="E77" s="59"/>
      <c r="F77" s="60"/>
      <c r="G77" s="60"/>
      <c r="H77" s="60"/>
      <c r="I77" s="60"/>
      <c r="J77" s="60"/>
      <c r="K77" s="60"/>
      <c r="L77" s="60"/>
      <c r="M77" s="60"/>
      <c r="N77" s="60"/>
      <c r="O77" s="60"/>
      <c r="P77" s="60"/>
      <c r="Q77" s="60"/>
      <c r="R77" s="60"/>
      <c r="S77" s="62"/>
      <c r="T77" s="62"/>
      <c r="U77" s="62"/>
      <c r="V77" s="62"/>
      <c r="W77" s="62"/>
      <c r="X77" s="62"/>
      <c r="Y77" s="62"/>
      <c r="Z77" s="62"/>
      <c r="AA77" s="62"/>
      <c r="AB77" s="62"/>
      <c r="AC77" s="62"/>
      <c r="AD77" s="62"/>
      <c r="AE77" s="62"/>
      <c r="AF77" s="64"/>
    </row>
    <row r="78" ht="15.75" customHeight="1">
      <c r="A78" s="58"/>
      <c r="B78" s="58"/>
      <c r="C78" s="59"/>
      <c r="D78" s="59"/>
      <c r="E78" s="59"/>
      <c r="F78" s="60"/>
      <c r="G78" s="60"/>
      <c r="H78" s="60"/>
      <c r="I78" s="60"/>
      <c r="J78" s="60"/>
      <c r="K78" s="60"/>
      <c r="L78" s="60"/>
      <c r="M78" s="60"/>
      <c r="N78" s="60"/>
      <c r="O78" s="60"/>
      <c r="P78" s="60"/>
      <c r="Q78" s="60"/>
      <c r="R78" s="60"/>
      <c r="S78" s="62"/>
      <c r="T78" s="62"/>
      <c r="U78" s="62"/>
      <c r="V78" s="62"/>
      <c r="W78" s="62"/>
      <c r="X78" s="62"/>
      <c r="Y78" s="62"/>
      <c r="Z78" s="62"/>
      <c r="AA78" s="62"/>
      <c r="AB78" s="62"/>
      <c r="AC78" s="62"/>
      <c r="AD78" s="62"/>
      <c r="AE78" s="62"/>
      <c r="AF78" s="64"/>
    </row>
    <row r="79" ht="15.75" customHeight="1">
      <c r="A79" s="58"/>
      <c r="B79" s="58"/>
      <c r="C79" s="59"/>
      <c r="D79" s="59"/>
      <c r="E79" s="59"/>
      <c r="F79" s="60"/>
      <c r="G79" s="60"/>
      <c r="H79" s="60"/>
      <c r="I79" s="60"/>
      <c r="J79" s="60"/>
      <c r="K79" s="60"/>
      <c r="L79" s="60"/>
      <c r="M79" s="60"/>
      <c r="N79" s="60"/>
      <c r="O79" s="60"/>
      <c r="P79" s="60"/>
      <c r="Q79" s="60"/>
      <c r="R79" s="60"/>
      <c r="S79" s="62"/>
      <c r="T79" s="62"/>
      <c r="U79" s="62"/>
      <c r="V79" s="62"/>
      <c r="W79" s="62"/>
      <c r="X79" s="62"/>
      <c r="Y79" s="62"/>
      <c r="Z79" s="62"/>
      <c r="AA79" s="62"/>
      <c r="AB79" s="62"/>
      <c r="AC79" s="62"/>
      <c r="AD79" s="62"/>
      <c r="AE79" s="62"/>
      <c r="AF79" s="64"/>
    </row>
    <row r="80" ht="15.75" customHeight="1">
      <c r="A80" s="58"/>
      <c r="B80" s="58"/>
      <c r="C80" s="59"/>
      <c r="D80" s="59"/>
      <c r="E80" s="59"/>
      <c r="F80" s="60"/>
      <c r="G80" s="60"/>
      <c r="H80" s="60"/>
      <c r="I80" s="60"/>
      <c r="J80" s="60"/>
      <c r="K80" s="60"/>
      <c r="L80" s="60"/>
      <c r="M80" s="60"/>
      <c r="N80" s="60"/>
      <c r="O80" s="60"/>
      <c r="P80" s="60"/>
      <c r="Q80" s="60"/>
      <c r="R80" s="60"/>
      <c r="S80" s="62"/>
      <c r="T80" s="62"/>
      <c r="U80" s="62"/>
      <c r="V80" s="62"/>
      <c r="W80" s="62"/>
      <c r="X80" s="62"/>
      <c r="Y80" s="62"/>
      <c r="Z80" s="62"/>
      <c r="AA80" s="62"/>
      <c r="AB80" s="62"/>
      <c r="AC80" s="62"/>
      <c r="AD80" s="62"/>
      <c r="AE80" s="62"/>
      <c r="AF80" s="64"/>
    </row>
    <row r="81" ht="15.75" customHeight="1">
      <c r="A81" s="58"/>
      <c r="B81" s="58"/>
      <c r="C81" s="59"/>
      <c r="D81" s="59"/>
      <c r="E81" s="59"/>
      <c r="F81" s="60"/>
      <c r="G81" s="60"/>
      <c r="H81" s="60"/>
      <c r="I81" s="60"/>
      <c r="J81" s="60"/>
      <c r="K81" s="60"/>
      <c r="L81" s="60"/>
      <c r="M81" s="60"/>
      <c r="N81" s="60"/>
      <c r="O81" s="60"/>
      <c r="P81" s="60"/>
      <c r="Q81" s="60"/>
      <c r="R81" s="60"/>
      <c r="S81" s="62"/>
      <c r="T81" s="62"/>
      <c r="U81" s="62"/>
      <c r="V81" s="62"/>
      <c r="W81" s="62"/>
      <c r="X81" s="62"/>
      <c r="Y81" s="62"/>
      <c r="Z81" s="62"/>
      <c r="AA81" s="62"/>
      <c r="AB81" s="62"/>
      <c r="AC81" s="62"/>
      <c r="AD81" s="62"/>
      <c r="AE81" s="62"/>
      <c r="AF81" s="64"/>
    </row>
    <row r="82" ht="15.75" customHeight="1">
      <c r="A82" s="58"/>
      <c r="B82" s="58"/>
      <c r="C82" s="59"/>
      <c r="D82" s="59"/>
      <c r="E82" s="59"/>
      <c r="F82" s="60"/>
      <c r="G82" s="60"/>
      <c r="H82" s="60"/>
      <c r="I82" s="60"/>
      <c r="J82" s="60"/>
      <c r="K82" s="60"/>
      <c r="L82" s="60"/>
      <c r="M82" s="60"/>
      <c r="N82" s="60"/>
      <c r="O82" s="60"/>
      <c r="P82" s="60"/>
      <c r="Q82" s="60"/>
      <c r="R82" s="60"/>
      <c r="S82" s="62"/>
      <c r="T82" s="62"/>
      <c r="U82" s="62"/>
      <c r="V82" s="62"/>
      <c r="W82" s="62"/>
      <c r="X82" s="62"/>
      <c r="Y82" s="62"/>
      <c r="Z82" s="62"/>
      <c r="AA82" s="62"/>
      <c r="AB82" s="62"/>
      <c r="AC82" s="62"/>
      <c r="AD82" s="62"/>
      <c r="AE82" s="62"/>
      <c r="AF82" s="64"/>
    </row>
    <row r="83" ht="15.75" customHeight="1">
      <c r="A83" s="58"/>
      <c r="B83" s="58"/>
      <c r="C83" s="59"/>
      <c r="D83" s="59"/>
      <c r="E83" s="59"/>
      <c r="F83" s="60"/>
      <c r="G83" s="60"/>
      <c r="H83" s="60"/>
      <c r="I83" s="60"/>
      <c r="J83" s="60"/>
      <c r="K83" s="60"/>
      <c r="L83" s="60"/>
      <c r="M83" s="60"/>
      <c r="N83" s="60"/>
      <c r="O83" s="60"/>
      <c r="P83" s="60"/>
      <c r="Q83" s="60"/>
      <c r="R83" s="60"/>
      <c r="S83" s="62"/>
      <c r="T83" s="62"/>
      <c r="U83" s="62"/>
      <c r="V83" s="62"/>
      <c r="W83" s="62"/>
      <c r="X83" s="62"/>
      <c r="Y83" s="62"/>
      <c r="Z83" s="62"/>
      <c r="AA83" s="62"/>
      <c r="AB83" s="62"/>
      <c r="AC83" s="62"/>
      <c r="AD83" s="62"/>
      <c r="AE83" s="62"/>
      <c r="AF83" s="64"/>
    </row>
    <row r="84" ht="15.75" customHeight="1">
      <c r="A84" s="58"/>
      <c r="B84" s="58"/>
      <c r="C84" s="59"/>
      <c r="D84" s="59"/>
      <c r="E84" s="59"/>
      <c r="F84" s="60"/>
      <c r="G84" s="60"/>
      <c r="H84" s="60"/>
      <c r="I84" s="60"/>
      <c r="J84" s="60"/>
      <c r="K84" s="60"/>
      <c r="L84" s="60"/>
      <c r="M84" s="60"/>
      <c r="N84" s="60"/>
      <c r="O84" s="60"/>
      <c r="P84" s="60"/>
      <c r="Q84" s="60"/>
      <c r="R84" s="60"/>
      <c r="S84" s="62"/>
      <c r="T84" s="62"/>
      <c r="U84" s="62"/>
      <c r="V84" s="62"/>
      <c r="W84" s="62"/>
      <c r="X84" s="62"/>
      <c r="Y84" s="62"/>
      <c r="Z84" s="62"/>
      <c r="AA84" s="62"/>
      <c r="AB84" s="62"/>
      <c r="AC84" s="62"/>
      <c r="AD84" s="62"/>
      <c r="AE84" s="62"/>
      <c r="AF84" s="64"/>
    </row>
    <row r="85" ht="15.75" customHeight="1">
      <c r="A85" s="58"/>
      <c r="B85" s="58"/>
      <c r="C85" s="59"/>
      <c r="D85" s="59"/>
      <c r="E85" s="59"/>
      <c r="F85" s="60"/>
      <c r="G85" s="60"/>
      <c r="H85" s="60"/>
      <c r="I85" s="60"/>
      <c r="J85" s="60"/>
      <c r="K85" s="60"/>
      <c r="L85" s="60"/>
      <c r="M85" s="60"/>
      <c r="N85" s="60"/>
      <c r="O85" s="60"/>
      <c r="P85" s="60"/>
      <c r="Q85" s="60"/>
      <c r="R85" s="60"/>
      <c r="S85" s="62"/>
      <c r="T85" s="62"/>
      <c r="U85" s="62"/>
      <c r="V85" s="62"/>
      <c r="W85" s="62"/>
      <c r="X85" s="62"/>
      <c r="Y85" s="62"/>
      <c r="Z85" s="62"/>
      <c r="AA85" s="62"/>
      <c r="AB85" s="62"/>
      <c r="AC85" s="62"/>
      <c r="AD85" s="62"/>
      <c r="AE85" s="62"/>
      <c r="AF85" s="64"/>
    </row>
    <row r="86" ht="15.75" customHeight="1">
      <c r="A86" s="58"/>
      <c r="B86" s="58"/>
      <c r="C86" s="59"/>
      <c r="D86" s="59"/>
      <c r="E86" s="59"/>
      <c r="F86" s="60"/>
      <c r="G86" s="60"/>
      <c r="H86" s="60"/>
      <c r="I86" s="60"/>
      <c r="J86" s="60"/>
      <c r="K86" s="60"/>
      <c r="L86" s="60"/>
      <c r="M86" s="60"/>
      <c r="N86" s="60"/>
      <c r="O86" s="60"/>
      <c r="P86" s="60"/>
      <c r="Q86" s="60"/>
      <c r="R86" s="60"/>
      <c r="S86" s="62"/>
      <c r="T86" s="62"/>
      <c r="U86" s="62"/>
      <c r="V86" s="62"/>
      <c r="W86" s="62"/>
      <c r="X86" s="62"/>
      <c r="Y86" s="62"/>
      <c r="Z86" s="62"/>
      <c r="AA86" s="62"/>
      <c r="AB86" s="62"/>
      <c r="AC86" s="62"/>
      <c r="AD86" s="62"/>
      <c r="AE86" s="62"/>
      <c r="AF86" s="64"/>
    </row>
    <row r="87" ht="15.75" customHeight="1">
      <c r="A87" s="58"/>
      <c r="B87" s="58"/>
      <c r="C87" s="59"/>
      <c r="D87" s="59"/>
      <c r="E87" s="59"/>
      <c r="F87" s="60"/>
      <c r="G87" s="60"/>
      <c r="H87" s="60"/>
      <c r="I87" s="60"/>
      <c r="J87" s="60"/>
      <c r="K87" s="60"/>
      <c r="L87" s="60"/>
      <c r="M87" s="60"/>
      <c r="N87" s="60"/>
      <c r="O87" s="60"/>
      <c r="P87" s="60"/>
      <c r="Q87" s="60"/>
      <c r="R87" s="60"/>
      <c r="S87" s="62"/>
      <c r="T87" s="62"/>
      <c r="U87" s="62"/>
      <c r="V87" s="62"/>
      <c r="W87" s="62"/>
      <c r="X87" s="62"/>
      <c r="Y87" s="62"/>
      <c r="Z87" s="62"/>
      <c r="AA87" s="62"/>
      <c r="AB87" s="62"/>
      <c r="AC87" s="62"/>
      <c r="AD87" s="62"/>
      <c r="AE87" s="62"/>
      <c r="AF87" s="64"/>
    </row>
    <row r="88" ht="15.75" customHeight="1">
      <c r="A88" s="58"/>
      <c r="B88" s="58"/>
      <c r="C88" s="59"/>
      <c r="D88" s="59"/>
      <c r="E88" s="59"/>
      <c r="F88" s="60"/>
      <c r="G88" s="60"/>
      <c r="H88" s="60"/>
      <c r="I88" s="60"/>
      <c r="J88" s="60"/>
      <c r="K88" s="60"/>
      <c r="L88" s="60"/>
      <c r="M88" s="60"/>
      <c r="N88" s="60"/>
      <c r="O88" s="60"/>
      <c r="P88" s="60"/>
      <c r="Q88" s="60"/>
      <c r="R88" s="60"/>
      <c r="S88" s="62"/>
      <c r="T88" s="62"/>
      <c r="U88" s="62"/>
      <c r="V88" s="62"/>
      <c r="W88" s="62"/>
      <c r="X88" s="62"/>
      <c r="Y88" s="62"/>
      <c r="Z88" s="62"/>
      <c r="AA88" s="62"/>
      <c r="AB88" s="62"/>
      <c r="AC88" s="62"/>
      <c r="AD88" s="62"/>
      <c r="AE88" s="62"/>
      <c r="AF88" s="64"/>
    </row>
    <row r="89" ht="15.75" customHeight="1">
      <c r="A89" s="58"/>
      <c r="B89" s="58"/>
      <c r="C89" s="59"/>
      <c r="D89" s="59"/>
      <c r="E89" s="59"/>
      <c r="F89" s="60"/>
      <c r="G89" s="60"/>
      <c r="H89" s="60"/>
      <c r="I89" s="60"/>
      <c r="J89" s="60"/>
      <c r="K89" s="60"/>
      <c r="L89" s="60"/>
      <c r="M89" s="60"/>
      <c r="N89" s="60"/>
      <c r="O89" s="60"/>
      <c r="P89" s="60"/>
      <c r="Q89" s="60"/>
      <c r="R89" s="60"/>
      <c r="S89" s="62"/>
      <c r="T89" s="62"/>
      <c r="U89" s="62"/>
      <c r="V89" s="62"/>
      <c r="W89" s="62"/>
      <c r="X89" s="62"/>
      <c r="Y89" s="62"/>
      <c r="Z89" s="62"/>
      <c r="AA89" s="62"/>
      <c r="AB89" s="62"/>
      <c r="AC89" s="62"/>
      <c r="AD89" s="62"/>
      <c r="AE89" s="62"/>
      <c r="AF89" s="64"/>
    </row>
    <row r="90" ht="15.75" customHeight="1">
      <c r="A90" s="58"/>
      <c r="B90" s="58"/>
      <c r="C90" s="59"/>
      <c r="D90" s="59"/>
      <c r="E90" s="59"/>
      <c r="F90" s="60"/>
      <c r="G90" s="60"/>
      <c r="H90" s="60"/>
      <c r="I90" s="60"/>
      <c r="J90" s="60"/>
      <c r="K90" s="60"/>
      <c r="L90" s="60"/>
      <c r="M90" s="60"/>
      <c r="N90" s="60"/>
      <c r="O90" s="60"/>
      <c r="P90" s="60"/>
      <c r="Q90" s="60"/>
      <c r="R90" s="60"/>
      <c r="S90" s="62"/>
      <c r="T90" s="62"/>
      <c r="U90" s="62"/>
      <c r="V90" s="62"/>
      <c r="W90" s="62"/>
      <c r="X90" s="62"/>
      <c r="Y90" s="62"/>
      <c r="Z90" s="62"/>
      <c r="AA90" s="62"/>
      <c r="AB90" s="62"/>
      <c r="AC90" s="62"/>
      <c r="AD90" s="62"/>
      <c r="AE90" s="62"/>
      <c r="AF90" s="64"/>
    </row>
    <row r="91" ht="15.75" customHeight="1">
      <c r="A91" s="58"/>
      <c r="B91" s="58"/>
      <c r="C91" s="59"/>
      <c r="D91" s="59"/>
      <c r="E91" s="59"/>
      <c r="F91" s="60"/>
      <c r="G91" s="60"/>
      <c r="H91" s="60"/>
      <c r="I91" s="60"/>
      <c r="J91" s="60"/>
      <c r="K91" s="60"/>
      <c r="L91" s="60"/>
      <c r="M91" s="60"/>
      <c r="N91" s="60"/>
      <c r="O91" s="60"/>
      <c r="P91" s="60"/>
      <c r="Q91" s="60"/>
      <c r="R91" s="60"/>
      <c r="S91" s="62"/>
      <c r="T91" s="62"/>
      <c r="U91" s="62"/>
      <c r="V91" s="62"/>
      <c r="W91" s="62"/>
      <c r="X91" s="62"/>
      <c r="Y91" s="62"/>
      <c r="Z91" s="62"/>
      <c r="AA91" s="62"/>
      <c r="AB91" s="62"/>
      <c r="AC91" s="62"/>
      <c r="AD91" s="62"/>
      <c r="AE91" s="62"/>
      <c r="AF91" s="64"/>
    </row>
    <row r="92" ht="15.75" customHeight="1">
      <c r="A92" s="58"/>
      <c r="B92" s="58"/>
      <c r="C92" s="59"/>
      <c r="D92" s="59"/>
      <c r="E92" s="59"/>
      <c r="F92" s="60"/>
      <c r="G92" s="60"/>
      <c r="H92" s="60"/>
      <c r="I92" s="60"/>
      <c r="J92" s="60"/>
      <c r="K92" s="60"/>
      <c r="L92" s="60"/>
      <c r="M92" s="60"/>
      <c r="N92" s="60"/>
      <c r="O92" s="60"/>
      <c r="P92" s="60"/>
      <c r="Q92" s="60"/>
      <c r="R92" s="60"/>
      <c r="S92" s="62"/>
      <c r="T92" s="62"/>
      <c r="U92" s="62"/>
      <c r="V92" s="62"/>
      <c r="W92" s="62"/>
      <c r="X92" s="62"/>
      <c r="Y92" s="62"/>
      <c r="Z92" s="62"/>
      <c r="AA92" s="62"/>
      <c r="AB92" s="62"/>
      <c r="AC92" s="62"/>
      <c r="AD92" s="62"/>
      <c r="AE92" s="62"/>
      <c r="AF92" s="64"/>
    </row>
    <row r="93" ht="15.75" customHeight="1">
      <c r="A93" s="58"/>
      <c r="B93" s="58"/>
      <c r="C93" s="59"/>
      <c r="D93" s="59"/>
      <c r="E93" s="59"/>
      <c r="F93" s="60"/>
      <c r="G93" s="60"/>
      <c r="H93" s="60"/>
      <c r="I93" s="60"/>
      <c r="J93" s="60"/>
      <c r="K93" s="60"/>
      <c r="L93" s="60"/>
      <c r="M93" s="60"/>
      <c r="N93" s="60"/>
      <c r="O93" s="60"/>
      <c r="P93" s="60"/>
      <c r="Q93" s="60"/>
      <c r="R93" s="60"/>
      <c r="S93" s="62"/>
      <c r="T93" s="62"/>
      <c r="U93" s="62"/>
      <c r="V93" s="62"/>
      <c r="W93" s="62"/>
      <c r="X93" s="62"/>
      <c r="Y93" s="62"/>
      <c r="Z93" s="62"/>
      <c r="AA93" s="62"/>
      <c r="AB93" s="62"/>
      <c r="AC93" s="62"/>
      <c r="AD93" s="62"/>
      <c r="AE93" s="62"/>
      <c r="AF93" s="64"/>
    </row>
    <row r="94" ht="15.75" customHeight="1">
      <c r="A94" s="58"/>
      <c r="B94" s="58"/>
      <c r="C94" s="59"/>
      <c r="D94" s="59"/>
      <c r="E94" s="59"/>
      <c r="F94" s="60"/>
      <c r="G94" s="60"/>
      <c r="H94" s="60"/>
      <c r="I94" s="60"/>
      <c r="J94" s="60"/>
      <c r="K94" s="60"/>
      <c r="L94" s="60"/>
      <c r="M94" s="60"/>
      <c r="N94" s="60"/>
      <c r="O94" s="60"/>
      <c r="P94" s="60"/>
      <c r="Q94" s="60"/>
      <c r="R94" s="60"/>
      <c r="S94" s="62"/>
      <c r="T94" s="62"/>
      <c r="U94" s="62"/>
      <c r="V94" s="62"/>
      <c r="W94" s="62"/>
      <c r="X94" s="62"/>
      <c r="Y94" s="62"/>
      <c r="Z94" s="62"/>
      <c r="AA94" s="62"/>
      <c r="AB94" s="62"/>
      <c r="AC94" s="62"/>
      <c r="AD94" s="62"/>
      <c r="AE94" s="62"/>
      <c r="AF94" s="64"/>
    </row>
    <row r="95" ht="15.75" customHeight="1">
      <c r="A95" s="58"/>
      <c r="B95" s="58"/>
      <c r="C95" s="59"/>
      <c r="D95" s="59"/>
      <c r="E95" s="59"/>
      <c r="F95" s="60"/>
      <c r="G95" s="60"/>
      <c r="H95" s="60"/>
      <c r="I95" s="60"/>
      <c r="J95" s="60"/>
      <c r="K95" s="60"/>
      <c r="L95" s="60"/>
      <c r="M95" s="60"/>
      <c r="N95" s="60"/>
      <c r="O95" s="60"/>
      <c r="P95" s="60"/>
      <c r="Q95" s="60"/>
      <c r="R95" s="60"/>
      <c r="S95" s="62"/>
      <c r="T95" s="62"/>
      <c r="U95" s="62"/>
      <c r="V95" s="62"/>
      <c r="W95" s="62"/>
      <c r="X95" s="62"/>
      <c r="Y95" s="62"/>
      <c r="Z95" s="62"/>
      <c r="AA95" s="62"/>
      <c r="AB95" s="62"/>
      <c r="AC95" s="62"/>
      <c r="AD95" s="62"/>
      <c r="AE95" s="62"/>
      <c r="AF95" s="64"/>
    </row>
    <row r="96" ht="15.75" customHeight="1">
      <c r="A96" s="58"/>
      <c r="B96" s="58"/>
      <c r="C96" s="59"/>
      <c r="D96" s="59"/>
      <c r="E96" s="59"/>
      <c r="F96" s="60"/>
      <c r="G96" s="60"/>
      <c r="H96" s="60"/>
      <c r="I96" s="60"/>
      <c r="J96" s="60"/>
      <c r="K96" s="60"/>
      <c r="L96" s="60"/>
      <c r="M96" s="60"/>
      <c r="N96" s="60"/>
      <c r="O96" s="60"/>
      <c r="P96" s="60"/>
      <c r="Q96" s="60"/>
      <c r="R96" s="60"/>
      <c r="S96" s="62"/>
      <c r="T96" s="62"/>
      <c r="U96" s="62"/>
      <c r="V96" s="62"/>
      <c r="W96" s="62"/>
      <c r="X96" s="62"/>
      <c r="Y96" s="62"/>
      <c r="Z96" s="62"/>
      <c r="AA96" s="62"/>
      <c r="AB96" s="62"/>
      <c r="AC96" s="62"/>
      <c r="AD96" s="62"/>
      <c r="AE96" s="62"/>
      <c r="AF96" s="64"/>
    </row>
    <row r="97" ht="15.75" customHeight="1">
      <c r="A97" s="58"/>
      <c r="B97" s="58"/>
      <c r="C97" s="59"/>
      <c r="D97" s="59"/>
      <c r="E97" s="59"/>
      <c r="F97" s="60"/>
      <c r="G97" s="60"/>
      <c r="H97" s="60"/>
      <c r="I97" s="60"/>
      <c r="J97" s="60"/>
      <c r="K97" s="60"/>
      <c r="L97" s="60"/>
      <c r="M97" s="60"/>
      <c r="N97" s="60"/>
      <c r="O97" s="60"/>
      <c r="P97" s="60"/>
      <c r="Q97" s="60"/>
      <c r="R97" s="60"/>
      <c r="S97" s="62"/>
      <c r="T97" s="62"/>
      <c r="U97" s="62"/>
      <c r="V97" s="62"/>
      <c r="W97" s="62"/>
      <c r="X97" s="62"/>
      <c r="Y97" s="62"/>
      <c r="Z97" s="62"/>
      <c r="AA97" s="62"/>
      <c r="AB97" s="62"/>
      <c r="AC97" s="62"/>
      <c r="AD97" s="62"/>
      <c r="AE97" s="62"/>
      <c r="AF97" s="64"/>
    </row>
    <row r="98" ht="15.75" customHeight="1">
      <c r="A98" s="58"/>
      <c r="B98" s="58"/>
      <c r="C98" s="59"/>
      <c r="D98" s="59"/>
      <c r="E98" s="59"/>
      <c r="F98" s="60"/>
      <c r="G98" s="60"/>
      <c r="H98" s="60"/>
      <c r="I98" s="60"/>
      <c r="J98" s="60"/>
      <c r="K98" s="60"/>
      <c r="L98" s="60"/>
      <c r="M98" s="60"/>
      <c r="N98" s="60"/>
      <c r="O98" s="60"/>
      <c r="P98" s="60"/>
      <c r="Q98" s="60"/>
      <c r="R98" s="60"/>
      <c r="S98" s="62"/>
      <c r="T98" s="62"/>
      <c r="U98" s="62"/>
      <c r="V98" s="62"/>
      <c r="W98" s="62"/>
      <c r="X98" s="62"/>
      <c r="Y98" s="62"/>
      <c r="Z98" s="62"/>
      <c r="AA98" s="62"/>
      <c r="AB98" s="62"/>
      <c r="AC98" s="62"/>
      <c r="AD98" s="62"/>
      <c r="AE98" s="62"/>
      <c r="AF98" s="64"/>
    </row>
    <row r="99" ht="15.75" customHeight="1">
      <c r="A99" s="58"/>
      <c r="B99" s="58"/>
      <c r="C99" s="59"/>
      <c r="D99" s="59"/>
      <c r="E99" s="59"/>
      <c r="F99" s="60"/>
      <c r="G99" s="60"/>
      <c r="H99" s="60"/>
      <c r="I99" s="60"/>
      <c r="J99" s="60"/>
      <c r="K99" s="60"/>
      <c r="L99" s="60"/>
      <c r="M99" s="60"/>
      <c r="N99" s="60"/>
      <c r="O99" s="60"/>
      <c r="P99" s="60"/>
      <c r="Q99" s="60"/>
      <c r="R99" s="60"/>
      <c r="S99" s="62"/>
      <c r="T99" s="62"/>
      <c r="U99" s="62"/>
      <c r="V99" s="62"/>
      <c r="W99" s="62"/>
      <c r="X99" s="62"/>
      <c r="Y99" s="62"/>
      <c r="Z99" s="62"/>
      <c r="AA99" s="62"/>
      <c r="AB99" s="62"/>
      <c r="AC99" s="62"/>
      <c r="AD99" s="62"/>
      <c r="AE99" s="62"/>
      <c r="AF99" s="64"/>
    </row>
    <row r="100" ht="15.75" customHeight="1">
      <c r="A100" s="58"/>
      <c r="B100" s="58"/>
      <c r="C100" s="59"/>
      <c r="D100" s="59"/>
      <c r="E100" s="59"/>
      <c r="F100" s="60"/>
      <c r="G100" s="60"/>
      <c r="H100" s="60"/>
      <c r="I100" s="60"/>
      <c r="J100" s="60"/>
      <c r="K100" s="60"/>
      <c r="L100" s="60"/>
      <c r="M100" s="60"/>
      <c r="N100" s="60"/>
      <c r="O100" s="60"/>
      <c r="P100" s="60"/>
      <c r="Q100" s="60"/>
      <c r="R100" s="60"/>
      <c r="S100" s="62"/>
      <c r="T100" s="62"/>
      <c r="U100" s="62"/>
      <c r="V100" s="62"/>
      <c r="W100" s="62"/>
      <c r="X100" s="62"/>
      <c r="Y100" s="62"/>
      <c r="Z100" s="62"/>
      <c r="AA100" s="62"/>
      <c r="AB100" s="62"/>
      <c r="AC100" s="62"/>
      <c r="AD100" s="62"/>
      <c r="AE100" s="62"/>
      <c r="AF100" s="64"/>
    </row>
    <row r="101" ht="15.75" customHeight="1">
      <c r="A101" s="70"/>
      <c r="B101" s="70"/>
      <c r="C101" s="70"/>
      <c r="D101" s="70"/>
      <c r="E101" s="70"/>
      <c r="F101" s="7"/>
      <c r="G101" s="7"/>
      <c r="H101" s="7"/>
      <c r="I101" s="7"/>
      <c r="J101" s="7"/>
      <c r="K101" s="7"/>
      <c r="L101" s="7"/>
      <c r="M101" s="7"/>
      <c r="N101" s="7"/>
      <c r="O101" s="7"/>
      <c r="P101" s="7"/>
      <c r="Q101" s="7"/>
      <c r="R101" s="7"/>
      <c r="S101" s="43"/>
      <c r="T101" s="43"/>
      <c r="U101" s="43"/>
      <c r="V101" s="43"/>
      <c r="W101" s="43"/>
      <c r="X101" s="43"/>
      <c r="Y101" s="43"/>
      <c r="Z101" s="43"/>
      <c r="AA101" s="43"/>
      <c r="AB101" s="43"/>
      <c r="AC101" s="43"/>
      <c r="AD101" s="43"/>
      <c r="AE101" s="43"/>
      <c r="AF101" s="71"/>
    </row>
    <row r="102" ht="15.75" customHeight="1">
      <c r="A102" s="70"/>
      <c r="B102" s="70"/>
      <c r="C102" s="70"/>
      <c r="D102" s="70"/>
      <c r="E102" s="70"/>
      <c r="F102" s="7"/>
      <c r="G102" s="7"/>
      <c r="H102" s="7"/>
      <c r="I102" s="7"/>
      <c r="J102" s="7"/>
      <c r="K102" s="7"/>
      <c r="L102" s="7"/>
      <c r="M102" s="7"/>
      <c r="N102" s="7"/>
      <c r="O102" s="7"/>
      <c r="P102" s="7"/>
      <c r="Q102" s="7"/>
      <c r="R102" s="7"/>
      <c r="S102" s="43"/>
      <c r="T102" s="43"/>
      <c r="U102" s="43"/>
      <c r="V102" s="43"/>
      <c r="W102" s="43"/>
      <c r="X102" s="43"/>
      <c r="Y102" s="43"/>
      <c r="Z102" s="43"/>
      <c r="AA102" s="43"/>
      <c r="AB102" s="43"/>
      <c r="AC102" s="43"/>
      <c r="AD102" s="43"/>
      <c r="AE102" s="43"/>
      <c r="AF102" s="71"/>
    </row>
    <row r="103" ht="15.75" customHeight="1">
      <c r="A103" s="70"/>
      <c r="B103" s="70"/>
      <c r="C103" s="70"/>
      <c r="D103" s="70"/>
      <c r="E103" s="70"/>
      <c r="F103" s="7"/>
      <c r="G103" s="7"/>
      <c r="H103" s="7"/>
      <c r="I103" s="7"/>
      <c r="J103" s="7"/>
      <c r="K103" s="7"/>
      <c r="L103" s="7"/>
      <c r="M103" s="7"/>
      <c r="N103" s="7"/>
      <c r="O103" s="7"/>
      <c r="P103" s="7"/>
      <c r="Q103" s="7"/>
      <c r="R103" s="7"/>
      <c r="S103" s="43"/>
      <c r="T103" s="43"/>
      <c r="U103" s="43"/>
      <c r="V103" s="43"/>
      <c r="W103" s="43"/>
      <c r="X103" s="43"/>
      <c r="Y103" s="43"/>
      <c r="Z103" s="43"/>
      <c r="AA103" s="43"/>
      <c r="AB103" s="43"/>
      <c r="AC103" s="43"/>
      <c r="AD103" s="43"/>
      <c r="AE103" s="43"/>
      <c r="AF103" s="71"/>
    </row>
    <row r="104" ht="15.75" customHeight="1">
      <c r="A104" s="70"/>
      <c r="B104" s="70"/>
      <c r="C104" s="70"/>
      <c r="D104" s="70"/>
      <c r="E104" s="70"/>
      <c r="F104" s="7"/>
      <c r="G104" s="7"/>
      <c r="H104" s="7"/>
      <c r="I104" s="7"/>
      <c r="J104" s="7"/>
      <c r="K104" s="7"/>
      <c r="L104" s="7"/>
      <c r="M104" s="7"/>
      <c r="N104" s="7"/>
      <c r="O104" s="7"/>
      <c r="P104" s="7"/>
      <c r="Q104" s="7"/>
      <c r="R104" s="7"/>
      <c r="S104" s="43"/>
      <c r="T104" s="43"/>
      <c r="U104" s="43"/>
      <c r="V104" s="43"/>
      <c r="W104" s="43"/>
      <c r="X104" s="43"/>
      <c r="Y104" s="43"/>
      <c r="Z104" s="43"/>
      <c r="AA104" s="43"/>
      <c r="AB104" s="43"/>
      <c r="AC104" s="43"/>
      <c r="AD104" s="43"/>
      <c r="AE104" s="43"/>
      <c r="AF104" s="71"/>
    </row>
    <row r="105" ht="15.75" customHeight="1">
      <c r="A105" s="70"/>
      <c r="B105" s="70"/>
      <c r="C105" s="70"/>
      <c r="D105" s="70"/>
      <c r="E105" s="70"/>
      <c r="F105" s="7"/>
      <c r="G105" s="7"/>
      <c r="H105" s="7"/>
      <c r="I105" s="7"/>
      <c r="J105" s="7"/>
      <c r="K105" s="7"/>
      <c r="L105" s="7"/>
      <c r="M105" s="7"/>
      <c r="N105" s="7"/>
      <c r="O105" s="7"/>
      <c r="P105" s="7"/>
      <c r="Q105" s="7"/>
      <c r="R105" s="7"/>
      <c r="S105" s="43"/>
      <c r="T105" s="43"/>
      <c r="U105" s="43"/>
      <c r="V105" s="43"/>
      <c r="W105" s="43"/>
      <c r="X105" s="43"/>
      <c r="Y105" s="43"/>
      <c r="Z105" s="43"/>
      <c r="AA105" s="43"/>
      <c r="AB105" s="43"/>
      <c r="AC105" s="43"/>
      <c r="AD105" s="43"/>
      <c r="AE105" s="43"/>
      <c r="AF105" s="71"/>
    </row>
    <row r="106" ht="15.75" customHeight="1">
      <c r="A106" s="70"/>
      <c r="B106" s="70"/>
      <c r="C106" s="70"/>
      <c r="D106" s="70"/>
      <c r="E106" s="70"/>
      <c r="F106" s="7"/>
      <c r="G106" s="7"/>
      <c r="H106" s="7"/>
      <c r="I106" s="7"/>
      <c r="J106" s="7"/>
      <c r="K106" s="7"/>
      <c r="L106" s="7"/>
      <c r="M106" s="7"/>
      <c r="N106" s="7"/>
      <c r="O106" s="7"/>
      <c r="P106" s="7"/>
      <c r="Q106" s="7"/>
      <c r="R106" s="7"/>
      <c r="S106" s="43"/>
      <c r="T106" s="43"/>
      <c r="U106" s="43"/>
      <c r="V106" s="43"/>
      <c r="W106" s="43"/>
      <c r="X106" s="43"/>
      <c r="Y106" s="43"/>
      <c r="Z106" s="43"/>
      <c r="AA106" s="43"/>
      <c r="AB106" s="43"/>
      <c r="AC106" s="43"/>
      <c r="AD106" s="43"/>
      <c r="AE106" s="43"/>
      <c r="AF106" s="71"/>
    </row>
    <row r="107" ht="15.75" customHeight="1">
      <c r="A107" s="70"/>
      <c r="B107" s="70"/>
      <c r="C107" s="70"/>
      <c r="D107" s="70"/>
      <c r="E107" s="70"/>
      <c r="F107" s="7"/>
      <c r="G107" s="7"/>
      <c r="H107" s="7"/>
      <c r="I107" s="7"/>
      <c r="J107" s="7"/>
      <c r="K107" s="7"/>
      <c r="L107" s="7"/>
      <c r="M107" s="7"/>
      <c r="N107" s="7"/>
      <c r="O107" s="7"/>
      <c r="P107" s="7"/>
      <c r="Q107" s="7"/>
      <c r="R107" s="7"/>
      <c r="S107" s="43"/>
      <c r="T107" s="43"/>
      <c r="U107" s="43"/>
      <c r="V107" s="43"/>
      <c r="W107" s="43"/>
      <c r="X107" s="43"/>
      <c r="Y107" s="43"/>
      <c r="Z107" s="43"/>
      <c r="AA107" s="43"/>
      <c r="AB107" s="43"/>
      <c r="AC107" s="43"/>
      <c r="AD107" s="43"/>
      <c r="AE107" s="43"/>
      <c r="AF107" s="71"/>
    </row>
    <row r="108" ht="15.75" customHeight="1">
      <c r="A108" s="70"/>
      <c r="B108" s="70"/>
      <c r="C108" s="70"/>
      <c r="D108" s="70"/>
      <c r="E108" s="70"/>
      <c r="F108" s="7"/>
      <c r="G108" s="7"/>
      <c r="H108" s="7"/>
      <c r="I108" s="7"/>
      <c r="J108" s="7"/>
      <c r="K108" s="7"/>
      <c r="L108" s="7"/>
      <c r="M108" s="7"/>
      <c r="N108" s="7"/>
      <c r="O108" s="7"/>
      <c r="P108" s="7"/>
      <c r="Q108" s="7"/>
      <c r="R108" s="7"/>
      <c r="S108" s="43"/>
      <c r="T108" s="43"/>
      <c r="U108" s="43"/>
      <c r="V108" s="43"/>
      <c r="W108" s="43"/>
      <c r="X108" s="43"/>
      <c r="Y108" s="43"/>
      <c r="Z108" s="43"/>
      <c r="AA108" s="43"/>
      <c r="AB108" s="43"/>
      <c r="AC108" s="43"/>
      <c r="AD108" s="43"/>
      <c r="AE108" s="43"/>
      <c r="AF108" s="71"/>
    </row>
    <row r="109" ht="15.75" customHeight="1">
      <c r="A109" s="70"/>
      <c r="B109" s="70"/>
      <c r="C109" s="70"/>
      <c r="D109" s="70"/>
      <c r="E109" s="70"/>
      <c r="F109" s="7"/>
      <c r="G109" s="7"/>
      <c r="H109" s="7"/>
      <c r="I109" s="7"/>
      <c r="J109" s="7"/>
      <c r="K109" s="7"/>
      <c r="L109" s="7"/>
      <c r="M109" s="7"/>
      <c r="N109" s="7"/>
      <c r="O109" s="7"/>
      <c r="P109" s="7"/>
      <c r="Q109" s="7"/>
      <c r="R109" s="7"/>
      <c r="S109" s="43"/>
      <c r="T109" s="43"/>
      <c r="U109" s="43"/>
      <c r="V109" s="43"/>
      <c r="W109" s="43"/>
      <c r="X109" s="43"/>
      <c r="Y109" s="43"/>
      <c r="Z109" s="43"/>
      <c r="AA109" s="43"/>
      <c r="AB109" s="43"/>
      <c r="AC109" s="43"/>
      <c r="AD109" s="43"/>
      <c r="AE109" s="43"/>
      <c r="AF109" s="71"/>
    </row>
    <row r="110" ht="15.75" customHeight="1">
      <c r="A110" s="70"/>
      <c r="B110" s="70"/>
      <c r="C110" s="70"/>
      <c r="D110" s="70"/>
      <c r="E110" s="70"/>
      <c r="F110" s="7"/>
      <c r="G110" s="7"/>
      <c r="H110" s="7"/>
      <c r="I110" s="7"/>
      <c r="J110" s="7"/>
      <c r="K110" s="7"/>
      <c r="L110" s="7"/>
      <c r="M110" s="7"/>
      <c r="N110" s="7"/>
      <c r="O110" s="7"/>
      <c r="P110" s="7"/>
      <c r="Q110" s="7"/>
      <c r="R110" s="7"/>
      <c r="S110" s="43"/>
      <c r="T110" s="43"/>
      <c r="U110" s="43"/>
      <c r="V110" s="43"/>
      <c r="W110" s="43"/>
      <c r="X110" s="43"/>
      <c r="Y110" s="43"/>
      <c r="Z110" s="43"/>
      <c r="AA110" s="43"/>
      <c r="AB110" s="43"/>
      <c r="AC110" s="43"/>
      <c r="AD110" s="43"/>
      <c r="AE110" s="43"/>
      <c r="AF110" s="71"/>
    </row>
    <row r="111" ht="15.75" customHeight="1">
      <c r="A111" s="70"/>
      <c r="B111" s="70"/>
      <c r="C111" s="70"/>
      <c r="D111" s="70"/>
      <c r="E111" s="70"/>
      <c r="F111" s="7"/>
      <c r="G111" s="7"/>
      <c r="H111" s="7"/>
      <c r="I111" s="7"/>
      <c r="J111" s="7"/>
      <c r="K111" s="7"/>
      <c r="L111" s="7"/>
      <c r="M111" s="7"/>
      <c r="N111" s="7"/>
      <c r="O111" s="7"/>
      <c r="P111" s="7"/>
      <c r="Q111" s="7"/>
      <c r="R111" s="7"/>
      <c r="S111" s="43"/>
      <c r="T111" s="43"/>
      <c r="U111" s="43"/>
      <c r="V111" s="43"/>
      <c r="W111" s="43"/>
      <c r="X111" s="43"/>
      <c r="Y111" s="43"/>
      <c r="Z111" s="43"/>
      <c r="AA111" s="43"/>
      <c r="AB111" s="43"/>
      <c r="AC111" s="43"/>
      <c r="AD111" s="43"/>
      <c r="AE111" s="43"/>
      <c r="AF111" s="71"/>
    </row>
    <row r="112" ht="15.75" customHeight="1">
      <c r="A112" s="70"/>
      <c r="B112" s="70"/>
      <c r="C112" s="70"/>
      <c r="D112" s="70"/>
      <c r="E112" s="70"/>
      <c r="F112" s="7"/>
      <c r="G112" s="7"/>
      <c r="H112" s="7"/>
      <c r="I112" s="7"/>
      <c r="J112" s="7"/>
      <c r="K112" s="7"/>
      <c r="L112" s="7"/>
      <c r="M112" s="7"/>
      <c r="N112" s="7"/>
      <c r="O112" s="7"/>
      <c r="P112" s="7"/>
      <c r="Q112" s="7"/>
      <c r="R112" s="7"/>
      <c r="S112" s="43"/>
      <c r="T112" s="43"/>
      <c r="U112" s="43"/>
      <c r="V112" s="43"/>
      <c r="W112" s="43"/>
      <c r="X112" s="43"/>
      <c r="Y112" s="43"/>
      <c r="Z112" s="43"/>
      <c r="AA112" s="43"/>
      <c r="AB112" s="43"/>
      <c r="AC112" s="43"/>
      <c r="AD112" s="43"/>
      <c r="AE112" s="43"/>
      <c r="AF112" s="71"/>
    </row>
    <row r="113" ht="15.75" customHeight="1">
      <c r="A113" s="70"/>
      <c r="B113" s="70"/>
      <c r="C113" s="70"/>
      <c r="D113" s="70"/>
      <c r="E113" s="70"/>
      <c r="F113" s="7"/>
      <c r="G113" s="7"/>
      <c r="H113" s="7"/>
      <c r="I113" s="7"/>
      <c r="J113" s="7"/>
      <c r="K113" s="7"/>
      <c r="L113" s="7"/>
      <c r="M113" s="7"/>
      <c r="N113" s="7"/>
      <c r="O113" s="7"/>
      <c r="P113" s="7"/>
      <c r="Q113" s="7"/>
      <c r="R113" s="7"/>
      <c r="S113" s="43"/>
      <c r="T113" s="43"/>
      <c r="U113" s="43"/>
      <c r="V113" s="43"/>
      <c r="W113" s="43"/>
      <c r="X113" s="43"/>
      <c r="Y113" s="43"/>
      <c r="Z113" s="43"/>
      <c r="AA113" s="43"/>
      <c r="AB113" s="43"/>
      <c r="AC113" s="43"/>
      <c r="AD113" s="43"/>
      <c r="AE113" s="43"/>
      <c r="AF113" s="71"/>
    </row>
    <row r="114" ht="15.75" customHeight="1">
      <c r="A114" s="70"/>
      <c r="B114" s="70"/>
      <c r="C114" s="70"/>
      <c r="D114" s="70"/>
      <c r="E114" s="70"/>
      <c r="F114" s="7"/>
      <c r="G114" s="7"/>
      <c r="H114" s="7"/>
      <c r="I114" s="7"/>
      <c r="J114" s="7"/>
      <c r="K114" s="7"/>
      <c r="L114" s="7"/>
      <c r="M114" s="7"/>
      <c r="N114" s="7"/>
      <c r="O114" s="7"/>
      <c r="P114" s="7"/>
      <c r="Q114" s="7"/>
      <c r="R114" s="7"/>
      <c r="S114" s="43"/>
      <c r="T114" s="43"/>
      <c r="U114" s="43"/>
      <c r="V114" s="43"/>
      <c r="W114" s="43"/>
      <c r="X114" s="43"/>
      <c r="Y114" s="43"/>
      <c r="Z114" s="43"/>
      <c r="AA114" s="43"/>
      <c r="AB114" s="43"/>
      <c r="AC114" s="43"/>
      <c r="AD114" s="43"/>
      <c r="AE114" s="43"/>
      <c r="AF114" s="71"/>
    </row>
    <row r="115" ht="15.75" customHeight="1">
      <c r="A115" s="70"/>
      <c r="B115" s="70"/>
      <c r="C115" s="70"/>
      <c r="D115" s="70"/>
      <c r="E115" s="70"/>
      <c r="F115" s="7"/>
      <c r="G115" s="7"/>
      <c r="H115" s="7"/>
      <c r="I115" s="7"/>
      <c r="J115" s="7"/>
      <c r="K115" s="7"/>
      <c r="L115" s="7"/>
      <c r="M115" s="7"/>
      <c r="N115" s="7"/>
      <c r="O115" s="7"/>
      <c r="P115" s="7"/>
      <c r="Q115" s="7"/>
      <c r="R115" s="7"/>
      <c r="S115" s="43"/>
      <c r="T115" s="43"/>
      <c r="U115" s="43"/>
      <c r="V115" s="43"/>
      <c r="W115" s="43"/>
      <c r="X115" s="43"/>
      <c r="Y115" s="43"/>
      <c r="Z115" s="43"/>
      <c r="AA115" s="43"/>
      <c r="AB115" s="43"/>
      <c r="AC115" s="43"/>
      <c r="AD115" s="43"/>
      <c r="AE115" s="43"/>
      <c r="AF115" s="71"/>
    </row>
    <row r="116" ht="15.75" customHeight="1">
      <c r="A116" s="70"/>
      <c r="B116" s="70"/>
      <c r="C116" s="70"/>
      <c r="D116" s="70"/>
      <c r="E116" s="70"/>
      <c r="F116" s="7"/>
      <c r="G116" s="7"/>
      <c r="H116" s="7"/>
      <c r="I116" s="7"/>
      <c r="J116" s="7"/>
      <c r="K116" s="7"/>
      <c r="L116" s="7"/>
      <c r="M116" s="7"/>
      <c r="N116" s="7"/>
      <c r="O116" s="7"/>
      <c r="P116" s="7"/>
      <c r="Q116" s="7"/>
      <c r="R116" s="7"/>
      <c r="S116" s="43"/>
      <c r="T116" s="43"/>
      <c r="U116" s="43"/>
      <c r="V116" s="43"/>
      <c r="W116" s="43"/>
      <c r="X116" s="43"/>
      <c r="Y116" s="43"/>
      <c r="Z116" s="43"/>
      <c r="AA116" s="43"/>
      <c r="AB116" s="43"/>
      <c r="AC116" s="43"/>
      <c r="AD116" s="43"/>
      <c r="AE116" s="43"/>
      <c r="AF116" s="71"/>
    </row>
    <row r="117" ht="15.75" customHeight="1">
      <c r="A117" s="70"/>
      <c r="B117" s="70"/>
      <c r="C117" s="70"/>
      <c r="D117" s="70"/>
      <c r="E117" s="70"/>
      <c r="F117" s="7"/>
      <c r="G117" s="7"/>
      <c r="H117" s="7"/>
      <c r="I117" s="7"/>
      <c r="J117" s="7"/>
      <c r="K117" s="7"/>
      <c r="L117" s="7"/>
      <c r="M117" s="7"/>
      <c r="N117" s="7"/>
      <c r="O117" s="7"/>
      <c r="P117" s="7"/>
      <c r="Q117" s="7"/>
      <c r="R117" s="7"/>
      <c r="S117" s="43"/>
      <c r="T117" s="43"/>
      <c r="U117" s="43"/>
      <c r="V117" s="43"/>
      <c r="W117" s="43"/>
      <c r="X117" s="43"/>
      <c r="Y117" s="43"/>
      <c r="Z117" s="43"/>
      <c r="AA117" s="43"/>
      <c r="AB117" s="43"/>
      <c r="AC117" s="43"/>
      <c r="AD117" s="43"/>
      <c r="AE117" s="43"/>
      <c r="AF117" s="71"/>
    </row>
    <row r="118" ht="15.75" customHeight="1">
      <c r="A118" s="70"/>
      <c r="B118" s="70"/>
      <c r="C118" s="70"/>
      <c r="D118" s="70"/>
      <c r="E118" s="70"/>
      <c r="F118" s="7"/>
      <c r="G118" s="7"/>
      <c r="H118" s="7"/>
      <c r="I118" s="7"/>
      <c r="J118" s="7"/>
      <c r="K118" s="7"/>
      <c r="L118" s="7"/>
      <c r="M118" s="7"/>
      <c r="N118" s="7"/>
      <c r="O118" s="7"/>
      <c r="P118" s="7"/>
      <c r="Q118" s="7"/>
      <c r="R118" s="7"/>
      <c r="S118" s="43"/>
      <c r="T118" s="43"/>
      <c r="U118" s="43"/>
      <c r="V118" s="43"/>
      <c r="W118" s="43"/>
      <c r="X118" s="43"/>
      <c r="Y118" s="43"/>
      <c r="Z118" s="43"/>
      <c r="AA118" s="43"/>
      <c r="AB118" s="43"/>
      <c r="AC118" s="43"/>
      <c r="AD118" s="43"/>
      <c r="AE118" s="43"/>
      <c r="AF118" s="71"/>
    </row>
    <row r="119" ht="15.75" customHeight="1">
      <c r="A119" s="70"/>
      <c r="B119" s="70"/>
      <c r="C119" s="70"/>
      <c r="D119" s="70"/>
      <c r="E119" s="70"/>
      <c r="F119" s="7"/>
      <c r="G119" s="7"/>
      <c r="H119" s="7"/>
      <c r="I119" s="7"/>
      <c r="J119" s="7"/>
      <c r="K119" s="7"/>
      <c r="L119" s="7"/>
      <c r="M119" s="7"/>
      <c r="N119" s="7"/>
      <c r="O119" s="7"/>
      <c r="P119" s="7"/>
      <c r="Q119" s="7"/>
      <c r="R119" s="7"/>
      <c r="S119" s="43"/>
      <c r="T119" s="43"/>
      <c r="U119" s="43"/>
      <c r="V119" s="43"/>
      <c r="W119" s="43"/>
      <c r="X119" s="43"/>
      <c r="Y119" s="43"/>
      <c r="Z119" s="43"/>
      <c r="AA119" s="43"/>
      <c r="AB119" s="43"/>
      <c r="AC119" s="43"/>
      <c r="AD119" s="43"/>
      <c r="AE119" s="43"/>
      <c r="AF119" s="71"/>
    </row>
    <row r="120" ht="15.75" customHeight="1">
      <c r="A120" s="70"/>
      <c r="B120" s="70"/>
      <c r="C120" s="70"/>
      <c r="D120" s="70"/>
      <c r="E120" s="70"/>
      <c r="F120" s="7"/>
      <c r="G120" s="7"/>
      <c r="H120" s="7"/>
      <c r="I120" s="7"/>
      <c r="J120" s="7"/>
      <c r="K120" s="7"/>
      <c r="L120" s="7"/>
      <c r="M120" s="7"/>
      <c r="N120" s="7"/>
      <c r="O120" s="7"/>
      <c r="P120" s="7"/>
      <c r="Q120" s="7"/>
      <c r="R120" s="7"/>
      <c r="S120" s="43"/>
      <c r="T120" s="43"/>
      <c r="U120" s="43"/>
      <c r="V120" s="43"/>
      <c r="W120" s="43"/>
      <c r="X120" s="43"/>
      <c r="Y120" s="43"/>
      <c r="Z120" s="43"/>
      <c r="AA120" s="43"/>
      <c r="AB120" s="43"/>
      <c r="AC120" s="43"/>
      <c r="AD120" s="43"/>
      <c r="AE120" s="43"/>
      <c r="AF120" s="71"/>
    </row>
    <row r="121" ht="15.75" customHeight="1">
      <c r="A121" s="70"/>
      <c r="B121" s="70"/>
      <c r="C121" s="70"/>
      <c r="D121" s="70"/>
      <c r="E121" s="70"/>
      <c r="F121" s="7"/>
      <c r="G121" s="7"/>
      <c r="H121" s="7"/>
      <c r="I121" s="7"/>
      <c r="J121" s="7"/>
      <c r="K121" s="7"/>
      <c r="L121" s="7"/>
      <c r="M121" s="7"/>
      <c r="N121" s="7"/>
      <c r="O121" s="7"/>
      <c r="P121" s="7"/>
      <c r="Q121" s="7"/>
      <c r="R121" s="7"/>
      <c r="S121" s="43"/>
      <c r="T121" s="43"/>
      <c r="U121" s="43"/>
      <c r="V121" s="43"/>
      <c r="W121" s="43"/>
      <c r="X121" s="43"/>
      <c r="Y121" s="43"/>
      <c r="Z121" s="43"/>
      <c r="AA121" s="43"/>
      <c r="AB121" s="43"/>
      <c r="AC121" s="43"/>
      <c r="AD121" s="43"/>
      <c r="AE121" s="43"/>
      <c r="AF121" s="71"/>
    </row>
    <row r="122" ht="15.75" customHeight="1">
      <c r="A122" s="70"/>
      <c r="B122" s="70"/>
      <c r="C122" s="70"/>
      <c r="D122" s="70"/>
      <c r="E122" s="70"/>
      <c r="F122" s="7"/>
      <c r="G122" s="7"/>
      <c r="H122" s="7"/>
      <c r="I122" s="7"/>
      <c r="J122" s="7"/>
      <c r="K122" s="7"/>
      <c r="L122" s="7"/>
      <c r="M122" s="7"/>
      <c r="N122" s="7"/>
      <c r="O122" s="7"/>
      <c r="P122" s="7"/>
      <c r="Q122" s="7"/>
      <c r="R122" s="7"/>
      <c r="S122" s="43"/>
      <c r="T122" s="43"/>
      <c r="U122" s="43"/>
      <c r="V122" s="43"/>
      <c r="W122" s="43"/>
      <c r="X122" s="43"/>
      <c r="Y122" s="43"/>
      <c r="Z122" s="43"/>
      <c r="AA122" s="43"/>
      <c r="AB122" s="43"/>
      <c r="AC122" s="43"/>
      <c r="AD122" s="43"/>
      <c r="AE122" s="43"/>
      <c r="AF122" s="71"/>
    </row>
    <row r="123" ht="15.75" customHeight="1">
      <c r="A123" s="70"/>
      <c r="B123" s="70"/>
      <c r="C123" s="70"/>
      <c r="D123" s="70"/>
      <c r="E123" s="70"/>
      <c r="F123" s="7"/>
      <c r="G123" s="7"/>
      <c r="H123" s="7"/>
      <c r="I123" s="7"/>
      <c r="J123" s="7"/>
      <c r="K123" s="7"/>
      <c r="L123" s="7"/>
      <c r="M123" s="7"/>
      <c r="N123" s="7"/>
      <c r="O123" s="7"/>
      <c r="P123" s="7"/>
      <c r="Q123" s="7"/>
      <c r="R123" s="7"/>
      <c r="S123" s="43"/>
      <c r="T123" s="43"/>
      <c r="U123" s="43"/>
      <c r="V123" s="43"/>
      <c r="W123" s="43"/>
      <c r="X123" s="43"/>
      <c r="Y123" s="43"/>
      <c r="Z123" s="43"/>
      <c r="AA123" s="43"/>
      <c r="AB123" s="43"/>
      <c r="AC123" s="43"/>
      <c r="AD123" s="43"/>
      <c r="AE123" s="43"/>
      <c r="AF123" s="71"/>
    </row>
    <row r="124" ht="15.75" customHeight="1">
      <c r="A124" s="70"/>
      <c r="B124" s="70"/>
      <c r="C124" s="70"/>
      <c r="D124" s="70"/>
      <c r="E124" s="70"/>
      <c r="F124" s="7"/>
      <c r="G124" s="7"/>
      <c r="H124" s="7"/>
      <c r="I124" s="7"/>
      <c r="J124" s="7"/>
      <c r="K124" s="7"/>
      <c r="L124" s="7"/>
      <c r="M124" s="7"/>
      <c r="N124" s="7"/>
      <c r="O124" s="7"/>
      <c r="P124" s="7"/>
      <c r="Q124" s="7"/>
      <c r="R124" s="7"/>
      <c r="S124" s="43"/>
      <c r="T124" s="43"/>
      <c r="U124" s="43"/>
      <c r="V124" s="43"/>
      <c r="W124" s="43"/>
      <c r="X124" s="43"/>
      <c r="Y124" s="43"/>
      <c r="Z124" s="43"/>
      <c r="AA124" s="43"/>
      <c r="AB124" s="43"/>
      <c r="AC124" s="43"/>
      <c r="AD124" s="43"/>
      <c r="AE124" s="43"/>
      <c r="AF124" s="71"/>
    </row>
    <row r="125" ht="15.75" customHeight="1">
      <c r="A125" s="70"/>
      <c r="B125" s="70"/>
      <c r="C125" s="70"/>
      <c r="D125" s="70"/>
      <c r="E125" s="70"/>
      <c r="F125" s="7"/>
      <c r="G125" s="7"/>
      <c r="H125" s="7"/>
      <c r="I125" s="7"/>
      <c r="J125" s="7"/>
      <c r="K125" s="7"/>
      <c r="L125" s="7"/>
      <c r="M125" s="7"/>
      <c r="N125" s="7"/>
      <c r="O125" s="7"/>
      <c r="P125" s="7"/>
      <c r="Q125" s="7"/>
      <c r="R125" s="7"/>
      <c r="S125" s="43"/>
      <c r="T125" s="43"/>
      <c r="U125" s="43"/>
      <c r="V125" s="43"/>
      <c r="W125" s="43"/>
      <c r="X125" s="43"/>
      <c r="Y125" s="43"/>
      <c r="Z125" s="43"/>
      <c r="AA125" s="43"/>
      <c r="AB125" s="43"/>
      <c r="AC125" s="43"/>
      <c r="AD125" s="43"/>
      <c r="AE125" s="43"/>
      <c r="AF125" s="71"/>
    </row>
    <row r="126" ht="15.75" customHeight="1">
      <c r="A126" s="70"/>
      <c r="B126" s="70"/>
      <c r="C126" s="70"/>
      <c r="D126" s="70"/>
      <c r="E126" s="70"/>
      <c r="F126" s="7"/>
      <c r="G126" s="7"/>
      <c r="H126" s="7"/>
      <c r="I126" s="7"/>
      <c r="J126" s="7"/>
      <c r="K126" s="7"/>
      <c r="L126" s="7"/>
      <c r="M126" s="7"/>
      <c r="N126" s="7"/>
      <c r="O126" s="7"/>
      <c r="P126" s="7"/>
      <c r="Q126" s="7"/>
      <c r="R126" s="7"/>
      <c r="S126" s="43"/>
      <c r="T126" s="43"/>
      <c r="U126" s="43"/>
      <c r="V126" s="43"/>
      <c r="W126" s="43"/>
      <c r="X126" s="43"/>
      <c r="Y126" s="43"/>
      <c r="Z126" s="43"/>
      <c r="AA126" s="43"/>
      <c r="AB126" s="43"/>
      <c r="AC126" s="43"/>
      <c r="AD126" s="43"/>
      <c r="AE126" s="43"/>
      <c r="AF126" s="71"/>
    </row>
    <row r="127" ht="15.75" customHeight="1">
      <c r="A127" s="70"/>
      <c r="B127" s="70"/>
      <c r="C127" s="70"/>
      <c r="D127" s="70"/>
      <c r="E127" s="70"/>
      <c r="F127" s="7"/>
      <c r="G127" s="7"/>
      <c r="H127" s="7"/>
      <c r="I127" s="7"/>
      <c r="J127" s="7"/>
      <c r="K127" s="7"/>
      <c r="L127" s="7"/>
      <c r="M127" s="7"/>
      <c r="N127" s="7"/>
      <c r="O127" s="7"/>
      <c r="P127" s="7"/>
      <c r="Q127" s="7"/>
      <c r="R127" s="7"/>
      <c r="S127" s="43"/>
      <c r="T127" s="43"/>
      <c r="U127" s="43"/>
      <c r="V127" s="43"/>
      <c r="W127" s="43"/>
      <c r="X127" s="43"/>
      <c r="Y127" s="43"/>
      <c r="Z127" s="43"/>
      <c r="AA127" s="43"/>
      <c r="AB127" s="43"/>
      <c r="AC127" s="43"/>
      <c r="AD127" s="43"/>
      <c r="AE127" s="43"/>
      <c r="AF127" s="71"/>
    </row>
    <row r="128" ht="15.75" customHeight="1">
      <c r="A128" s="70"/>
      <c r="B128" s="70"/>
      <c r="C128" s="70"/>
      <c r="D128" s="70"/>
      <c r="E128" s="70"/>
      <c r="F128" s="7"/>
      <c r="G128" s="7"/>
      <c r="H128" s="7"/>
      <c r="I128" s="7"/>
      <c r="J128" s="7"/>
      <c r="K128" s="7"/>
      <c r="L128" s="7"/>
      <c r="M128" s="7"/>
      <c r="N128" s="7"/>
      <c r="O128" s="7"/>
      <c r="P128" s="7"/>
      <c r="Q128" s="7"/>
      <c r="R128" s="7"/>
      <c r="S128" s="43"/>
      <c r="T128" s="43"/>
      <c r="U128" s="43"/>
      <c r="V128" s="43"/>
      <c r="W128" s="43"/>
      <c r="X128" s="43"/>
      <c r="Y128" s="43"/>
      <c r="Z128" s="43"/>
      <c r="AA128" s="43"/>
      <c r="AB128" s="43"/>
      <c r="AC128" s="43"/>
      <c r="AD128" s="43"/>
      <c r="AE128" s="43"/>
      <c r="AF128" s="71"/>
    </row>
    <row r="129" ht="15.75" customHeight="1">
      <c r="A129" s="70"/>
      <c r="B129" s="70"/>
      <c r="C129" s="70"/>
      <c r="D129" s="70"/>
      <c r="E129" s="70"/>
      <c r="F129" s="7"/>
      <c r="G129" s="7"/>
      <c r="H129" s="7"/>
      <c r="I129" s="7"/>
      <c r="J129" s="7"/>
      <c r="K129" s="7"/>
      <c r="L129" s="7"/>
      <c r="M129" s="7"/>
      <c r="N129" s="7"/>
      <c r="O129" s="7"/>
      <c r="P129" s="7"/>
      <c r="Q129" s="7"/>
      <c r="R129" s="7"/>
      <c r="S129" s="43"/>
      <c r="T129" s="43"/>
      <c r="U129" s="43"/>
      <c r="V129" s="43"/>
      <c r="W129" s="43"/>
      <c r="X129" s="43"/>
      <c r="Y129" s="43"/>
      <c r="Z129" s="43"/>
      <c r="AA129" s="43"/>
      <c r="AB129" s="43"/>
      <c r="AC129" s="43"/>
      <c r="AD129" s="43"/>
      <c r="AE129" s="43"/>
      <c r="AF129" s="71"/>
    </row>
    <row r="130" ht="15.75" customHeight="1">
      <c r="A130" s="70"/>
      <c r="B130" s="70"/>
      <c r="C130" s="70"/>
      <c r="D130" s="70"/>
      <c r="E130" s="70"/>
      <c r="F130" s="7"/>
      <c r="G130" s="7"/>
      <c r="H130" s="7"/>
      <c r="I130" s="7"/>
      <c r="J130" s="7"/>
      <c r="K130" s="7"/>
      <c r="L130" s="7"/>
      <c r="M130" s="7"/>
      <c r="N130" s="7"/>
      <c r="O130" s="7"/>
      <c r="P130" s="7"/>
      <c r="Q130" s="7"/>
      <c r="R130" s="7"/>
      <c r="S130" s="43"/>
      <c r="T130" s="43"/>
      <c r="U130" s="43"/>
      <c r="V130" s="43"/>
      <c r="W130" s="43"/>
      <c r="X130" s="43"/>
      <c r="Y130" s="43"/>
      <c r="Z130" s="43"/>
      <c r="AA130" s="43"/>
      <c r="AB130" s="43"/>
      <c r="AC130" s="43"/>
      <c r="AD130" s="43"/>
      <c r="AE130" s="43"/>
      <c r="AF130" s="71"/>
    </row>
    <row r="131" ht="15.75" customHeight="1">
      <c r="A131" s="70"/>
      <c r="B131" s="70"/>
      <c r="C131" s="70"/>
      <c r="D131" s="70"/>
      <c r="E131" s="70"/>
      <c r="F131" s="7"/>
      <c r="G131" s="7"/>
      <c r="H131" s="7"/>
      <c r="I131" s="7"/>
      <c r="J131" s="7"/>
      <c r="K131" s="7"/>
      <c r="L131" s="7"/>
      <c r="M131" s="7"/>
      <c r="N131" s="7"/>
      <c r="O131" s="7"/>
      <c r="P131" s="7"/>
      <c r="Q131" s="7"/>
      <c r="R131" s="7"/>
      <c r="S131" s="43"/>
      <c r="T131" s="43"/>
      <c r="U131" s="43"/>
      <c r="V131" s="43"/>
      <c r="W131" s="43"/>
      <c r="X131" s="43"/>
      <c r="Y131" s="43"/>
      <c r="Z131" s="43"/>
      <c r="AA131" s="43"/>
      <c r="AB131" s="43"/>
      <c r="AC131" s="43"/>
      <c r="AD131" s="43"/>
      <c r="AE131" s="43"/>
      <c r="AF131" s="71"/>
    </row>
    <row r="132" ht="15.75" customHeight="1">
      <c r="A132" s="70"/>
      <c r="B132" s="70"/>
      <c r="C132" s="70"/>
      <c r="D132" s="70"/>
      <c r="E132" s="70"/>
      <c r="F132" s="7"/>
      <c r="G132" s="7"/>
      <c r="H132" s="7"/>
      <c r="I132" s="7"/>
      <c r="J132" s="7"/>
      <c r="K132" s="7"/>
      <c r="L132" s="7"/>
      <c r="M132" s="7"/>
      <c r="N132" s="7"/>
      <c r="O132" s="7"/>
      <c r="P132" s="7"/>
      <c r="Q132" s="7"/>
      <c r="R132" s="7"/>
      <c r="S132" s="43"/>
      <c r="T132" s="43"/>
      <c r="U132" s="43"/>
      <c r="V132" s="43"/>
      <c r="W132" s="43"/>
      <c r="X132" s="43"/>
      <c r="Y132" s="43"/>
      <c r="Z132" s="43"/>
      <c r="AA132" s="43"/>
      <c r="AB132" s="43"/>
      <c r="AC132" s="43"/>
      <c r="AD132" s="43"/>
      <c r="AE132" s="43"/>
      <c r="AF132" s="71"/>
    </row>
    <row r="133" ht="15.75" customHeight="1">
      <c r="A133" s="70"/>
      <c r="B133" s="70"/>
      <c r="C133" s="70"/>
      <c r="D133" s="70"/>
      <c r="E133" s="70"/>
      <c r="F133" s="7"/>
      <c r="G133" s="7"/>
      <c r="H133" s="7"/>
      <c r="I133" s="7"/>
      <c r="J133" s="7"/>
      <c r="K133" s="7"/>
      <c r="L133" s="7"/>
      <c r="M133" s="7"/>
      <c r="N133" s="7"/>
      <c r="O133" s="7"/>
      <c r="P133" s="7"/>
      <c r="Q133" s="7"/>
      <c r="R133" s="7"/>
      <c r="S133" s="43"/>
      <c r="T133" s="43"/>
      <c r="U133" s="43"/>
      <c r="V133" s="43"/>
      <c r="W133" s="43"/>
      <c r="X133" s="43"/>
      <c r="Y133" s="43"/>
      <c r="Z133" s="43"/>
      <c r="AA133" s="43"/>
      <c r="AB133" s="43"/>
      <c r="AC133" s="43"/>
      <c r="AD133" s="43"/>
      <c r="AE133" s="43"/>
      <c r="AF133" s="71"/>
    </row>
    <row r="134" ht="15.75" customHeight="1">
      <c r="A134" s="70"/>
      <c r="B134" s="70"/>
      <c r="C134" s="70"/>
      <c r="D134" s="70"/>
      <c r="E134" s="70"/>
      <c r="F134" s="7"/>
      <c r="G134" s="7"/>
      <c r="H134" s="7"/>
      <c r="I134" s="7"/>
      <c r="J134" s="7"/>
      <c r="K134" s="7"/>
      <c r="L134" s="7"/>
      <c r="M134" s="7"/>
      <c r="N134" s="7"/>
      <c r="O134" s="7"/>
      <c r="P134" s="7"/>
      <c r="Q134" s="7"/>
      <c r="R134" s="7"/>
      <c r="S134" s="43"/>
      <c r="T134" s="43"/>
      <c r="U134" s="43"/>
      <c r="V134" s="43"/>
      <c r="W134" s="43"/>
      <c r="X134" s="43"/>
      <c r="Y134" s="43"/>
      <c r="Z134" s="43"/>
      <c r="AA134" s="43"/>
      <c r="AB134" s="43"/>
      <c r="AC134" s="43"/>
      <c r="AD134" s="43"/>
      <c r="AE134" s="43"/>
      <c r="AF134" s="71"/>
    </row>
    <row r="135" ht="15.75" customHeight="1">
      <c r="A135" s="70"/>
      <c r="B135" s="70"/>
      <c r="C135" s="70"/>
      <c r="D135" s="70"/>
      <c r="E135" s="70"/>
      <c r="F135" s="7"/>
      <c r="G135" s="7"/>
      <c r="H135" s="7"/>
      <c r="I135" s="7"/>
      <c r="J135" s="7"/>
      <c r="K135" s="7"/>
      <c r="L135" s="7"/>
      <c r="M135" s="7"/>
      <c r="N135" s="7"/>
      <c r="O135" s="7"/>
      <c r="P135" s="7"/>
      <c r="Q135" s="7"/>
      <c r="R135" s="7"/>
      <c r="S135" s="43"/>
      <c r="T135" s="43"/>
      <c r="U135" s="43"/>
      <c r="V135" s="43"/>
      <c r="W135" s="43"/>
      <c r="X135" s="43"/>
      <c r="Y135" s="43"/>
      <c r="Z135" s="43"/>
      <c r="AA135" s="43"/>
      <c r="AB135" s="43"/>
      <c r="AC135" s="43"/>
      <c r="AD135" s="43"/>
      <c r="AE135" s="43"/>
      <c r="AF135" s="71"/>
    </row>
    <row r="136" ht="15.75" customHeight="1">
      <c r="A136" s="70"/>
      <c r="B136" s="70"/>
      <c r="C136" s="70"/>
      <c r="D136" s="70"/>
      <c r="E136" s="70"/>
      <c r="F136" s="7"/>
      <c r="G136" s="7"/>
      <c r="H136" s="7"/>
      <c r="I136" s="7"/>
      <c r="J136" s="7"/>
      <c r="K136" s="7"/>
      <c r="L136" s="7"/>
      <c r="M136" s="7"/>
      <c r="N136" s="7"/>
      <c r="O136" s="7"/>
      <c r="P136" s="7"/>
      <c r="Q136" s="7"/>
      <c r="R136" s="7"/>
      <c r="S136" s="43"/>
      <c r="T136" s="43"/>
      <c r="U136" s="43"/>
      <c r="V136" s="43"/>
      <c r="W136" s="43"/>
      <c r="X136" s="43"/>
      <c r="Y136" s="43"/>
      <c r="Z136" s="43"/>
      <c r="AA136" s="43"/>
      <c r="AB136" s="43"/>
      <c r="AC136" s="43"/>
      <c r="AD136" s="43"/>
      <c r="AE136" s="43"/>
      <c r="AF136" s="71"/>
    </row>
    <row r="137" ht="15.75" customHeight="1">
      <c r="A137" s="70"/>
      <c r="B137" s="70"/>
      <c r="C137" s="70"/>
      <c r="D137" s="70"/>
      <c r="E137" s="70"/>
      <c r="F137" s="7"/>
      <c r="G137" s="7"/>
      <c r="H137" s="7"/>
      <c r="I137" s="7"/>
      <c r="J137" s="7"/>
      <c r="K137" s="7"/>
      <c r="L137" s="7"/>
      <c r="M137" s="7"/>
      <c r="N137" s="7"/>
      <c r="O137" s="7"/>
      <c r="P137" s="7"/>
      <c r="Q137" s="7"/>
      <c r="R137" s="7"/>
      <c r="S137" s="43"/>
      <c r="T137" s="43"/>
      <c r="U137" s="43"/>
      <c r="V137" s="43"/>
      <c r="W137" s="43"/>
      <c r="X137" s="43"/>
      <c r="Y137" s="43"/>
      <c r="Z137" s="43"/>
      <c r="AA137" s="43"/>
      <c r="AB137" s="43"/>
      <c r="AC137" s="43"/>
      <c r="AD137" s="43"/>
      <c r="AE137" s="43"/>
      <c r="AF137" s="71"/>
    </row>
    <row r="138" ht="15.75" customHeight="1">
      <c r="A138" s="70"/>
      <c r="B138" s="70"/>
      <c r="C138" s="70"/>
      <c r="D138" s="70"/>
      <c r="E138" s="70"/>
      <c r="F138" s="7"/>
      <c r="G138" s="7"/>
      <c r="H138" s="7"/>
      <c r="I138" s="7"/>
      <c r="J138" s="7"/>
      <c r="K138" s="7"/>
      <c r="L138" s="7"/>
      <c r="M138" s="7"/>
      <c r="N138" s="7"/>
      <c r="O138" s="7"/>
      <c r="P138" s="7"/>
      <c r="Q138" s="7"/>
      <c r="R138" s="7"/>
      <c r="S138" s="43"/>
      <c r="T138" s="43"/>
      <c r="U138" s="43"/>
      <c r="V138" s="43"/>
      <c r="W138" s="43"/>
      <c r="X138" s="43"/>
      <c r="Y138" s="43"/>
      <c r="Z138" s="43"/>
      <c r="AA138" s="43"/>
      <c r="AB138" s="43"/>
      <c r="AC138" s="43"/>
      <c r="AD138" s="43"/>
      <c r="AE138" s="43"/>
      <c r="AF138" s="71"/>
    </row>
    <row r="139" ht="15.75" customHeight="1">
      <c r="A139" s="70"/>
      <c r="B139" s="70"/>
      <c r="C139" s="70"/>
      <c r="D139" s="70"/>
      <c r="E139" s="70"/>
      <c r="F139" s="7"/>
      <c r="G139" s="7"/>
      <c r="H139" s="7"/>
      <c r="I139" s="7"/>
      <c r="J139" s="7"/>
      <c r="K139" s="7"/>
      <c r="L139" s="7"/>
      <c r="M139" s="7"/>
      <c r="N139" s="7"/>
      <c r="O139" s="7"/>
      <c r="P139" s="7"/>
      <c r="Q139" s="7"/>
      <c r="R139" s="7"/>
      <c r="S139" s="43"/>
      <c r="T139" s="43"/>
      <c r="U139" s="43"/>
      <c r="V139" s="43"/>
      <c r="W139" s="43"/>
      <c r="X139" s="43"/>
      <c r="Y139" s="43"/>
      <c r="Z139" s="43"/>
      <c r="AA139" s="43"/>
      <c r="AB139" s="43"/>
      <c r="AC139" s="43"/>
      <c r="AD139" s="43"/>
      <c r="AE139" s="43"/>
      <c r="AF139" s="71"/>
    </row>
    <row r="140" ht="15.75" customHeight="1">
      <c r="A140" s="70"/>
      <c r="B140" s="70"/>
      <c r="C140" s="70"/>
      <c r="D140" s="70"/>
      <c r="E140" s="70"/>
      <c r="F140" s="7"/>
      <c r="G140" s="7"/>
      <c r="H140" s="7"/>
      <c r="I140" s="7"/>
      <c r="J140" s="7"/>
      <c r="K140" s="7"/>
      <c r="L140" s="7"/>
      <c r="M140" s="7"/>
      <c r="N140" s="7"/>
      <c r="O140" s="7"/>
      <c r="P140" s="7"/>
      <c r="Q140" s="7"/>
      <c r="R140" s="7"/>
      <c r="S140" s="43"/>
      <c r="T140" s="43"/>
      <c r="U140" s="43"/>
      <c r="V140" s="43"/>
      <c r="W140" s="43"/>
      <c r="X140" s="43"/>
      <c r="Y140" s="43"/>
      <c r="Z140" s="43"/>
      <c r="AA140" s="43"/>
      <c r="AB140" s="43"/>
      <c r="AC140" s="43"/>
      <c r="AD140" s="43"/>
      <c r="AE140" s="43"/>
      <c r="AF140" s="71"/>
    </row>
    <row r="141" ht="15.75" customHeight="1">
      <c r="A141" s="70"/>
      <c r="B141" s="70"/>
      <c r="C141" s="70"/>
      <c r="D141" s="70"/>
      <c r="E141" s="70"/>
      <c r="F141" s="7"/>
      <c r="G141" s="7"/>
      <c r="H141" s="7"/>
      <c r="I141" s="7"/>
      <c r="J141" s="7"/>
      <c r="K141" s="7"/>
      <c r="L141" s="7"/>
      <c r="M141" s="7"/>
      <c r="N141" s="7"/>
      <c r="O141" s="7"/>
      <c r="P141" s="7"/>
      <c r="Q141" s="7"/>
      <c r="R141" s="7"/>
      <c r="S141" s="43"/>
      <c r="T141" s="43"/>
      <c r="U141" s="43"/>
      <c r="V141" s="43"/>
      <c r="W141" s="43"/>
      <c r="X141" s="43"/>
      <c r="Y141" s="43"/>
      <c r="Z141" s="43"/>
      <c r="AA141" s="43"/>
      <c r="AB141" s="43"/>
      <c r="AC141" s="43"/>
      <c r="AD141" s="43"/>
      <c r="AE141" s="43"/>
      <c r="AF141" s="71"/>
    </row>
    <row r="142" ht="15.75" customHeight="1">
      <c r="A142" s="70"/>
      <c r="B142" s="70"/>
      <c r="C142" s="70"/>
      <c r="D142" s="70"/>
      <c r="E142" s="70"/>
      <c r="F142" s="7"/>
      <c r="G142" s="7"/>
      <c r="H142" s="7"/>
      <c r="I142" s="7"/>
      <c r="J142" s="7"/>
      <c r="K142" s="7"/>
      <c r="L142" s="7"/>
      <c r="M142" s="7"/>
      <c r="N142" s="7"/>
      <c r="O142" s="7"/>
      <c r="P142" s="7"/>
      <c r="Q142" s="7"/>
      <c r="R142" s="7"/>
      <c r="S142" s="43"/>
      <c r="T142" s="43"/>
      <c r="U142" s="43"/>
      <c r="V142" s="43"/>
      <c r="W142" s="43"/>
      <c r="X142" s="43"/>
      <c r="Y142" s="43"/>
      <c r="Z142" s="43"/>
      <c r="AA142" s="43"/>
      <c r="AB142" s="43"/>
      <c r="AC142" s="43"/>
      <c r="AD142" s="43"/>
      <c r="AE142" s="43"/>
      <c r="AF142" s="71"/>
    </row>
    <row r="143" ht="15.75" customHeight="1">
      <c r="A143" s="70"/>
      <c r="B143" s="70"/>
      <c r="C143" s="70"/>
      <c r="D143" s="70"/>
      <c r="E143" s="70"/>
      <c r="F143" s="7"/>
      <c r="G143" s="7"/>
      <c r="H143" s="7"/>
      <c r="I143" s="7"/>
      <c r="J143" s="7"/>
      <c r="K143" s="7"/>
      <c r="L143" s="7"/>
      <c r="M143" s="7"/>
      <c r="N143" s="7"/>
      <c r="O143" s="7"/>
      <c r="P143" s="7"/>
      <c r="Q143" s="7"/>
      <c r="R143" s="7"/>
      <c r="S143" s="43"/>
      <c r="T143" s="43"/>
      <c r="U143" s="43"/>
      <c r="V143" s="43"/>
      <c r="W143" s="43"/>
      <c r="X143" s="43"/>
      <c r="Y143" s="43"/>
      <c r="Z143" s="43"/>
      <c r="AA143" s="43"/>
      <c r="AB143" s="43"/>
      <c r="AC143" s="43"/>
      <c r="AD143" s="43"/>
      <c r="AE143" s="43"/>
      <c r="AF143" s="71"/>
    </row>
    <row r="144" ht="15.75" customHeight="1">
      <c r="A144" s="70"/>
      <c r="B144" s="70"/>
      <c r="C144" s="70"/>
      <c r="D144" s="70"/>
      <c r="E144" s="70"/>
      <c r="F144" s="7"/>
      <c r="G144" s="7"/>
      <c r="H144" s="7"/>
      <c r="I144" s="7"/>
      <c r="J144" s="7"/>
      <c r="K144" s="7"/>
      <c r="L144" s="7"/>
      <c r="M144" s="7"/>
      <c r="N144" s="7"/>
      <c r="O144" s="7"/>
      <c r="P144" s="7"/>
      <c r="Q144" s="7"/>
      <c r="R144" s="7"/>
      <c r="S144" s="43"/>
      <c r="T144" s="43"/>
      <c r="U144" s="43"/>
      <c r="V144" s="43"/>
      <c r="W144" s="43"/>
      <c r="X144" s="43"/>
      <c r="Y144" s="43"/>
      <c r="Z144" s="43"/>
      <c r="AA144" s="43"/>
      <c r="AB144" s="43"/>
      <c r="AC144" s="43"/>
      <c r="AD144" s="43"/>
      <c r="AE144" s="43"/>
      <c r="AF144" s="71"/>
    </row>
    <row r="145" ht="15.75" customHeight="1">
      <c r="A145" s="70"/>
      <c r="B145" s="70"/>
      <c r="C145" s="70"/>
      <c r="D145" s="70"/>
      <c r="E145" s="70"/>
      <c r="F145" s="7"/>
      <c r="G145" s="7"/>
      <c r="H145" s="7"/>
      <c r="I145" s="7"/>
      <c r="J145" s="7"/>
      <c r="K145" s="7"/>
      <c r="L145" s="7"/>
      <c r="M145" s="7"/>
      <c r="N145" s="7"/>
      <c r="O145" s="7"/>
      <c r="P145" s="7"/>
      <c r="Q145" s="7"/>
      <c r="R145" s="7"/>
      <c r="S145" s="43"/>
      <c r="T145" s="43"/>
      <c r="U145" s="43"/>
      <c r="V145" s="43"/>
      <c r="W145" s="43"/>
      <c r="X145" s="43"/>
      <c r="Y145" s="43"/>
      <c r="Z145" s="43"/>
      <c r="AA145" s="43"/>
      <c r="AB145" s="43"/>
      <c r="AC145" s="43"/>
      <c r="AD145" s="43"/>
      <c r="AE145" s="43"/>
      <c r="AF145" s="71"/>
    </row>
    <row r="146" ht="15.75" customHeight="1">
      <c r="A146" s="70"/>
      <c r="B146" s="70"/>
      <c r="C146" s="70"/>
      <c r="D146" s="70"/>
      <c r="E146" s="70"/>
      <c r="F146" s="7"/>
      <c r="G146" s="7"/>
      <c r="H146" s="7"/>
      <c r="I146" s="7"/>
      <c r="J146" s="7"/>
      <c r="K146" s="7"/>
      <c r="L146" s="7"/>
      <c r="M146" s="7"/>
      <c r="N146" s="7"/>
      <c r="O146" s="7"/>
      <c r="P146" s="7"/>
      <c r="Q146" s="7"/>
      <c r="R146" s="7"/>
      <c r="S146" s="43"/>
      <c r="T146" s="43"/>
      <c r="U146" s="43"/>
      <c r="V146" s="43"/>
      <c r="W146" s="43"/>
      <c r="X146" s="43"/>
      <c r="Y146" s="43"/>
      <c r="Z146" s="43"/>
      <c r="AA146" s="43"/>
      <c r="AB146" s="43"/>
      <c r="AC146" s="43"/>
      <c r="AD146" s="43"/>
      <c r="AE146" s="43"/>
      <c r="AF146" s="71"/>
    </row>
    <row r="147" ht="15.75" customHeight="1">
      <c r="A147" s="70"/>
      <c r="B147" s="70"/>
      <c r="C147" s="70"/>
      <c r="D147" s="70"/>
      <c r="E147" s="70"/>
      <c r="F147" s="7"/>
      <c r="G147" s="7"/>
      <c r="H147" s="7"/>
      <c r="I147" s="7"/>
      <c r="J147" s="7"/>
      <c r="K147" s="7"/>
      <c r="L147" s="7"/>
      <c r="M147" s="7"/>
      <c r="N147" s="7"/>
      <c r="O147" s="7"/>
      <c r="P147" s="7"/>
      <c r="Q147" s="7"/>
      <c r="R147" s="7"/>
      <c r="S147" s="43"/>
      <c r="T147" s="43"/>
      <c r="U147" s="43"/>
      <c r="V147" s="43"/>
      <c r="W147" s="43"/>
      <c r="X147" s="43"/>
      <c r="Y147" s="43"/>
      <c r="Z147" s="43"/>
      <c r="AA147" s="43"/>
      <c r="AB147" s="43"/>
      <c r="AC147" s="43"/>
      <c r="AD147" s="43"/>
      <c r="AE147" s="43"/>
      <c r="AF147" s="71"/>
    </row>
    <row r="148" ht="15.75" customHeight="1">
      <c r="A148" s="70"/>
      <c r="B148" s="70"/>
      <c r="C148" s="70"/>
      <c r="D148" s="70"/>
      <c r="E148" s="70"/>
      <c r="F148" s="7"/>
      <c r="G148" s="7"/>
      <c r="H148" s="7"/>
      <c r="I148" s="7"/>
      <c r="J148" s="7"/>
      <c r="K148" s="7"/>
      <c r="L148" s="7"/>
      <c r="M148" s="7"/>
      <c r="N148" s="7"/>
      <c r="O148" s="7"/>
      <c r="P148" s="7"/>
      <c r="Q148" s="7"/>
      <c r="R148" s="7"/>
      <c r="S148" s="43"/>
      <c r="T148" s="43"/>
      <c r="U148" s="43"/>
      <c r="V148" s="43"/>
      <c r="W148" s="43"/>
      <c r="X148" s="43"/>
      <c r="Y148" s="43"/>
      <c r="Z148" s="43"/>
      <c r="AA148" s="43"/>
      <c r="AB148" s="43"/>
      <c r="AC148" s="43"/>
      <c r="AD148" s="43"/>
      <c r="AE148" s="43"/>
      <c r="AF148" s="71"/>
    </row>
    <row r="149" ht="15.75" customHeight="1">
      <c r="A149" s="70"/>
      <c r="B149" s="70"/>
      <c r="C149" s="70"/>
      <c r="D149" s="70"/>
      <c r="E149" s="70"/>
      <c r="F149" s="7"/>
      <c r="G149" s="7"/>
      <c r="H149" s="7"/>
      <c r="I149" s="7"/>
      <c r="J149" s="7"/>
      <c r="K149" s="7"/>
      <c r="L149" s="7"/>
      <c r="M149" s="7"/>
      <c r="N149" s="7"/>
      <c r="O149" s="7"/>
      <c r="P149" s="7"/>
      <c r="Q149" s="7"/>
      <c r="R149" s="7"/>
      <c r="S149" s="43"/>
      <c r="T149" s="43"/>
      <c r="U149" s="43"/>
      <c r="V149" s="43"/>
      <c r="W149" s="43"/>
      <c r="X149" s="43"/>
      <c r="Y149" s="43"/>
      <c r="Z149" s="43"/>
      <c r="AA149" s="43"/>
      <c r="AB149" s="43"/>
      <c r="AC149" s="43"/>
      <c r="AD149" s="43"/>
      <c r="AE149" s="43"/>
      <c r="AF149" s="71"/>
    </row>
    <row r="150" ht="15.75" customHeight="1">
      <c r="A150" s="70"/>
      <c r="B150" s="70"/>
      <c r="C150" s="70"/>
      <c r="D150" s="70"/>
      <c r="E150" s="70"/>
      <c r="F150" s="7"/>
      <c r="G150" s="7"/>
      <c r="H150" s="7"/>
      <c r="I150" s="7"/>
      <c r="J150" s="7"/>
      <c r="K150" s="7"/>
      <c r="L150" s="7"/>
      <c r="M150" s="7"/>
      <c r="N150" s="7"/>
      <c r="O150" s="7"/>
      <c r="P150" s="7"/>
      <c r="Q150" s="7"/>
      <c r="R150" s="7"/>
      <c r="S150" s="43"/>
      <c r="T150" s="43"/>
      <c r="U150" s="43"/>
      <c r="V150" s="43"/>
      <c r="W150" s="43"/>
      <c r="X150" s="43"/>
      <c r="Y150" s="43"/>
      <c r="Z150" s="43"/>
      <c r="AA150" s="43"/>
      <c r="AB150" s="43"/>
      <c r="AC150" s="43"/>
      <c r="AD150" s="43"/>
      <c r="AE150" s="43"/>
      <c r="AF150" s="71"/>
    </row>
    <row r="151" ht="15.75" customHeight="1">
      <c r="A151" s="70"/>
      <c r="B151" s="70"/>
      <c r="C151" s="70"/>
      <c r="D151" s="70"/>
      <c r="E151" s="70"/>
      <c r="F151" s="7"/>
      <c r="G151" s="7"/>
      <c r="H151" s="7"/>
      <c r="I151" s="7"/>
      <c r="J151" s="7"/>
      <c r="K151" s="7"/>
      <c r="L151" s="7"/>
      <c r="M151" s="7"/>
      <c r="N151" s="7"/>
      <c r="O151" s="7"/>
      <c r="P151" s="7"/>
      <c r="Q151" s="7"/>
      <c r="R151" s="7"/>
      <c r="S151" s="43"/>
      <c r="T151" s="43"/>
      <c r="U151" s="43"/>
      <c r="V151" s="43"/>
      <c r="W151" s="43"/>
      <c r="X151" s="43"/>
      <c r="Y151" s="43"/>
      <c r="Z151" s="43"/>
      <c r="AA151" s="43"/>
      <c r="AB151" s="43"/>
      <c r="AC151" s="43"/>
      <c r="AD151" s="43"/>
      <c r="AE151" s="43"/>
      <c r="AF151" s="71"/>
    </row>
    <row r="152" ht="15.75" customHeight="1">
      <c r="A152" s="70"/>
      <c r="B152" s="70"/>
      <c r="C152" s="70"/>
      <c r="D152" s="70"/>
      <c r="E152" s="70"/>
      <c r="F152" s="7"/>
      <c r="G152" s="7"/>
      <c r="H152" s="7"/>
      <c r="I152" s="7"/>
      <c r="J152" s="7"/>
      <c r="K152" s="7"/>
      <c r="L152" s="7"/>
      <c r="M152" s="7"/>
      <c r="N152" s="7"/>
      <c r="O152" s="7"/>
      <c r="P152" s="7"/>
      <c r="Q152" s="7"/>
      <c r="R152" s="7"/>
      <c r="S152" s="43"/>
      <c r="T152" s="43"/>
      <c r="U152" s="43"/>
      <c r="V152" s="43"/>
      <c r="W152" s="43"/>
      <c r="X152" s="43"/>
      <c r="Y152" s="43"/>
      <c r="Z152" s="43"/>
      <c r="AA152" s="43"/>
      <c r="AB152" s="43"/>
      <c r="AC152" s="43"/>
      <c r="AD152" s="43"/>
      <c r="AE152" s="43"/>
      <c r="AF152" s="71"/>
    </row>
    <row r="153" ht="15.75" customHeight="1">
      <c r="A153" s="70"/>
      <c r="B153" s="70"/>
      <c r="C153" s="70"/>
      <c r="D153" s="70"/>
      <c r="E153" s="70"/>
      <c r="F153" s="7"/>
      <c r="G153" s="7"/>
      <c r="H153" s="7"/>
      <c r="I153" s="7"/>
      <c r="J153" s="7"/>
      <c r="K153" s="7"/>
      <c r="L153" s="7"/>
      <c r="M153" s="7"/>
      <c r="N153" s="7"/>
      <c r="O153" s="7"/>
      <c r="P153" s="7"/>
      <c r="Q153" s="7"/>
      <c r="R153" s="7"/>
      <c r="S153" s="43"/>
      <c r="T153" s="43"/>
      <c r="U153" s="43"/>
      <c r="V153" s="43"/>
      <c r="W153" s="43"/>
      <c r="X153" s="43"/>
      <c r="Y153" s="43"/>
      <c r="Z153" s="43"/>
      <c r="AA153" s="43"/>
      <c r="AB153" s="43"/>
      <c r="AC153" s="43"/>
      <c r="AD153" s="43"/>
      <c r="AE153" s="43"/>
      <c r="AF153" s="71"/>
    </row>
    <row r="154" ht="15.75" customHeight="1">
      <c r="A154" s="70"/>
      <c r="B154" s="70"/>
      <c r="C154" s="70"/>
      <c r="D154" s="70"/>
      <c r="E154" s="70"/>
      <c r="F154" s="7"/>
      <c r="G154" s="7"/>
      <c r="H154" s="7"/>
      <c r="I154" s="7"/>
      <c r="J154" s="7"/>
      <c r="K154" s="7"/>
      <c r="L154" s="7"/>
      <c r="M154" s="7"/>
      <c r="N154" s="7"/>
      <c r="O154" s="7"/>
      <c r="P154" s="7"/>
      <c r="Q154" s="7"/>
      <c r="R154" s="7"/>
      <c r="S154" s="43"/>
      <c r="T154" s="43"/>
      <c r="U154" s="43"/>
      <c r="V154" s="43"/>
      <c r="W154" s="43"/>
      <c r="X154" s="43"/>
      <c r="Y154" s="43"/>
      <c r="Z154" s="43"/>
      <c r="AA154" s="43"/>
      <c r="AB154" s="43"/>
      <c r="AC154" s="43"/>
      <c r="AD154" s="43"/>
      <c r="AE154" s="43"/>
      <c r="AF154" s="71"/>
    </row>
    <row r="155" ht="15.75" customHeight="1">
      <c r="A155" s="70"/>
      <c r="B155" s="70"/>
      <c r="C155" s="70"/>
      <c r="D155" s="70"/>
      <c r="E155" s="70"/>
      <c r="F155" s="7"/>
      <c r="G155" s="7"/>
      <c r="H155" s="7"/>
      <c r="I155" s="7"/>
      <c r="J155" s="7"/>
      <c r="K155" s="7"/>
      <c r="L155" s="7"/>
      <c r="M155" s="7"/>
      <c r="N155" s="7"/>
      <c r="O155" s="7"/>
      <c r="P155" s="7"/>
      <c r="Q155" s="7"/>
      <c r="R155" s="7"/>
      <c r="S155" s="43"/>
      <c r="T155" s="43"/>
      <c r="U155" s="43"/>
      <c r="V155" s="43"/>
      <c r="W155" s="43"/>
      <c r="X155" s="43"/>
      <c r="Y155" s="43"/>
      <c r="Z155" s="43"/>
      <c r="AA155" s="43"/>
      <c r="AB155" s="43"/>
      <c r="AC155" s="43"/>
      <c r="AD155" s="43"/>
      <c r="AE155" s="43"/>
      <c r="AF155" s="71"/>
    </row>
    <row r="156" ht="15.75" customHeight="1">
      <c r="A156" s="70"/>
      <c r="B156" s="70"/>
      <c r="C156" s="70"/>
      <c r="D156" s="70"/>
      <c r="E156" s="70"/>
      <c r="F156" s="7"/>
      <c r="G156" s="7"/>
      <c r="H156" s="7"/>
      <c r="I156" s="7"/>
      <c r="J156" s="7"/>
      <c r="K156" s="7"/>
      <c r="L156" s="7"/>
      <c r="M156" s="7"/>
      <c r="N156" s="7"/>
      <c r="O156" s="7"/>
      <c r="P156" s="7"/>
      <c r="Q156" s="7"/>
      <c r="R156" s="7"/>
      <c r="S156" s="43"/>
      <c r="T156" s="43"/>
      <c r="U156" s="43"/>
      <c r="V156" s="43"/>
      <c r="W156" s="43"/>
      <c r="X156" s="43"/>
      <c r="Y156" s="43"/>
      <c r="Z156" s="43"/>
      <c r="AA156" s="43"/>
      <c r="AB156" s="43"/>
      <c r="AC156" s="43"/>
      <c r="AD156" s="43"/>
      <c r="AE156" s="43"/>
      <c r="AF156" s="71"/>
    </row>
    <row r="157" ht="15.75" customHeight="1">
      <c r="A157" s="70"/>
      <c r="B157" s="70"/>
      <c r="C157" s="70"/>
      <c r="D157" s="70"/>
      <c r="E157" s="70"/>
      <c r="F157" s="7"/>
      <c r="G157" s="7"/>
      <c r="H157" s="7"/>
      <c r="I157" s="7"/>
      <c r="J157" s="7"/>
      <c r="K157" s="7"/>
      <c r="L157" s="7"/>
      <c r="M157" s="7"/>
      <c r="N157" s="7"/>
      <c r="O157" s="7"/>
      <c r="P157" s="7"/>
      <c r="Q157" s="7"/>
      <c r="R157" s="7"/>
      <c r="S157" s="43"/>
      <c r="T157" s="43"/>
      <c r="U157" s="43"/>
      <c r="V157" s="43"/>
      <c r="W157" s="43"/>
      <c r="X157" s="43"/>
      <c r="Y157" s="43"/>
      <c r="Z157" s="43"/>
      <c r="AA157" s="43"/>
      <c r="AB157" s="43"/>
      <c r="AC157" s="43"/>
      <c r="AD157" s="43"/>
      <c r="AE157" s="43"/>
      <c r="AF157" s="71"/>
    </row>
    <row r="158" ht="15.75" customHeight="1">
      <c r="A158" s="70"/>
      <c r="B158" s="70"/>
      <c r="C158" s="70"/>
      <c r="D158" s="70"/>
      <c r="E158" s="70"/>
      <c r="F158" s="7"/>
      <c r="G158" s="7"/>
      <c r="H158" s="7"/>
      <c r="I158" s="7"/>
      <c r="J158" s="7"/>
      <c r="K158" s="7"/>
      <c r="L158" s="7"/>
      <c r="M158" s="7"/>
      <c r="N158" s="7"/>
      <c r="O158" s="7"/>
      <c r="P158" s="7"/>
      <c r="Q158" s="7"/>
      <c r="R158" s="7"/>
      <c r="S158" s="43"/>
      <c r="T158" s="43"/>
      <c r="U158" s="43"/>
      <c r="V158" s="43"/>
      <c r="W158" s="43"/>
      <c r="X158" s="43"/>
      <c r="Y158" s="43"/>
      <c r="Z158" s="43"/>
      <c r="AA158" s="43"/>
      <c r="AB158" s="43"/>
      <c r="AC158" s="43"/>
      <c r="AD158" s="43"/>
      <c r="AE158" s="43"/>
      <c r="AF158" s="71"/>
    </row>
    <row r="159" ht="15.75" customHeight="1">
      <c r="A159" s="70"/>
      <c r="B159" s="70"/>
      <c r="C159" s="70"/>
      <c r="D159" s="70"/>
      <c r="E159" s="70"/>
      <c r="F159" s="7"/>
      <c r="G159" s="7"/>
      <c r="H159" s="7"/>
      <c r="I159" s="7"/>
      <c r="J159" s="7"/>
      <c r="K159" s="7"/>
      <c r="L159" s="7"/>
      <c r="M159" s="7"/>
      <c r="N159" s="7"/>
      <c r="O159" s="7"/>
      <c r="P159" s="7"/>
      <c r="Q159" s="7"/>
      <c r="R159" s="7"/>
      <c r="S159" s="43"/>
      <c r="T159" s="43"/>
      <c r="U159" s="43"/>
      <c r="V159" s="43"/>
      <c r="W159" s="43"/>
      <c r="X159" s="43"/>
      <c r="Y159" s="43"/>
      <c r="Z159" s="43"/>
      <c r="AA159" s="43"/>
      <c r="AB159" s="43"/>
      <c r="AC159" s="43"/>
      <c r="AD159" s="43"/>
      <c r="AE159" s="43"/>
      <c r="AF159" s="71"/>
    </row>
    <row r="160" ht="15.75" customHeight="1">
      <c r="A160" s="70"/>
      <c r="B160" s="70"/>
      <c r="C160" s="70"/>
      <c r="D160" s="70"/>
      <c r="E160" s="70"/>
      <c r="F160" s="7"/>
      <c r="G160" s="7"/>
      <c r="H160" s="7"/>
      <c r="I160" s="7"/>
      <c r="J160" s="7"/>
      <c r="K160" s="7"/>
      <c r="L160" s="7"/>
      <c r="M160" s="7"/>
      <c r="N160" s="7"/>
      <c r="O160" s="7"/>
      <c r="P160" s="7"/>
      <c r="Q160" s="7"/>
      <c r="R160" s="7"/>
      <c r="S160" s="43"/>
      <c r="T160" s="43"/>
      <c r="U160" s="43"/>
      <c r="V160" s="43"/>
      <c r="W160" s="43"/>
      <c r="X160" s="43"/>
      <c r="Y160" s="43"/>
      <c r="Z160" s="43"/>
      <c r="AA160" s="43"/>
      <c r="AB160" s="43"/>
      <c r="AC160" s="43"/>
      <c r="AD160" s="43"/>
      <c r="AE160" s="43"/>
      <c r="AF160" s="71"/>
    </row>
    <row r="161" ht="15.75" customHeight="1">
      <c r="A161" s="70"/>
      <c r="B161" s="70"/>
      <c r="C161" s="70"/>
      <c r="D161" s="70"/>
      <c r="E161" s="70"/>
      <c r="F161" s="7"/>
      <c r="G161" s="7"/>
      <c r="H161" s="7"/>
      <c r="I161" s="7"/>
      <c r="J161" s="7"/>
      <c r="K161" s="7"/>
      <c r="L161" s="7"/>
      <c r="M161" s="7"/>
      <c r="N161" s="7"/>
      <c r="O161" s="7"/>
      <c r="P161" s="7"/>
      <c r="Q161" s="7"/>
      <c r="R161" s="7"/>
      <c r="S161" s="43"/>
      <c r="T161" s="43"/>
      <c r="U161" s="43"/>
      <c r="V161" s="43"/>
      <c r="W161" s="43"/>
      <c r="X161" s="43"/>
      <c r="Y161" s="43"/>
      <c r="Z161" s="43"/>
      <c r="AA161" s="43"/>
      <c r="AB161" s="43"/>
      <c r="AC161" s="43"/>
      <c r="AD161" s="43"/>
      <c r="AE161" s="43"/>
      <c r="AF161" s="71"/>
    </row>
    <row r="162" ht="15.75" customHeight="1">
      <c r="A162" s="70"/>
      <c r="B162" s="70"/>
      <c r="C162" s="70"/>
      <c r="D162" s="70"/>
      <c r="E162" s="70"/>
      <c r="F162" s="7"/>
      <c r="G162" s="7"/>
      <c r="H162" s="7"/>
      <c r="I162" s="7"/>
      <c r="J162" s="7"/>
      <c r="K162" s="7"/>
      <c r="L162" s="7"/>
      <c r="M162" s="7"/>
      <c r="N162" s="7"/>
      <c r="O162" s="7"/>
      <c r="P162" s="7"/>
      <c r="Q162" s="7"/>
      <c r="R162" s="7"/>
      <c r="S162" s="43"/>
      <c r="T162" s="43"/>
      <c r="U162" s="43"/>
      <c r="V162" s="43"/>
      <c r="W162" s="43"/>
      <c r="X162" s="43"/>
      <c r="Y162" s="43"/>
      <c r="Z162" s="43"/>
      <c r="AA162" s="43"/>
      <c r="AB162" s="43"/>
      <c r="AC162" s="43"/>
      <c r="AD162" s="43"/>
      <c r="AE162" s="43"/>
      <c r="AF162" s="71"/>
    </row>
    <row r="163" ht="15.75" customHeight="1">
      <c r="A163" s="70"/>
      <c r="B163" s="70"/>
      <c r="C163" s="70"/>
      <c r="D163" s="70"/>
      <c r="E163" s="70"/>
      <c r="F163" s="7"/>
      <c r="G163" s="7"/>
      <c r="H163" s="7"/>
      <c r="I163" s="7"/>
      <c r="J163" s="7"/>
      <c r="K163" s="7"/>
      <c r="L163" s="7"/>
      <c r="M163" s="7"/>
      <c r="N163" s="7"/>
      <c r="O163" s="7"/>
      <c r="P163" s="7"/>
      <c r="Q163" s="7"/>
      <c r="R163" s="7"/>
      <c r="S163" s="43"/>
      <c r="T163" s="43"/>
      <c r="U163" s="43"/>
      <c r="V163" s="43"/>
      <c r="W163" s="43"/>
      <c r="X163" s="43"/>
      <c r="Y163" s="43"/>
      <c r="Z163" s="43"/>
      <c r="AA163" s="43"/>
      <c r="AB163" s="43"/>
      <c r="AC163" s="43"/>
      <c r="AD163" s="43"/>
      <c r="AE163" s="43"/>
      <c r="AF163" s="71"/>
    </row>
    <row r="164" ht="15.75" customHeight="1">
      <c r="A164" s="70"/>
      <c r="B164" s="70"/>
      <c r="C164" s="70"/>
      <c r="D164" s="70"/>
      <c r="E164" s="70"/>
      <c r="F164" s="7"/>
      <c r="G164" s="7"/>
      <c r="H164" s="7"/>
      <c r="I164" s="7"/>
      <c r="J164" s="7"/>
      <c r="K164" s="7"/>
      <c r="L164" s="7"/>
      <c r="M164" s="7"/>
      <c r="N164" s="7"/>
      <c r="O164" s="7"/>
      <c r="P164" s="7"/>
      <c r="Q164" s="7"/>
      <c r="R164" s="7"/>
      <c r="S164" s="43"/>
      <c r="T164" s="43"/>
      <c r="U164" s="43"/>
      <c r="V164" s="43"/>
      <c r="W164" s="43"/>
      <c r="X164" s="43"/>
      <c r="Y164" s="43"/>
      <c r="Z164" s="43"/>
      <c r="AA164" s="43"/>
      <c r="AB164" s="43"/>
      <c r="AC164" s="43"/>
      <c r="AD164" s="43"/>
      <c r="AE164" s="43"/>
      <c r="AF164" s="71"/>
    </row>
    <row r="165" ht="15.75" customHeight="1">
      <c r="A165" s="70"/>
      <c r="B165" s="70"/>
      <c r="C165" s="70"/>
      <c r="D165" s="70"/>
      <c r="E165" s="70"/>
      <c r="F165" s="7"/>
      <c r="G165" s="7"/>
      <c r="H165" s="7"/>
      <c r="I165" s="7"/>
      <c r="J165" s="7"/>
      <c r="K165" s="7"/>
      <c r="L165" s="7"/>
      <c r="M165" s="7"/>
      <c r="N165" s="7"/>
      <c r="O165" s="7"/>
      <c r="P165" s="7"/>
      <c r="Q165" s="7"/>
      <c r="R165" s="7"/>
      <c r="S165" s="43"/>
      <c r="T165" s="43"/>
      <c r="U165" s="43"/>
      <c r="V165" s="43"/>
      <c r="W165" s="43"/>
      <c r="X165" s="43"/>
      <c r="Y165" s="43"/>
      <c r="Z165" s="43"/>
      <c r="AA165" s="43"/>
      <c r="AB165" s="43"/>
      <c r="AC165" s="43"/>
      <c r="AD165" s="43"/>
      <c r="AE165" s="43"/>
      <c r="AF165" s="71"/>
    </row>
    <row r="166" ht="15.75" customHeight="1">
      <c r="A166" s="70"/>
      <c r="B166" s="70"/>
      <c r="C166" s="70"/>
      <c r="D166" s="70"/>
      <c r="E166" s="70"/>
      <c r="F166" s="7"/>
      <c r="G166" s="7"/>
      <c r="H166" s="7"/>
      <c r="I166" s="7"/>
      <c r="J166" s="7"/>
      <c r="K166" s="7"/>
      <c r="L166" s="7"/>
      <c r="M166" s="7"/>
      <c r="N166" s="7"/>
      <c r="O166" s="7"/>
      <c r="P166" s="7"/>
      <c r="Q166" s="7"/>
      <c r="R166" s="7"/>
      <c r="S166" s="43"/>
      <c r="T166" s="43"/>
      <c r="U166" s="43"/>
      <c r="V166" s="43"/>
      <c r="W166" s="43"/>
      <c r="X166" s="43"/>
      <c r="Y166" s="43"/>
      <c r="Z166" s="43"/>
      <c r="AA166" s="43"/>
      <c r="AB166" s="43"/>
      <c r="AC166" s="43"/>
      <c r="AD166" s="43"/>
      <c r="AE166" s="43"/>
      <c r="AF166" s="71"/>
    </row>
    <row r="167" ht="15.75" customHeight="1">
      <c r="A167" s="70"/>
      <c r="B167" s="70"/>
      <c r="C167" s="70"/>
      <c r="D167" s="70"/>
      <c r="E167" s="70"/>
      <c r="F167" s="7"/>
      <c r="G167" s="7"/>
      <c r="H167" s="7"/>
      <c r="I167" s="7"/>
      <c r="J167" s="7"/>
      <c r="K167" s="7"/>
      <c r="L167" s="7"/>
      <c r="M167" s="7"/>
      <c r="N167" s="7"/>
      <c r="O167" s="7"/>
      <c r="P167" s="7"/>
      <c r="Q167" s="7"/>
      <c r="R167" s="7"/>
      <c r="S167" s="43"/>
      <c r="T167" s="43"/>
      <c r="U167" s="43"/>
      <c r="V167" s="43"/>
      <c r="W167" s="43"/>
      <c r="X167" s="43"/>
      <c r="Y167" s="43"/>
      <c r="Z167" s="43"/>
      <c r="AA167" s="43"/>
      <c r="AB167" s="43"/>
      <c r="AC167" s="43"/>
      <c r="AD167" s="43"/>
      <c r="AE167" s="43"/>
      <c r="AF167" s="71"/>
    </row>
    <row r="168" ht="15.75" customHeight="1">
      <c r="A168" s="70"/>
      <c r="B168" s="70"/>
      <c r="C168" s="70"/>
      <c r="D168" s="70"/>
      <c r="E168" s="70"/>
      <c r="F168" s="7"/>
      <c r="G168" s="7"/>
      <c r="H168" s="7"/>
      <c r="I168" s="7"/>
      <c r="J168" s="7"/>
      <c r="K168" s="7"/>
      <c r="L168" s="7"/>
      <c r="M168" s="7"/>
      <c r="N168" s="7"/>
      <c r="O168" s="7"/>
      <c r="P168" s="7"/>
      <c r="Q168" s="7"/>
      <c r="R168" s="7"/>
      <c r="S168" s="43"/>
      <c r="T168" s="43"/>
      <c r="U168" s="43"/>
      <c r="V168" s="43"/>
      <c r="W168" s="43"/>
      <c r="X168" s="43"/>
      <c r="Y168" s="43"/>
      <c r="Z168" s="43"/>
      <c r="AA168" s="43"/>
      <c r="AB168" s="43"/>
      <c r="AC168" s="43"/>
      <c r="AD168" s="43"/>
      <c r="AE168" s="43"/>
      <c r="AF168" s="71"/>
    </row>
    <row r="169" ht="15.75" customHeight="1">
      <c r="A169" s="70"/>
      <c r="B169" s="70"/>
      <c r="C169" s="70"/>
      <c r="D169" s="70"/>
      <c r="E169" s="70"/>
      <c r="F169" s="7"/>
      <c r="G169" s="7"/>
      <c r="H169" s="7"/>
      <c r="I169" s="7"/>
      <c r="J169" s="7"/>
      <c r="K169" s="7"/>
      <c r="L169" s="7"/>
      <c r="M169" s="7"/>
      <c r="N169" s="7"/>
      <c r="O169" s="7"/>
      <c r="P169" s="7"/>
      <c r="Q169" s="7"/>
      <c r="R169" s="7"/>
      <c r="S169" s="43"/>
      <c r="T169" s="43"/>
      <c r="U169" s="43"/>
      <c r="V169" s="43"/>
      <c r="W169" s="43"/>
      <c r="X169" s="43"/>
      <c r="Y169" s="43"/>
      <c r="Z169" s="43"/>
      <c r="AA169" s="43"/>
      <c r="AB169" s="43"/>
      <c r="AC169" s="43"/>
      <c r="AD169" s="43"/>
      <c r="AE169" s="43"/>
      <c r="AF169" s="71"/>
    </row>
    <row r="170" ht="15.75" customHeight="1">
      <c r="A170" s="70"/>
      <c r="B170" s="70"/>
      <c r="C170" s="70"/>
      <c r="D170" s="70"/>
      <c r="E170" s="70"/>
      <c r="F170" s="7"/>
      <c r="G170" s="7"/>
      <c r="H170" s="7"/>
      <c r="I170" s="7"/>
      <c r="J170" s="7"/>
      <c r="K170" s="7"/>
      <c r="L170" s="7"/>
      <c r="M170" s="7"/>
      <c r="N170" s="7"/>
      <c r="O170" s="7"/>
      <c r="P170" s="7"/>
      <c r="Q170" s="7"/>
      <c r="R170" s="7"/>
      <c r="S170" s="43"/>
      <c r="T170" s="43"/>
      <c r="U170" s="43"/>
      <c r="V170" s="43"/>
      <c r="W170" s="43"/>
      <c r="X170" s="43"/>
      <c r="Y170" s="43"/>
      <c r="Z170" s="43"/>
      <c r="AA170" s="43"/>
      <c r="AB170" s="43"/>
      <c r="AC170" s="43"/>
      <c r="AD170" s="43"/>
      <c r="AE170" s="43"/>
      <c r="AF170" s="71"/>
    </row>
    <row r="171" ht="15.75" customHeight="1">
      <c r="A171" s="70"/>
      <c r="B171" s="70"/>
      <c r="C171" s="70"/>
      <c r="D171" s="70"/>
      <c r="E171" s="70"/>
      <c r="F171" s="7"/>
      <c r="G171" s="7"/>
      <c r="H171" s="7"/>
      <c r="I171" s="7"/>
      <c r="J171" s="7"/>
      <c r="K171" s="7"/>
      <c r="L171" s="7"/>
      <c r="M171" s="7"/>
      <c r="N171" s="7"/>
      <c r="O171" s="7"/>
      <c r="P171" s="7"/>
      <c r="Q171" s="7"/>
      <c r="R171" s="7"/>
      <c r="S171" s="43"/>
      <c r="T171" s="43"/>
      <c r="U171" s="43"/>
      <c r="V171" s="43"/>
      <c r="W171" s="43"/>
      <c r="X171" s="43"/>
      <c r="Y171" s="43"/>
      <c r="Z171" s="43"/>
      <c r="AA171" s="43"/>
      <c r="AB171" s="43"/>
      <c r="AC171" s="43"/>
      <c r="AD171" s="43"/>
      <c r="AE171" s="43"/>
      <c r="AF171" s="71"/>
    </row>
    <row r="172" ht="15.75" customHeight="1">
      <c r="A172" s="70"/>
      <c r="B172" s="70"/>
      <c r="C172" s="70"/>
      <c r="D172" s="70"/>
      <c r="E172" s="70"/>
      <c r="F172" s="7"/>
      <c r="G172" s="7"/>
      <c r="H172" s="7"/>
      <c r="I172" s="7"/>
      <c r="J172" s="7"/>
      <c r="K172" s="7"/>
      <c r="L172" s="7"/>
      <c r="M172" s="7"/>
      <c r="N172" s="7"/>
      <c r="O172" s="7"/>
      <c r="P172" s="7"/>
      <c r="Q172" s="7"/>
      <c r="R172" s="7"/>
      <c r="S172" s="43"/>
      <c r="T172" s="43"/>
      <c r="U172" s="43"/>
      <c r="V172" s="43"/>
      <c r="W172" s="43"/>
      <c r="X172" s="43"/>
      <c r="Y172" s="43"/>
      <c r="Z172" s="43"/>
      <c r="AA172" s="43"/>
      <c r="AB172" s="43"/>
      <c r="AC172" s="43"/>
      <c r="AD172" s="43"/>
      <c r="AE172" s="43"/>
      <c r="AF172" s="71"/>
    </row>
    <row r="173" ht="15.75" customHeight="1">
      <c r="A173" s="70"/>
      <c r="B173" s="70"/>
      <c r="C173" s="70"/>
      <c r="D173" s="70"/>
      <c r="E173" s="70"/>
      <c r="F173" s="7"/>
      <c r="G173" s="7"/>
      <c r="H173" s="7"/>
      <c r="I173" s="7"/>
      <c r="J173" s="7"/>
      <c r="K173" s="7"/>
      <c r="L173" s="7"/>
      <c r="M173" s="7"/>
      <c r="N173" s="7"/>
      <c r="O173" s="7"/>
      <c r="P173" s="7"/>
      <c r="Q173" s="7"/>
      <c r="R173" s="7"/>
      <c r="S173" s="43"/>
      <c r="T173" s="43"/>
      <c r="U173" s="43"/>
      <c r="V173" s="43"/>
      <c r="W173" s="43"/>
      <c r="X173" s="43"/>
      <c r="Y173" s="43"/>
      <c r="Z173" s="43"/>
      <c r="AA173" s="43"/>
      <c r="AB173" s="43"/>
      <c r="AC173" s="43"/>
      <c r="AD173" s="43"/>
      <c r="AE173" s="43"/>
      <c r="AF173" s="71"/>
    </row>
    <row r="174" ht="15.75" customHeight="1">
      <c r="A174" s="70"/>
      <c r="B174" s="70"/>
      <c r="C174" s="70"/>
      <c r="D174" s="70"/>
      <c r="E174" s="70"/>
      <c r="F174" s="7"/>
      <c r="G174" s="7"/>
      <c r="H174" s="7"/>
      <c r="I174" s="7"/>
      <c r="J174" s="7"/>
      <c r="K174" s="7"/>
      <c r="L174" s="7"/>
      <c r="M174" s="7"/>
      <c r="N174" s="7"/>
      <c r="O174" s="7"/>
      <c r="P174" s="7"/>
      <c r="Q174" s="7"/>
      <c r="R174" s="7"/>
      <c r="S174" s="43"/>
      <c r="T174" s="43"/>
      <c r="U174" s="43"/>
      <c r="V174" s="43"/>
      <c r="W174" s="43"/>
      <c r="X174" s="43"/>
      <c r="Y174" s="43"/>
      <c r="Z174" s="43"/>
      <c r="AA174" s="43"/>
      <c r="AB174" s="43"/>
      <c r="AC174" s="43"/>
      <c r="AD174" s="43"/>
      <c r="AE174" s="43"/>
      <c r="AF174" s="71"/>
    </row>
    <row r="175" ht="15.75" customHeight="1">
      <c r="A175" s="70"/>
      <c r="B175" s="70"/>
      <c r="C175" s="70"/>
      <c r="D175" s="70"/>
      <c r="E175" s="70"/>
      <c r="F175" s="7"/>
      <c r="G175" s="7"/>
      <c r="H175" s="7"/>
      <c r="I175" s="7"/>
      <c r="J175" s="7"/>
      <c r="K175" s="7"/>
      <c r="L175" s="7"/>
      <c r="M175" s="7"/>
      <c r="N175" s="7"/>
      <c r="O175" s="7"/>
      <c r="P175" s="7"/>
      <c r="Q175" s="7"/>
      <c r="R175" s="7"/>
      <c r="S175" s="43"/>
      <c r="T175" s="43"/>
      <c r="U175" s="43"/>
      <c r="V175" s="43"/>
      <c r="W175" s="43"/>
      <c r="X175" s="43"/>
      <c r="Y175" s="43"/>
      <c r="Z175" s="43"/>
      <c r="AA175" s="43"/>
      <c r="AB175" s="43"/>
      <c r="AC175" s="43"/>
      <c r="AD175" s="43"/>
      <c r="AE175" s="43"/>
      <c r="AF175" s="71"/>
    </row>
    <row r="176" ht="15.75" customHeight="1">
      <c r="A176" s="70"/>
      <c r="B176" s="70"/>
      <c r="C176" s="70"/>
      <c r="D176" s="70"/>
      <c r="E176" s="70"/>
      <c r="F176" s="7"/>
      <c r="G176" s="7"/>
      <c r="H176" s="7"/>
      <c r="I176" s="7"/>
      <c r="J176" s="7"/>
      <c r="K176" s="7"/>
      <c r="L176" s="7"/>
      <c r="M176" s="7"/>
      <c r="N176" s="7"/>
      <c r="O176" s="7"/>
      <c r="P176" s="7"/>
      <c r="Q176" s="7"/>
      <c r="R176" s="7"/>
      <c r="S176" s="43"/>
      <c r="T176" s="43"/>
      <c r="U176" s="43"/>
      <c r="V176" s="43"/>
      <c r="W176" s="43"/>
      <c r="X176" s="43"/>
      <c r="Y176" s="43"/>
      <c r="Z176" s="43"/>
      <c r="AA176" s="43"/>
      <c r="AB176" s="43"/>
      <c r="AC176" s="43"/>
      <c r="AD176" s="43"/>
      <c r="AE176" s="43"/>
      <c r="AF176" s="71"/>
    </row>
    <row r="177" ht="15.75" customHeight="1">
      <c r="A177" s="70"/>
      <c r="B177" s="70"/>
      <c r="C177" s="70"/>
      <c r="D177" s="70"/>
      <c r="E177" s="70"/>
      <c r="F177" s="7"/>
      <c r="G177" s="7"/>
      <c r="H177" s="7"/>
      <c r="I177" s="7"/>
      <c r="J177" s="7"/>
      <c r="K177" s="7"/>
      <c r="L177" s="7"/>
      <c r="M177" s="7"/>
      <c r="N177" s="7"/>
      <c r="O177" s="7"/>
      <c r="P177" s="7"/>
      <c r="Q177" s="7"/>
      <c r="R177" s="7"/>
      <c r="S177" s="43"/>
      <c r="T177" s="43"/>
      <c r="U177" s="43"/>
      <c r="V177" s="43"/>
      <c r="W177" s="43"/>
      <c r="X177" s="43"/>
      <c r="Y177" s="43"/>
      <c r="Z177" s="43"/>
      <c r="AA177" s="43"/>
      <c r="AB177" s="43"/>
      <c r="AC177" s="43"/>
      <c r="AD177" s="43"/>
      <c r="AE177" s="43"/>
      <c r="AF177" s="71"/>
    </row>
    <row r="178" ht="15.75" customHeight="1">
      <c r="A178" s="70"/>
      <c r="B178" s="70"/>
      <c r="C178" s="70"/>
      <c r="D178" s="70"/>
      <c r="E178" s="70"/>
      <c r="F178" s="7"/>
      <c r="G178" s="7"/>
      <c r="H178" s="7"/>
      <c r="I178" s="7"/>
      <c r="J178" s="7"/>
      <c r="K178" s="7"/>
      <c r="L178" s="7"/>
      <c r="M178" s="7"/>
      <c r="N178" s="7"/>
      <c r="O178" s="7"/>
      <c r="P178" s="7"/>
      <c r="Q178" s="7"/>
      <c r="R178" s="7"/>
      <c r="S178" s="43"/>
      <c r="T178" s="43"/>
      <c r="U178" s="43"/>
      <c r="V178" s="43"/>
      <c r="W178" s="43"/>
      <c r="X178" s="43"/>
      <c r="Y178" s="43"/>
      <c r="Z178" s="43"/>
      <c r="AA178" s="43"/>
      <c r="AB178" s="43"/>
      <c r="AC178" s="43"/>
      <c r="AD178" s="43"/>
      <c r="AE178" s="43"/>
      <c r="AF178" s="71"/>
    </row>
    <row r="179" ht="15.75" customHeight="1">
      <c r="A179" s="70"/>
      <c r="B179" s="70"/>
      <c r="C179" s="70"/>
      <c r="D179" s="70"/>
      <c r="E179" s="70"/>
      <c r="F179" s="7"/>
      <c r="G179" s="7"/>
      <c r="H179" s="7"/>
      <c r="I179" s="7"/>
      <c r="J179" s="7"/>
      <c r="K179" s="7"/>
      <c r="L179" s="7"/>
      <c r="M179" s="7"/>
      <c r="N179" s="7"/>
      <c r="O179" s="7"/>
      <c r="P179" s="7"/>
      <c r="Q179" s="7"/>
      <c r="R179" s="7"/>
      <c r="S179" s="43"/>
      <c r="T179" s="43"/>
      <c r="U179" s="43"/>
      <c r="V179" s="43"/>
      <c r="W179" s="43"/>
      <c r="X179" s="43"/>
      <c r="Y179" s="43"/>
      <c r="Z179" s="43"/>
      <c r="AA179" s="43"/>
      <c r="AB179" s="43"/>
      <c r="AC179" s="43"/>
      <c r="AD179" s="43"/>
      <c r="AE179" s="43"/>
      <c r="AF179" s="71"/>
    </row>
    <row r="180" ht="15.75" customHeight="1">
      <c r="A180" s="70"/>
      <c r="B180" s="70"/>
      <c r="C180" s="70"/>
      <c r="D180" s="70"/>
      <c r="E180" s="70"/>
      <c r="F180" s="7"/>
      <c r="G180" s="7"/>
      <c r="H180" s="7"/>
      <c r="I180" s="7"/>
      <c r="J180" s="7"/>
      <c r="K180" s="7"/>
      <c r="L180" s="7"/>
      <c r="M180" s="7"/>
      <c r="N180" s="7"/>
      <c r="O180" s="7"/>
      <c r="P180" s="7"/>
      <c r="Q180" s="7"/>
      <c r="R180" s="7"/>
      <c r="S180" s="43"/>
      <c r="T180" s="43"/>
      <c r="U180" s="43"/>
      <c r="V180" s="43"/>
      <c r="W180" s="43"/>
      <c r="X180" s="43"/>
      <c r="Y180" s="43"/>
      <c r="Z180" s="43"/>
      <c r="AA180" s="43"/>
      <c r="AB180" s="43"/>
      <c r="AC180" s="43"/>
      <c r="AD180" s="43"/>
      <c r="AE180" s="43"/>
      <c r="AF180" s="71"/>
    </row>
    <row r="181" ht="15.75" customHeight="1">
      <c r="A181" s="70"/>
      <c r="B181" s="70"/>
      <c r="C181" s="70"/>
      <c r="D181" s="70"/>
      <c r="E181" s="70"/>
      <c r="F181" s="7"/>
      <c r="G181" s="7"/>
      <c r="H181" s="7"/>
      <c r="I181" s="7"/>
      <c r="J181" s="7"/>
      <c r="K181" s="7"/>
      <c r="L181" s="7"/>
      <c r="M181" s="7"/>
      <c r="N181" s="7"/>
      <c r="O181" s="7"/>
      <c r="P181" s="7"/>
      <c r="Q181" s="7"/>
      <c r="R181" s="7"/>
      <c r="S181" s="43"/>
      <c r="T181" s="43"/>
      <c r="U181" s="43"/>
      <c r="V181" s="43"/>
      <c r="W181" s="43"/>
      <c r="X181" s="43"/>
      <c r="Y181" s="43"/>
      <c r="Z181" s="43"/>
      <c r="AA181" s="43"/>
      <c r="AB181" s="43"/>
      <c r="AC181" s="43"/>
      <c r="AD181" s="43"/>
      <c r="AE181" s="43"/>
      <c r="AF181" s="71"/>
    </row>
    <row r="182" ht="15.75" customHeight="1">
      <c r="A182" s="70"/>
      <c r="B182" s="70"/>
      <c r="C182" s="70"/>
      <c r="D182" s="70"/>
      <c r="E182" s="70"/>
      <c r="F182" s="7"/>
      <c r="G182" s="7"/>
      <c r="H182" s="7"/>
      <c r="I182" s="7"/>
      <c r="J182" s="7"/>
      <c r="K182" s="7"/>
      <c r="L182" s="7"/>
      <c r="M182" s="7"/>
      <c r="N182" s="7"/>
      <c r="O182" s="7"/>
      <c r="P182" s="7"/>
      <c r="Q182" s="7"/>
      <c r="R182" s="7"/>
      <c r="S182" s="43"/>
      <c r="T182" s="43"/>
      <c r="U182" s="43"/>
      <c r="V182" s="43"/>
      <c r="W182" s="43"/>
      <c r="X182" s="43"/>
      <c r="Y182" s="43"/>
      <c r="Z182" s="43"/>
      <c r="AA182" s="43"/>
      <c r="AB182" s="43"/>
      <c r="AC182" s="43"/>
      <c r="AD182" s="43"/>
      <c r="AE182" s="43"/>
      <c r="AF182" s="71"/>
    </row>
    <row r="183" ht="15.75" customHeight="1">
      <c r="A183" s="70"/>
      <c r="B183" s="70"/>
      <c r="C183" s="70"/>
      <c r="D183" s="70"/>
      <c r="E183" s="70"/>
      <c r="F183" s="7"/>
      <c r="G183" s="7"/>
      <c r="H183" s="7"/>
      <c r="I183" s="7"/>
      <c r="J183" s="7"/>
      <c r="K183" s="7"/>
      <c r="L183" s="7"/>
      <c r="M183" s="7"/>
      <c r="N183" s="7"/>
      <c r="O183" s="7"/>
      <c r="P183" s="7"/>
      <c r="Q183" s="7"/>
      <c r="R183" s="7"/>
      <c r="S183" s="43"/>
      <c r="T183" s="43"/>
      <c r="U183" s="43"/>
      <c r="V183" s="43"/>
      <c r="W183" s="43"/>
      <c r="X183" s="43"/>
      <c r="Y183" s="43"/>
      <c r="Z183" s="43"/>
      <c r="AA183" s="43"/>
      <c r="AB183" s="43"/>
      <c r="AC183" s="43"/>
      <c r="AD183" s="43"/>
      <c r="AE183" s="43"/>
      <c r="AF183" s="71"/>
    </row>
    <row r="184" ht="15.75" customHeight="1">
      <c r="A184" s="70"/>
      <c r="B184" s="70"/>
      <c r="C184" s="70"/>
      <c r="D184" s="70"/>
      <c r="E184" s="70"/>
      <c r="F184" s="7"/>
      <c r="G184" s="7"/>
      <c r="H184" s="7"/>
      <c r="I184" s="7"/>
      <c r="J184" s="7"/>
      <c r="K184" s="7"/>
      <c r="L184" s="7"/>
      <c r="M184" s="7"/>
      <c r="N184" s="7"/>
      <c r="O184" s="7"/>
      <c r="P184" s="7"/>
      <c r="Q184" s="7"/>
      <c r="R184" s="7"/>
      <c r="S184" s="43"/>
      <c r="T184" s="43"/>
      <c r="U184" s="43"/>
      <c r="V184" s="43"/>
      <c r="W184" s="43"/>
      <c r="X184" s="43"/>
      <c r="Y184" s="43"/>
      <c r="Z184" s="43"/>
      <c r="AA184" s="43"/>
      <c r="AB184" s="43"/>
      <c r="AC184" s="43"/>
      <c r="AD184" s="43"/>
      <c r="AE184" s="43"/>
      <c r="AF184" s="71"/>
    </row>
    <row r="185" ht="15.75" customHeight="1">
      <c r="A185" s="70"/>
      <c r="B185" s="70"/>
      <c r="C185" s="70"/>
      <c r="D185" s="70"/>
      <c r="E185" s="70"/>
      <c r="F185" s="7"/>
      <c r="G185" s="7"/>
      <c r="H185" s="7"/>
      <c r="I185" s="7"/>
      <c r="J185" s="7"/>
      <c r="K185" s="7"/>
      <c r="L185" s="7"/>
      <c r="M185" s="7"/>
      <c r="N185" s="7"/>
      <c r="O185" s="7"/>
      <c r="P185" s="7"/>
      <c r="Q185" s="7"/>
      <c r="R185" s="7"/>
      <c r="S185" s="43"/>
      <c r="T185" s="43"/>
      <c r="U185" s="43"/>
      <c r="V185" s="43"/>
      <c r="W185" s="43"/>
      <c r="X185" s="43"/>
      <c r="Y185" s="43"/>
      <c r="Z185" s="43"/>
      <c r="AA185" s="43"/>
      <c r="AB185" s="43"/>
      <c r="AC185" s="43"/>
      <c r="AD185" s="43"/>
      <c r="AE185" s="43"/>
      <c r="AF185" s="71"/>
    </row>
    <row r="186" ht="15.75" customHeight="1">
      <c r="A186" s="70"/>
      <c r="B186" s="70"/>
      <c r="C186" s="70"/>
      <c r="D186" s="70"/>
      <c r="E186" s="70"/>
      <c r="F186" s="7"/>
      <c r="G186" s="7"/>
      <c r="H186" s="7"/>
      <c r="I186" s="7"/>
      <c r="J186" s="7"/>
      <c r="K186" s="7"/>
      <c r="L186" s="7"/>
      <c r="M186" s="7"/>
      <c r="N186" s="7"/>
      <c r="O186" s="7"/>
      <c r="P186" s="7"/>
      <c r="Q186" s="7"/>
      <c r="R186" s="7"/>
      <c r="S186" s="43"/>
      <c r="T186" s="43"/>
      <c r="U186" s="43"/>
      <c r="V186" s="43"/>
      <c r="W186" s="43"/>
      <c r="X186" s="43"/>
      <c r="Y186" s="43"/>
      <c r="Z186" s="43"/>
      <c r="AA186" s="43"/>
      <c r="AB186" s="43"/>
      <c r="AC186" s="43"/>
      <c r="AD186" s="43"/>
      <c r="AE186" s="43"/>
      <c r="AF186" s="71"/>
    </row>
    <row r="187" ht="15.75" customHeight="1">
      <c r="A187" s="70"/>
      <c r="B187" s="70"/>
      <c r="C187" s="70"/>
      <c r="D187" s="70"/>
      <c r="E187" s="70"/>
      <c r="F187" s="7"/>
      <c r="G187" s="7"/>
      <c r="H187" s="7"/>
      <c r="I187" s="7"/>
      <c r="J187" s="7"/>
      <c r="K187" s="7"/>
      <c r="L187" s="7"/>
      <c r="M187" s="7"/>
      <c r="N187" s="7"/>
      <c r="O187" s="7"/>
      <c r="P187" s="7"/>
      <c r="Q187" s="7"/>
      <c r="R187" s="7"/>
      <c r="S187" s="43"/>
      <c r="T187" s="43"/>
      <c r="U187" s="43"/>
      <c r="V187" s="43"/>
      <c r="W187" s="43"/>
      <c r="X187" s="43"/>
      <c r="Y187" s="43"/>
      <c r="Z187" s="43"/>
      <c r="AA187" s="43"/>
      <c r="AB187" s="43"/>
      <c r="AC187" s="43"/>
      <c r="AD187" s="43"/>
      <c r="AE187" s="43"/>
      <c r="AF187" s="71"/>
    </row>
    <row r="188" ht="15.75" customHeight="1">
      <c r="A188" s="70"/>
      <c r="B188" s="70"/>
      <c r="C188" s="70"/>
      <c r="D188" s="70"/>
      <c r="E188" s="70"/>
      <c r="F188" s="7"/>
      <c r="G188" s="7"/>
      <c r="H188" s="7"/>
      <c r="I188" s="7"/>
      <c r="J188" s="7"/>
      <c r="K188" s="7"/>
      <c r="L188" s="7"/>
      <c r="M188" s="7"/>
      <c r="N188" s="7"/>
      <c r="O188" s="7"/>
      <c r="P188" s="7"/>
      <c r="Q188" s="7"/>
      <c r="R188" s="7"/>
      <c r="S188" s="43"/>
      <c r="T188" s="43"/>
      <c r="U188" s="43"/>
      <c r="V188" s="43"/>
      <c r="W188" s="43"/>
      <c r="X188" s="43"/>
      <c r="Y188" s="43"/>
      <c r="Z188" s="43"/>
      <c r="AA188" s="43"/>
      <c r="AB188" s="43"/>
      <c r="AC188" s="43"/>
      <c r="AD188" s="43"/>
      <c r="AE188" s="43"/>
      <c r="AF188" s="71"/>
    </row>
    <row r="189" ht="15.75" customHeight="1">
      <c r="A189" s="70"/>
      <c r="B189" s="70"/>
      <c r="C189" s="70"/>
      <c r="D189" s="70"/>
      <c r="E189" s="70"/>
      <c r="F189" s="7"/>
      <c r="G189" s="7"/>
      <c r="H189" s="7"/>
      <c r="I189" s="7"/>
      <c r="J189" s="7"/>
      <c r="K189" s="7"/>
      <c r="L189" s="7"/>
      <c r="M189" s="7"/>
      <c r="N189" s="7"/>
      <c r="O189" s="7"/>
      <c r="P189" s="7"/>
      <c r="Q189" s="7"/>
      <c r="R189" s="7"/>
      <c r="S189" s="43"/>
      <c r="T189" s="43"/>
      <c r="U189" s="43"/>
      <c r="V189" s="43"/>
      <c r="W189" s="43"/>
      <c r="X189" s="43"/>
      <c r="Y189" s="43"/>
      <c r="Z189" s="43"/>
      <c r="AA189" s="43"/>
      <c r="AB189" s="43"/>
      <c r="AC189" s="43"/>
      <c r="AD189" s="43"/>
      <c r="AE189" s="43"/>
      <c r="AF189" s="71"/>
    </row>
    <row r="190" ht="15.75" customHeight="1">
      <c r="A190" s="70"/>
      <c r="B190" s="70"/>
      <c r="C190" s="70"/>
      <c r="D190" s="70"/>
      <c r="E190" s="70"/>
      <c r="F190" s="7"/>
      <c r="G190" s="7"/>
      <c r="H190" s="7"/>
      <c r="I190" s="7"/>
      <c r="J190" s="7"/>
      <c r="K190" s="7"/>
      <c r="L190" s="7"/>
      <c r="M190" s="7"/>
      <c r="N190" s="7"/>
      <c r="O190" s="7"/>
      <c r="P190" s="7"/>
      <c r="Q190" s="7"/>
      <c r="R190" s="7"/>
      <c r="S190" s="43"/>
      <c r="T190" s="43"/>
      <c r="U190" s="43"/>
      <c r="V190" s="43"/>
      <c r="W190" s="43"/>
      <c r="X190" s="43"/>
      <c r="Y190" s="43"/>
      <c r="Z190" s="43"/>
      <c r="AA190" s="43"/>
      <c r="AB190" s="43"/>
      <c r="AC190" s="43"/>
      <c r="AD190" s="43"/>
      <c r="AE190" s="43"/>
      <c r="AF190" s="71"/>
    </row>
    <row r="191" ht="15.75" customHeight="1">
      <c r="A191" s="70"/>
      <c r="B191" s="70"/>
      <c r="C191" s="70"/>
      <c r="D191" s="70"/>
      <c r="E191" s="70"/>
      <c r="F191" s="7"/>
      <c r="G191" s="7"/>
      <c r="H191" s="7"/>
      <c r="I191" s="7"/>
      <c r="J191" s="7"/>
      <c r="K191" s="7"/>
      <c r="L191" s="7"/>
      <c r="M191" s="7"/>
      <c r="N191" s="7"/>
      <c r="O191" s="7"/>
      <c r="P191" s="7"/>
      <c r="Q191" s="7"/>
      <c r="R191" s="7"/>
      <c r="S191" s="43"/>
      <c r="T191" s="43"/>
      <c r="U191" s="43"/>
      <c r="V191" s="43"/>
      <c r="W191" s="43"/>
      <c r="X191" s="43"/>
      <c r="Y191" s="43"/>
      <c r="Z191" s="43"/>
      <c r="AA191" s="43"/>
      <c r="AB191" s="43"/>
      <c r="AC191" s="43"/>
      <c r="AD191" s="43"/>
      <c r="AE191" s="43"/>
      <c r="AF191" s="71"/>
    </row>
    <row r="192" ht="15.75" customHeight="1">
      <c r="A192" s="70"/>
      <c r="B192" s="70"/>
      <c r="C192" s="70"/>
      <c r="D192" s="70"/>
      <c r="E192" s="70"/>
      <c r="F192" s="7"/>
      <c r="G192" s="7"/>
      <c r="H192" s="7"/>
      <c r="I192" s="7"/>
      <c r="J192" s="7"/>
      <c r="K192" s="7"/>
      <c r="L192" s="7"/>
      <c r="M192" s="7"/>
      <c r="N192" s="7"/>
      <c r="O192" s="7"/>
      <c r="P192" s="7"/>
      <c r="Q192" s="7"/>
      <c r="R192" s="7"/>
      <c r="S192" s="43"/>
      <c r="T192" s="43"/>
      <c r="U192" s="43"/>
      <c r="V192" s="43"/>
      <c r="W192" s="43"/>
      <c r="X192" s="43"/>
      <c r="Y192" s="43"/>
      <c r="Z192" s="43"/>
      <c r="AA192" s="43"/>
      <c r="AB192" s="43"/>
      <c r="AC192" s="43"/>
      <c r="AD192" s="43"/>
      <c r="AE192" s="43"/>
      <c r="AF192" s="71"/>
    </row>
    <row r="193" ht="15.75" customHeight="1">
      <c r="A193" s="70"/>
      <c r="B193" s="70"/>
      <c r="C193" s="70"/>
      <c r="D193" s="70"/>
      <c r="E193" s="70"/>
      <c r="F193" s="7"/>
      <c r="G193" s="7"/>
      <c r="H193" s="7"/>
      <c r="I193" s="7"/>
      <c r="J193" s="7"/>
      <c r="K193" s="7"/>
      <c r="L193" s="7"/>
      <c r="M193" s="7"/>
      <c r="N193" s="7"/>
      <c r="O193" s="7"/>
      <c r="P193" s="7"/>
      <c r="Q193" s="7"/>
      <c r="R193" s="7"/>
      <c r="S193" s="43"/>
      <c r="T193" s="43"/>
      <c r="U193" s="43"/>
      <c r="V193" s="43"/>
      <c r="W193" s="43"/>
      <c r="X193" s="43"/>
      <c r="Y193" s="43"/>
      <c r="Z193" s="43"/>
      <c r="AA193" s="43"/>
      <c r="AB193" s="43"/>
      <c r="AC193" s="43"/>
      <c r="AD193" s="43"/>
      <c r="AE193" s="43"/>
      <c r="AF193" s="71"/>
    </row>
    <row r="194" ht="15.75" customHeight="1">
      <c r="A194" s="70"/>
      <c r="B194" s="70"/>
      <c r="C194" s="70"/>
      <c r="D194" s="70"/>
      <c r="E194" s="70"/>
      <c r="F194" s="7"/>
      <c r="G194" s="7"/>
      <c r="H194" s="7"/>
      <c r="I194" s="7"/>
      <c r="J194" s="7"/>
      <c r="K194" s="7"/>
      <c r="L194" s="7"/>
      <c r="M194" s="7"/>
      <c r="N194" s="7"/>
      <c r="O194" s="7"/>
      <c r="P194" s="7"/>
      <c r="Q194" s="7"/>
      <c r="R194" s="7"/>
      <c r="S194" s="43"/>
      <c r="T194" s="43"/>
      <c r="U194" s="43"/>
      <c r="V194" s="43"/>
      <c r="W194" s="43"/>
      <c r="X194" s="43"/>
      <c r="Y194" s="43"/>
      <c r="Z194" s="43"/>
      <c r="AA194" s="43"/>
      <c r="AB194" s="43"/>
      <c r="AC194" s="43"/>
      <c r="AD194" s="43"/>
      <c r="AE194" s="43"/>
      <c r="AF194" s="71"/>
    </row>
    <row r="195" ht="15.75" customHeight="1">
      <c r="A195" s="70"/>
      <c r="B195" s="70"/>
      <c r="C195" s="70"/>
      <c r="D195" s="70"/>
      <c r="E195" s="70"/>
      <c r="F195" s="7"/>
      <c r="G195" s="7"/>
      <c r="H195" s="7"/>
      <c r="I195" s="7"/>
      <c r="J195" s="7"/>
      <c r="K195" s="7"/>
      <c r="L195" s="7"/>
      <c r="M195" s="7"/>
      <c r="N195" s="7"/>
      <c r="O195" s="7"/>
      <c r="P195" s="7"/>
      <c r="Q195" s="7"/>
      <c r="R195" s="7"/>
      <c r="S195" s="43"/>
      <c r="T195" s="43"/>
      <c r="U195" s="43"/>
      <c r="V195" s="43"/>
      <c r="W195" s="43"/>
      <c r="X195" s="43"/>
      <c r="Y195" s="43"/>
      <c r="Z195" s="43"/>
      <c r="AA195" s="43"/>
      <c r="AB195" s="43"/>
      <c r="AC195" s="43"/>
      <c r="AD195" s="43"/>
      <c r="AE195" s="43"/>
      <c r="AF195" s="71"/>
    </row>
    <row r="196" ht="15.75" customHeight="1">
      <c r="A196" s="70"/>
      <c r="B196" s="70"/>
      <c r="C196" s="70"/>
      <c r="D196" s="70"/>
      <c r="E196" s="70"/>
      <c r="F196" s="7"/>
      <c r="G196" s="7"/>
      <c r="H196" s="7"/>
      <c r="I196" s="7"/>
      <c r="J196" s="7"/>
      <c r="K196" s="7"/>
      <c r="L196" s="7"/>
      <c r="M196" s="7"/>
      <c r="N196" s="7"/>
      <c r="O196" s="7"/>
      <c r="P196" s="7"/>
      <c r="Q196" s="7"/>
      <c r="R196" s="7"/>
      <c r="S196" s="43"/>
      <c r="T196" s="43"/>
      <c r="U196" s="43"/>
      <c r="V196" s="43"/>
      <c r="W196" s="43"/>
      <c r="X196" s="43"/>
      <c r="Y196" s="43"/>
      <c r="Z196" s="43"/>
      <c r="AA196" s="43"/>
      <c r="AB196" s="43"/>
      <c r="AC196" s="43"/>
      <c r="AD196" s="43"/>
      <c r="AE196" s="43"/>
      <c r="AF196" s="71"/>
    </row>
    <row r="197" ht="15.75" customHeight="1">
      <c r="A197" s="70"/>
      <c r="B197" s="70"/>
      <c r="C197" s="70"/>
      <c r="D197" s="70"/>
      <c r="E197" s="70"/>
      <c r="F197" s="7"/>
      <c r="G197" s="7"/>
      <c r="H197" s="7"/>
      <c r="I197" s="7"/>
      <c r="J197" s="7"/>
      <c r="K197" s="7"/>
      <c r="L197" s="7"/>
      <c r="M197" s="7"/>
      <c r="N197" s="7"/>
      <c r="O197" s="7"/>
      <c r="P197" s="7"/>
      <c r="Q197" s="7"/>
      <c r="R197" s="7"/>
      <c r="S197" s="43"/>
      <c r="T197" s="43"/>
      <c r="U197" s="43"/>
      <c r="V197" s="43"/>
      <c r="W197" s="43"/>
      <c r="X197" s="43"/>
      <c r="Y197" s="43"/>
      <c r="Z197" s="43"/>
      <c r="AA197" s="43"/>
      <c r="AB197" s="43"/>
      <c r="AC197" s="43"/>
      <c r="AD197" s="43"/>
      <c r="AE197" s="43"/>
      <c r="AF197" s="71"/>
    </row>
    <row r="198" ht="15.75" customHeight="1">
      <c r="A198" s="70"/>
      <c r="B198" s="70"/>
      <c r="C198" s="70"/>
      <c r="D198" s="70"/>
      <c r="E198" s="70"/>
      <c r="F198" s="7"/>
      <c r="G198" s="7"/>
      <c r="H198" s="7"/>
      <c r="I198" s="7"/>
      <c r="J198" s="7"/>
      <c r="K198" s="7"/>
      <c r="L198" s="7"/>
      <c r="M198" s="7"/>
      <c r="N198" s="7"/>
      <c r="O198" s="7"/>
      <c r="P198" s="7"/>
      <c r="Q198" s="7"/>
      <c r="R198" s="7"/>
      <c r="S198" s="43"/>
      <c r="T198" s="43"/>
      <c r="U198" s="43"/>
      <c r="V198" s="43"/>
      <c r="W198" s="43"/>
      <c r="X198" s="43"/>
      <c r="Y198" s="43"/>
      <c r="Z198" s="43"/>
      <c r="AA198" s="43"/>
      <c r="AB198" s="43"/>
      <c r="AC198" s="43"/>
      <c r="AD198" s="43"/>
      <c r="AE198" s="43"/>
      <c r="AF198" s="71"/>
    </row>
    <row r="199" ht="15.75" customHeight="1">
      <c r="A199" s="70"/>
      <c r="B199" s="70"/>
      <c r="C199" s="70"/>
      <c r="D199" s="70"/>
      <c r="E199" s="70"/>
      <c r="F199" s="7"/>
      <c r="G199" s="7"/>
      <c r="H199" s="7"/>
      <c r="I199" s="7"/>
      <c r="J199" s="7"/>
      <c r="K199" s="7"/>
      <c r="L199" s="7"/>
      <c r="M199" s="7"/>
      <c r="N199" s="7"/>
      <c r="O199" s="7"/>
      <c r="P199" s="7"/>
      <c r="Q199" s="7"/>
      <c r="R199" s="7"/>
      <c r="S199" s="43"/>
      <c r="T199" s="43"/>
      <c r="U199" s="43"/>
      <c r="V199" s="43"/>
      <c r="W199" s="43"/>
      <c r="X199" s="43"/>
      <c r="Y199" s="43"/>
      <c r="Z199" s="43"/>
      <c r="AA199" s="43"/>
      <c r="AB199" s="43"/>
      <c r="AC199" s="43"/>
      <c r="AD199" s="43"/>
      <c r="AE199" s="43"/>
      <c r="AF199" s="71"/>
    </row>
    <row r="200" ht="15.75" customHeight="1">
      <c r="A200" s="70"/>
      <c r="B200" s="70"/>
      <c r="C200" s="70"/>
      <c r="D200" s="70"/>
      <c r="E200" s="70"/>
      <c r="F200" s="7"/>
      <c r="G200" s="7"/>
      <c r="H200" s="7"/>
      <c r="I200" s="7"/>
      <c r="J200" s="7"/>
      <c r="K200" s="7"/>
      <c r="L200" s="7"/>
      <c r="M200" s="7"/>
      <c r="N200" s="7"/>
      <c r="O200" s="7"/>
      <c r="P200" s="7"/>
      <c r="Q200" s="7"/>
      <c r="R200" s="7"/>
      <c r="S200" s="43"/>
      <c r="T200" s="43"/>
      <c r="U200" s="43"/>
      <c r="V200" s="43"/>
      <c r="W200" s="43"/>
      <c r="X200" s="43"/>
      <c r="Y200" s="43"/>
      <c r="Z200" s="43"/>
      <c r="AA200" s="43"/>
      <c r="AB200" s="43"/>
      <c r="AC200" s="43"/>
      <c r="AD200" s="43"/>
      <c r="AE200" s="43"/>
      <c r="AF200" s="71"/>
    </row>
    <row r="201" ht="15.75" customHeight="1">
      <c r="A201" s="70"/>
      <c r="B201" s="70"/>
      <c r="C201" s="70"/>
      <c r="D201" s="70"/>
      <c r="E201" s="70"/>
      <c r="F201" s="7"/>
      <c r="G201" s="7"/>
      <c r="H201" s="7"/>
      <c r="I201" s="7"/>
      <c r="J201" s="7"/>
      <c r="K201" s="7"/>
      <c r="L201" s="7"/>
      <c r="M201" s="7"/>
      <c r="N201" s="7"/>
      <c r="O201" s="7"/>
      <c r="P201" s="7"/>
      <c r="Q201" s="7"/>
      <c r="R201" s="7"/>
      <c r="S201" s="43"/>
      <c r="T201" s="43"/>
      <c r="U201" s="43"/>
      <c r="V201" s="43"/>
      <c r="W201" s="43"/>
      <c r="X201" s="43"/>
      <c r="Y201" s="43"/>
      <c r="Z201" s="43"/>
      <c r="AA201" s="43"/>
      <c r="AB201" s="43"/>
      <c r="AC201" s="43"/>
      <c r="AD201" s="43"/>
      <c r="AE201" s="43"/>
      <c r="AF201" s="71"/>
    </row>
    <row r="202" ht="15.75" customHeight="1">
      <c r="A202" s="70"/>
      <c r="B202" s="70"/>
      <c r="C202" s="70"/>
      <c r="D202" s="70"/>
      <c r="E202" s="70"/>
      <c r="F202" s="7"/>
      <c r="G202" s="7"/>
      <c r="H202" s="7"/>
      <c r="I202" s="7"/>
      <c r="J202" s="7"/>
      <c r="K202" s="7"/>
      <c r="L202" s="7"/>
      <c r="M202" s="7"/>
      <c r="N202" s="7"/>
      <c r="O202" s="7"/>
      <c r="P202" s="7"/>
      <c r="Q202" s="7"/>
      <c r="R202" s="7"/>
      <c r="S202" s="43"/>
      <c r="T202" s="43"/>
      <c r="U202" s="43"/>
      <c r="V202" s="43"/>
      <c r="W202" s="43"/>
      <c r="X202" s="43"/>
      <c r="Y202" s="43"/>
      <c r="Z202" s="43"/>
      <c r="AA202" s="43"/>
      <c r="AB202" s="43"/>
      <c r="AC202" s="43"/>
      <c r="AD202" s="43"/>
      <c r="AE202" s="43"/>
      <c r="AF202" s="71"/>
    </row>
    <row r="203" ht="15.75" customHeight="1">
      <c r="A203" s="70"/>
      <c r="B203" s="70"/>
      <c r="C203" s="70"/>
      <c r="D203" s="70"/>
      <c r="E203" s="70"/>
      <c r="F203" s="7"/>
      <c r="G203" s="7"/>
      <c r="H203" s="7"/>
      <c r="I203" s="7"/>
      <c r="J203" s="7"/>
      <c r="K203" s="7"/>
      <c r="L203" s="7"/>
      <c r="M203" s="7"/>
      <c r="N203" s="7"/>
      <c r="O203" s="7"/>
      <c r="P203" s="7"/>
      <c r="Q203" s="7"/>
      <c r="R203" s="7"/>
      <c r="S203" s="43"/>
      <c r="T203" s="43"/>
      <c r="U203" s="43"/>
      <c r="V203" s="43"/>
      <c r="W203" s="43"/>
      <c r="X203" s="43"/>
      <c r="Y203" s="43"/>
      <c r="Z203" s="43"/>
      <c r="AA203" s="43"/>
      <c r="AB203" s="43"/>
      <c r="AC203" s="43"/>
      <c r="AD203" s="43"/>
      <c r="AE203" s="43"/>
      <c r="AF203" s="71"/>
    </row>
    <row r="204" ht="15.75" customHeight="1">
      <c r="A204" s="70"/>
      <c r="B204" s="70"/>
      <c r="C204" s="70"/>
      <c r="D204" s="70"/>
      <c r="E204" s="70"/>
      <c r="F204" s="7"/>
      <c r="G204" s="7"/>
      <c r="H204" s="7"/>
      <c r="I204" s="7"/>
      <c r="J204" s="7"/>
      <c r="K204" s="7"/>
      <c r="L204" s="7"/>
      <c r="M204" s="7"/>
      <c r="N204" s="7"/>
      <c r="O204" s="7"/>
      <c r="P204" s="7"/>
      <c r="Q204" s="7"/>
      <c r="R204" s="7"/>
      <c r="S204" s="43"/>
      <c r="T204" s="43"/>
      <c r="U204" s="43"/>
      <c r="V204" s="43"/>
      <c r="W204" s="43"/>
      <c r="X204" s="43"/>
      <c r="Y204" s="43"/>
      <c r="Z204" s="43"/>
      <c r="AA204" s="43"/>
      <c r="AB204" s="43"/>
      <c r="AC204" s="43"/>
      <c r="AD204" s="43"/>
      <c r="AE204" s="43"/>
      <c r="AF204" s="71"/>
    </row>
    <row r="205" ht="15.75" customHeight="1">
      <c r="A205" s="70"/>
      <c r="B205" s="70"/>
      <c r="C205" s="70"/>
      <c r="D205" s="70"/>
      <c r="E205" s="70"/>
      <c r="F205" s="7"/>
      <c r="G205" s="7"/>
      <c r="H205" s="7"/>
      <c r="I205" s="7"/>
      <c r="J205" s="7"/>
      <c r="K205" s="7"/>
      <c r="L205" s="7"/>
      <c r="M205" s="7"/>
      <c r="N205" s="7"/>
      <c r="O205" s="7"/>
      <c r="P205" s="7"/>
      <c r="Q205" s="7"/>
      <c r="R205" s="7"/>
      <c r="S205" s="43"/>
      <c r="T205" s="43"/>
      <c r="U205" s="43"/>
      <c r="V205" s="43"/>
      <c r="W205" s="43"/>
      <c r="X205" s="43"/>
      <c r="Y205" s="43"/>
      <c r="Z205" s="43"/>
      <c r="AA205" s="43"/>
      <c r="AB205" s="43"/>
      <c r="AC205" s="43"/>
      <c r="AD205" s="43"/>
      <c r="AE205" s="43"/>
      <c r="AF205" s="71"/>
    </row>
    <row r="206" ht="15.75" customHeight="1">
      <c r="A206" s="70"/>
      <c r="B206" s="70"/>
      <c r="C206" s="70"/>
      <c r="D206" s="70"/>
      <c r="E206" s="70"/>
      <c r="F206" s="7"/>
      <c r="G206" s="7"/>
      <c r="H206" s="7"/>
      <c r="I206" s="7"/>
      <c r="J206" s="7"/>
      <c r="K206" s="7"/>
      <c r="L206" s="7"/>
      <c r="M206" s="7"/>
      <c r="N206" s="7"/>
      <c r="O206" s="7"/>
      <c r="P206" s="7"/>
      <c r="Q206" s="7"/>
      <c r="R206" s="7"/>
      <c r="S206" s="43"/>
      <c r="T206" s="43"/>
      <c r="U206" s="43"/>
      <c r="V206" s="43"/>
      <c r="W206" s="43"/>
      <c r="X206" s="43"/>
      <c r="Y206" s="43"/>
      <c r="Z206" s="43"/>
      <c r="AA206" s="43"/>
      <c r="AB206" s="43"/>
      <c r="AC206" s="43"/>
      <c r="AD206" s="43"/>
      <c r="AE206" s="43"/>
      <c r="AF206" s="71"/>
    </row>
    <row r="207" ht="15.75" customHeight="1">
      <c r="A207" s="70"/>
      <c r="B207" s="70"/>
      <c r="C207" s="70"/>
      <c r="D207" s="70"/>
      <c r="E207" s="70"/>
      <c r="F207" s="7"/>
      <c r="G207" s="7"/>
      <c r="H207" s="7"/>
      <c r="I207" s="7"/>
      <c r="J207" s="7"/>
      <c r="K207" s="7"/>
      <c r="L207" s="7"/>
      <c r="M207" s="7"/>
      <c r="N207" s="7"/>
      <c r="O207" s="7"/>
      <c r="P207" s="7"/>
      <c r="Q207" s="7"/>
      <c r="R207" s="7"/>
      <c r="S207" s="43"/>
      <c r="T207" s="43"/>
      <c r="U207" s="43"/>
      <c r="V207" s="43"/>
      <c r="W207" s="43"/>
      <c r="X207" s="43"/>
      <c r="Y207" s="43"/>
      <c r="Z207" s="43"/>
      <c r="AA207" s="43"/>
      <c r="AB207" s="43"/>
      <c r="AC207" s="43"/>
      <c r="AD207" s="43"/>
      <c r="AE207" s="43"/>
      <c r="AF207" s="71"/>
    </row>
    <row r="208" ht="15.75" customHeight="1">
      <c r="A208" s="70"/>
      <c r="B208" s="70"/>
      <c r="C208" s="70"/>
      <c r="D208" s="70"/>
      <c r="E208" s="70"/>
      <c r="F208" s="7"/>
      <c r="G208" s="7"/>
      <c r="H208" s="7"/>
      <c r="I208" s="7"/>
      <c r="J208" s="7"/>
      <c r="K208" s="7"/>
      <c r="L208" s="7"/>
      <c r="M208" s="7"/>
      <c r="N208" s="7"/>
      <c r="O208" s="7"/>
      <c r="P208" s="7"/>
      <c r="Q208" s="7"/>
      <c r="R208" s="7"/>
      <c r="S208" s="43"/>
      <c r="T208" s="43"/>
      <c r="U208" s="43"/>
      <c r="V208" s="43"/>
      <c r="W208" s="43"/>
      <c r="X208" s="43"/>
      <c r="Y208" s="43"/>
      <c r="Z208" s="43"/>
      <c r="AA208" s="43"/>
      <c r="AB208" s="43"/>
      <c r="AC208" s="43"/>
      <c r="AD208" s="43"/>
      <c r="AE208" s="43"/>
      <c r="AF208" s="71"/>
    </row>
    <row r="209" ht="15.75" customHeight="1">
      <c r="A209" s="70"/>
      <c r="B209" s="70"/>
      <c r="C209" s="70"/>
      <c r="D209" s="70"/>
      <c r="E209" s="70"/>
      <c r="F209" s="7"/>
      <c r="G209" s="7"/>
      <c r="H209" s="7"/>
      <c r="I209" s="7"/>
      <c r="J209" s="7"/>
      <c r="K209" s="7"/>
      <c r="L209" s="7"/>
      <c r="M209" s="7"/>
      <c r="N209" s="7"/>
      <c r="O209" s="7"/>
      <c r="P209" s="7"/>
      <c r="Q209" s="7"/>
      <c r="R209" s="7"/>
      <c r="S209" s="43"/>
      <c r="T209" s="43"/>
      <c r="U209" s="43"/>
      <c r="V209" s="43"/>
      <c r="W209" s="43"/>
      <c r="X209" s="43"/>
      <c r="Y209" s="43"/>
      <c r="Z209" s="43"/>
      <c r="AA209" s="43"/>
      <c r="AB209" s="43"/>
      <c r="AC209" s="43"/>
      <c r="AD209" s="43"/>
      <c r="AE209" s="43"/>
      <c r="AF209" s="71"/>
    </row>
    <row r="210" ht="15.75" customHeight="1">
      <c r="A210" s="70"/>
      <c r="B210" s="70"/>
      <c r="C210" s="70"/>
      <c r="D210" s="70"/>
      <c r="E210" s="70"/>
      <c r="F210" s="7"/>
      <c r="G210" s="7"/>
      <c r="H210" s="7"/>
      <c r="I210" s="7"/>
      <c r="J210" s="7"/>
      <c r="K210" s="7"/>
      <c r="L210" s="7"/>
      <c r="M210" s="7"/>
      <c r="N210" s="7"/>
      <c r="O210" s="7"/>
      <c r="P210" s="7"/>
      <c r="Q210" s="7"/>
      <c r="R210" s="7"/>
      <c r="S210" s="43"/>
      <c r="T210" s="43"/>
      <c r="U210" s="43"/>
      <c r="V210" s="43"/>
      <c r="W210" s="43"/>
      <c r="X210" s="43"/>
      <c r="Y210" s="43"/>
      <c r="Z210" s="43"/>
      <c r="AA210" s="43"/>
      <c r="AB210" s="43"/>
      <c r="AC210" s="43"/>
      <c r="AD210" s="43"/>
      <c r="AE210" s="43"/>
      <c r="AF210" s="71"/>
    </row>
    <row r="211" ht="15.75" customHeight="1">
      <c r="A211" s="70"/>
      <c r="B211" s="70"/>
      <c r="C211" s="70"/>
      <c r="D211" s="70"/>
      <c r="E211" s="70"/>
      <c r="F211" s="7"/>
      <c r="G211" s="7"/>
      <c r="H211" s="7"/>
      <c r="I211" s="7"/>
      <c r="J211" s="7"/>
      <c r="K211" s="7"/>
      <c r="L211" s="7"/>
      <c r="M211" s="7"/>
      <c r="N211" s="7"/>
      <c r="O211" s="7"/>
      <c r="P211" s="7"/>
      <c r="Q211" s="7"/>
      <c r="R211" s="7"/>
      <c r="S211" s="43"/>
      <c r="T211" s="43"/>
      <c r="U211" s="43"/>
      <c r="V211" s="43"/>
      <c r="W211" s="43"/>
      <c r="X211" s="43"/>
      <c r="Y211" s="43"/>
      <c r="Z211" s="43"/>
      <c r="AA211" s="43"/>
      <c r="AB211" s="43"/>
      <c r="AC211" s="43"/>
      <c r="AD211" s="43"/>
      <c r="AE211" s="43"/>
      <c r="AF211" s="71"/>
    </row>
    <row r="212" ht="15.75" customHeight="1">
      <c r="A212" s="70"/>
      <c r="B212" s="70"/>
      <c r="C212" s="70"/>
      <c r="D212" s="70"/>
      <c r="E212" s="70"/>
      <c r="F212" s="7"/>
      <c r="G212" s="7"/>
      <c r="H212" s="7"/>
      <c r="I212" s="7"/>
      <c r="J212" s="7"/>
      <c r="K212" s="7"/>
      <c r="L212" s="7"/>
      <c r="M212" s="7"/>
      <c r="N212" s="7"/>
      <c r="O212" s="7"/>
      <c r="P212" s="7"/>
      <c r="Q212" s="7"/>
      <c r="R212" s="7"/>
      <c r="S212" s="43"/>
      <c r="T212" s="43"/>
      <c r="U212" s="43"/>
      <c r="V212" s="43"/>
      <c r="W212" s="43"/>
      <c r="X212" s="43"/>
      <c r="Y212" s="43"/>
      <c r="Z212" s="43"/>
      <c r="AA212" s="43"/>
      <c r="AB212" s="43"/>
      <c r="AC212" s="43"/>
      <c r="AD212" s="43"/>
      <c r="AE212" s="43"/>
      <c r="AF212" s="71"/>
    </row>
    <row r="213" ht="15.75" customHeight="1">
      <c r="A213" s="70"/>
      <c r="B213" s="70"/>
      <c r="C213" s="70"/>
      <c r="D213" s="70"/>
      <c r="E213" s="70"/>
      <c r="F213" s="7"/>
      <c r="G213" s="7"/>
      <c r="H213" s="7"/>
      <c r="I213" s="7"/>
      <c r="J213" s="7"/>
      <c r="K213" s="7"/>
      <c r="L213" s="7"/>
      <c r="M213" s="7"/>
      <c r="N213" s="7"/>
      <c r="O213" s="7"/>
      <c r="P213" s="7"/>
      <c r="Q213" s="7"/>
      <c r="R213" s="7"/>
      <c r="S213" s="43"/>
      <c r="T213" s="43"/>
      <c r="U213" s="43"/>
      <c r="V213" s="43"/>
      <c r="W213" s="43"/>
      <c r="X213" s="43"/>
      <c r="Y213" s="43"/>
      <c r="Z213" s="43"/>
      <c r="AA213" s="43"/>
      <c r="AB213" s="43"/>
      <c r="AC213" s="43"/>
      <c r="AD213" s="43"/>
      <c r="AE213" s="43"/>
      <c r="AF213" s="71"/>
    </row>
    <row r="214" ht="15.75" customHeight="1">
      <c r="A214" s="70"/>
      <c r="B214" s="70"/>
      <c r="C214" s="70"/>
      <c r="D214" s="70"/>
      <c r="E214" s="70"/>
      <c r="F214" s="7"/>
      <c r="G214" s="7"/>
      <c r="H214" s="7"/>
      <c r="I214" s="7"/>
      <c r="J214" s="7"/>
      <c r="K214" s="7"/>
      <c r="L214" s="7"/>
      <c r="M214" s="7"/>
      <c r="N214" s="7"/>
      <c r="O214" s="7"/>
      <c r="P214" s="7"/>
      <c r="Q214" s="7"/>
      <c r="R214" s="7"/>
      <c r="S214" s="43"/>
      <c r="T214" s="43"/>
      <c r="U214" s="43"/>
      <c r="V214" s="43"/>
      <c r="W214" s="43"/>
      <c r="X214" s="43"/>
      <c r="Y214" s="43"/>
      <c r="Z214" s="43"/>
      <c r="AA214" s="43"/>
      <c r="AB214" s="43"/>
      <c r="AC214" s="43"/>
      <c r="AD214" s="43"/>
      <c r="AE214" s="43"/>
      <c r="AF214" s="71"/>
    </row>
    <row r="215" ht="15.75" customHeight="1">
      <c r="A215" s="70"/>
      <c r="B215" s="70"/>
      <c r="C215" s="70"/>
      <c r="D215" s="70"/>
      <c r="E215" s="70"/>
      <c r="F215" s="7"/>
      <c r="G215" s="7"/>
      <c r="H215" s="7"/>
      <c r="I215" s="7"/>
      <c r="J215" s="7"/>
      <c r="K215" s="7"/>
      <c r="L215" s="7"/>
      <c r="M215" s="7"/>
      <c r="N215" s="7"/>
      <c r="O215" s="7"/>
      <c r="P215" s="7"/>
      <c r="Q215" s="7"/>
      <c r="R215" s="7"/>
      <c r="S215" s="43"/>
      <c r="T215" s="43"/>
      <c r="U215" s="43"/>
      <c r="V215" s="43"/>
      <c r="W215" s="43"/>
      <c r="X215" s="43"/>
      <c r="Y215" s="43"/>
      <c r="Z215" s="43"/>
      <c r="AA215" s="43"/>
      <c r="AB215" s="43"/>
      <c r="AC215" s="43"/>
      <c r="AD215" s="43"/>
      <c r="AE215" s="43"/>
      <c r="AF215" s="71"/>
    </row>
    <row r="216" ht="15.75" customHeight="1">
      <c r="A216" s="70"/>
      <c r="B216" s="70"/>
      <c r="C216" s="70"/>
      <c r="D216" s="70"/>
      <c r="E216" s="70"/>
      <c r="F216" s="7"/>
      <c r="G216" s="7"/>
      <c r="H216" s="7"/>
      <c r="I216" s="7"/>
      <c r="J216" s="7"/>
      <c r="K216" s="7"/>
      <c r="L216" s="7"/>
      <c r="M216" s="7"/>
      <c r="N216" s="7"/>
      <c r="O216" s="7"/>
      <c r="P216" s="7"/>
      <c r="Q216" s="7"/>
      <c r="R216" s="7"/>
      <c r="S216" s="43"/>
      <c r="T216" s="43"/>
      <c r="U216" s="43"/>
      <c r="V216" s="43"/>
      <c r="W216" s="43"/>
      <c r="X216" s="43"/>
      <c r="Y216" s="43"/>
      <c r="Z216" s="43"/>
      <c r="AA216" s="43"/>
      <c r="AB216" s="43"/>
      <c r="AC216" s="43"/>
      <c r="AD216" s="43"/>
      <c r="AE216" s="43"/>
      <c r="AF216" s="71"/>
    </row>
    <row r="217" ht="15.75" customHeight="1">
      <c r="A217" s="70"/>
      <c r="B217" s="70"/>
      <c r="C217" s="70"/>
      <c r="D217" s="70"/>
      <c r="E217" s="70"/>
      <c r="F217" s="7"/>
      <c r="G217" s="7"/>
      <c r="H217" s="7"/>
      <c r="I217" s="7"/>
      <c r="J217" s="7"/>
      <c r="K217" s="7"/>
      <c r="L217" s="7"/>
      <c r="M217" s="7"/>
      <c r="N217" s="7"/>
      <c r="O217" s="7"/>
      <c r="P217" s="7"/>
      <c r="Q217" s="7"/>
      <c r="R217" s="7"/>
      <c r="S217" s="43"/>
      <c r="T217" s="43"/>
      <c r="U217" s="43"/>
      <c r="V217" s="43"/>
      <c r="W217" s="43"/>
      <c r="X217" s="43"/>
      <c r="Y217" s="43"/>
      <c r="Z217" s="43"/>
      <c r="AA217" s="43"/>
      <c r="AB217" s="43"/>
      <c r="AC217" s="43"/>
      <c r="AD217" s="43"/>
      <c r="AE217" s="43"/>
      <c r="AF217" s="71"/>
    </row>
    <row r="218" ht="15.75" customHeight="1">
      <c r="A218" s="70"/>
      <c r="B218" s="70"/>
      <c r="C218" s="70"/>
      <c r="D218" s="70"/>
      <c r="E218" s="70"/>
      <c r="F218" s="7"/>
      <c r="G218" s="7"/>
      <c r="H218" s="7"/>
      <c r="I218" s="7"/>
      <c r="J218" s="7"/>
      <c r="K218" s="7"/>
      <c r="L218" s="7"/>
      <c r="M218" s="7"/>
      <c r="N218" s="7"/>
      <c r="O218" s="7"/>
      <c r="P218" s="7"/>
      <c r="Q218" s="7"/>
      <c r="R218" s="7"/>
      <c r="S218" s="43"/>
      <c r="T218" s="43"/>
      <c r="U218" s="43"/>
      <c r="V218" s="43"/>
      <c r="W218" s="43"/>
      <c r="X218" s="43"/>
      <c r="Y218" s="43"/>
      <c r="Z218" s="43"/>
      <c r="AA218" s="43"/>
      <c r="AB218" s="43"/>
      <c r="AC218" s="43"/>
      <c r="AD218" s="43"/>
      <c r="AE218" s="43"/>
      <c r="AF218" s="71"/>
    </row>
    <row r="219" ht="15.75" customHeight="1">
      <c r="A219" s="70"/>
      <c r="B219" s="70"/>
      <c r="C219" s="70"/>
      <c r="D219" s="70"/>
      <c r="E219" s="70"/>
      <c r="F219" s="7"/>
      <c r="G219" s="7"/>
      <c r="H219" s="7"/>
      <c r="I219" s="7"/>
      <c r="J219" s="7"/>
      <c r="K219" s="7"/>
      <c r="L219" s="7"/>
      <c r="M219" s="7"/>
      <c r="N219" s="7"/>
      <c r="O219" s="7"/>
      <c r="P219" s="7"/>
      <c r="Q219" s="7"/>
      <c r="R219" s="7"/>
      <c r="S219" s="43"/>
      <c r="T219" s="43"/>
      <c r="U219" s="43"/>
      <c r="V219" s="43"/>
      <c r="W219" s="43"/>
      <c r="X219" s="43"/>
      <c r="Y219" s="43"/>
      <c r="Z219" s="43"/>
      <c r="AA219" s="43"/>
      <c r="AB219" s="43"/>
      <c r="AC219" s="43"/>
      <c r="AD219" s="43"/>
      <c r="AE219" s="43"/>
      <c r="AF219" s="71"/>
    </row>
    <row r="220" ht="15.75" customHeight="1">
      <c r="A220" s="70"/>
      <c r="B220" s="70"/>
      <c r="C220" s="70"/>
      <c r="D220" s="70"/>
      <c r="E220" s="70"/>
      <c r="F220" s="7"/>
      <c r="G220" s="7"/>
      <c r="H220" s="7"/>
      <c r="I220" s="7"/>
      <c r="J220" s="7"/>
      <c r="K220" s="7"/>
      <c r="L220" s="7"/>
      <c r="M220" s="7"/>
      <c r="N220" s="7"/>
      <c r="O220" s="7"/>
      <c r="P220" s="7"/>
      <c r="Q220" s="7"/>
      <c r="R220" s="7"/>
      <c r="S220" s="43"/>
      <c r="T220" s="43"/>
      <c r="U220" s="43"/>
      <c r="V220" s="43"/>
      <c r="W220" s="43"/>
      <c r="X220" s="43"/>
      <c r="Y220" s="43"/>
      <c r="Z220" s="43"/>
      <c r="AA220" s="43"/>
      <c r="AB220" s="43"/>
      <c r="AC220" s="43"/>
      <c r="AD220" s="43"/>
      <c r="AE220" s="43"/>
      <c r="AF220" s="71"/>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c r="AE980" s="44"/>
      <c r="AF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c r="AE981" s="44"/>
      <c r="AF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c r="AE982" s="44"/>
      <c r="AF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c r="AE983" s="44"/>
      <c r="AF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c r="AE984" s="44"/>
      <c r="AF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c r="AD985" s="44"/>
      <c r="AE985" s="44"/>
      <c r="AF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c r="AE986" s="44"/>
      <c r="AF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c r="AE987" s="44"/>
      <c r="AF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c r="AD988" s="44"/>
      <c r="AE988" s="44"/>
      <c r="AF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c r="AD989" s="44"/>
      <c r="AE989" s="44"/>
      <c r="AF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c r="AE990" s="44"/>
      <c r="AF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c r="AE991" s="44"/>
      <c r="AF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c r="AD992" s="44"/>
      <c r="AE992" s="44"/>
      <c r="AF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c r="AE993" s="44"/>
      <c r="AF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c r="AD994" s="44"/>
      <c r="AE994" s="44"/>
      <c r="AF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c r="AD995" s="44"/>
      <c r="AE995" s="44"/>
      <c r="AF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c r="AE996" s="44"/>
      <c r="AF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c r="AD997" s="44"/>
      <c r="AE997" s="44"/>
      <c r="AF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c r="AD998" s="44"/>
      <c r="AE998" s="44"/>
      <c r="AF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c r="AD999" s="44"/>
      <c r="AE999" s="44"/>
      <c r="AF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c r="AE1000" s="44"/>
      <c r="AF1000" s="44"/>
    </row>
  </sheetData>
  <mergeCells count="8">
    <mergeCell ref="A2:E3"/>
    <mergeCell ref="F2:R2"/>
    <mergeCell ref="S2:AE3"/>
    <mergeCell ref="AF2:AF3"/>
    <mergeCell ref="F3:I3"/>
    <mergeCell ref="J3:K3"/>
    <mergeCell ref="L3:O3"/>
    <mergeCell ref="P3:R3"/>
  </mergeCells>
  <dataValidations>
    <dataValidation type="list" allowBlank="1" showErrorMessage="1" sqref="AD6:AD100">
      <formula1>vocabs!$F$63:$F$71</formula1>
    </dataValidation>
    <dataValidation type="list" allowBlank="1" showErrorMessage="1" sqref="W6:W100">
      <formula1>vocabs!$F$40:$F$46</formula1>
    </dataValidation>
    <dataValidation type="list" allowBlank="1" showErrorMessage="1" sqref="C6:C100">
      <formula1>vocabs!$F$3:$F$7</formula1>
    </dataValidation>
    <dataValidation type="list" allowBlank="1" showErrorMessage="1" sqref="U6:U100">
      <formula1>vocabs!$F$31:$F$36</formula1>
    </dataValidation>
    <dataValidation type="list" allowBlank="1" showErrorMessage="1" sqref="Z6:Z100">
      <formula1>vocabs!$F$51:$F$56</formula1>
    </dataValidation>
    <dataValidation type="list" allowBlank="1" showErrorMessage="1" sqref="S6:S100">
      <formula1>vocabs!$F$17:$F$21</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1" width="200.11"/>
  </cols>
  <sheetData>
    <row r="1" ht="33.0" customHeight="1">
      <c r="A1" s="2" t="s">
        <v>1</v>
      </c>
      <c r="B1" s="4"/>
      <c r="C1" s="4"/>
      <c r="D1" s="4"/>
      <c r="E1" s="4"/>
      <c r="F1" s="4"/>
      <c r="G1" s="4"/>
      <c r="H1" s="4"/>
      <c r="I1" s="4"/>
      <c r="J1" s="4"/>
      <c r="K1" s="4"/>
      <c r="L1" s="4"/>
      <c r="M1" s="4"/>
      <c r="N1" s="4"/>
      <c r="O1" s="4"/>
      <c r="P1" s="4"/>
      <c r="Q1" s="4"/>
      <c r="R1" s="4"/>
      <c r="S1" s="4"/>
      <c r="T1" s="4"/>
      <c r="U1" s="4"/>
      <c r="V1" s="4"/>
      <c r="W1" s="4"/>
      <c r="X1" s="4"/>
      <c r="Y1" s="4"/>
      <c r="Z1" s="4"/>
    </row>
    <row r="2" ht="33.0" customHeight="1">
      <c r="A2" s="10" t="s">
        <v>4</v>
      </c>
      <c r="B2" s="4"/>
      <c r="C2" s="4"/>
      <c r="D2" s="4"/>
      <c r="E2" s="4"/>
      <c r="F2" s="4"/>
      <c r="G2" s="4"/>
      <c r="H2" s="4"/>
      <c r="I2" s="4"/>
      <c r="J2" s="4"/>
      <c r="K2" s="4"/>
      <c r="L2" s="4"/>
      <c r="M2" s="4"/>
      <c r="N2" s="4"/>
      <c r="O2" s="4"/>
      <c r="P2" s="4"/>
      <c r="Q2" s="4"/>
      <c r="R2" s="4"/>
      <c r="S2" s="4"/>
      <c r="T2" s="4"/>
      <c r="U2" s="4"/>
      <c r="V2" s="4"/>
      <c r="W2" s="4"/>
      <c r="X2" s="4"/>
      <c r="Y2" s="4"/>
      <c r="Z2" s="4"/>
    </row>
    <row r="3" ht="33.0" customHeight="1">
      <c r="A3" s="10" t="s">
        <v>5</v>
      </c>
      <c r="B3" s="4"/>
      <c r="C3" s="4"/>
      <c r="D3" s="4"/>
      <c r="E3" s="4"/>
      <c r="F3" s="4"/>
      <c r="G3" s="4"/>
      <c r="H3" s="4"/>
      <c r="I3" s="4"/>
      <c r="J3" s="4"/>
      <c r="K3" s="4"/>
      <c r="L3" s="4"/>
      <c r="M3" s="4"/>
      <c r="N3" s="4"/>
      <c r="O3" s="4"/>
      <c r="P3" s="4"/>
      <c r="Q3" s="4"/>
      <c r="R3" s="4"/>
      <c r="S3" s="4"/>
      <c r="T3" s="4"/>
      <c r="U3" s="4"/>
      <c r="V3" s="4"/>
      <c r="W3" s="4"/>
      <c r="X3" s="4"/>
      <c r="Y3" s="4"/>
      <c r="Z3" s="4"/>
    </row>
    <row r="4" ht="33.0" customHeight="1">
      <c r="A4" s="10" t="s">
        <v>7</v>
      </c>
      <c r="B4" s="4"/>
      <c r="C4" s="4"/>
      <c r="D4" s="4"/>
      <c r="E4" s="4"/>
      <c r="F4" s="4"/>
      <c r="G4" s="4"/>
      <c r="H4" s="4"/>
      <c r="I4" s="4"/>
      <c r="J4" s="4"/>
      <c r="K4" s="4"/>
      <c r="L4" s="4"/>
      <c r="M4" s="4"/>
      <c r="N4" s="4"/>
      <c r="O4" s="4"/>
      <c r="P4" s="4"/>
      <c r="Q4" s="4"/>
      <c r="R4" s="4"/>
      <c r="S4" s="4"/>
      <c r="T4" s="4"/>
      <c r="U4" s="4"/>
      <c r="V4" s="4"/>
      <c r="W4" s="4"/>
      <c r="X4" s="4"/>
      <c r="Y4" s="4"/>
      <c r="Z4" s="4"/>
    </row>
    <row r="5" ht="33.0" customHeight="1">
      <c r="A5" s="10" t="s">
        <v>21</v>
      </c>
      <c r="B5" s="4"/>
      <c r="C5" s="4"/>
      <c r="D5" s="4"/>
      <c r="E5" s="4"/>
      <c r="F5" s="4"/>
      <c r="G5" s="4"/>
      <c r="H5" s="4"/>
      <c r="I5" s="4"/>
      <c r="J5" s="4"/>
      <c r="K5" s="4"/>
      <c r="L5" s="4"/>
      <c r="M5" s="4"/>
      <c r="N5" s="4"/>
      <c r="O5" s="4"/>
      <c r="P5" s="4"/>
      <c r="Q5" s="4"/>
      <c r="R5" s="4"/>
      <c r="S5" s="4"/>
      <c r="T5" s="4"/>
      <c r="U5" s="4"/>
      <c r="V5" s="4"/>
      <c r="W5" s="4"/>
      <c r="X5" s="4"/>
      <c r="Y5" s="4"/>
      <c r="Z5" s="4"/>
    </row>
    <row r="6" ht="33.0" customHeight="1">
      <c r="A6" s="10" t="s">
        <v>39</v>
      </c>
      <c r="B6" s="4"/>
      <c r="C6" s="4"/>
      <c r="D6" s="4"/>
      <c r="E6" s="4"/>
      <c r="F6" s="4"/>
      <c r="G6" s="4"/>
      <c r="H6" s="4"/>
      <c r="I6" s="4"/>
      <c r="J6" s="4"/>
      <c r="K6" s="4"/>
      <c r="L6" s="4"/>
      <c r="M6" s="4"/>
      <c r="N6" s="4"/>
      <c r="O6" s="4"/>
      <c r="P6" s="4"/>
      <c r="Q6" s="4"/>
      <c r="R6" s="4"/>
      <c r="S6" s="4"/>
      <c r="T6" s="4"/>
      <c r="U6" s="4"/>
      <c r="V6" s="4"/>
      <c r="W6" s="4"/>
      <c r="X6" s="4"/>
      <c r="Y6" s="4"/>
      <c r="Z6" s="4"/>
    </row>
    <row r="7" ht="33.0" customHeight="1">
      <c r="A7" s="10" t="s">
        <v>52</v>
      </c>
      <c r="B7" s="4"/>
      <c r="C7" s="4"/>
      <c r="D7" s="4"/>
      <c r="E7" s="4"/>
      <c r="F7" s="4"/>
      <c r="G7" s="4"/>
      <c r="H7" s="4"/>
      <c r="I7" s="4"/>
      <c r="J7" s="4"/>
      <c r="K7" s="4"/>
      <c r="L7" s="4"/>
      <c r="M7" s="4"/>
      <c r="N7" s="4"/>
      <c r="O7" s="4"/>
      <c r="P7" s="4"/>
      <c r="Q7" s="4"/>
      <c r="R7" s="4"/>
      <c r="S7" s="4"/>
      <c r="T7" s="4"/>
      <c r="U7" s="4"/>
      <c r="V7" s="4"/>
      <c r="W7" s="4"/>
      <c r="X7" s="4"/>
      <c r="Y7" s="4"/>
      <c r="Z7" s="4"/>
    </row>
    <row r="8" ht="33.0" customHeight="1">
      <c r="A8" s="29"/>
      <c r="B8" s="4"/>
      <c r="C8" s="4"/>
      <c r="D8" s="4"/>
      <c r="E8" s="4"/>
      <c r="F8" s="4"/>
      <c r="G8" s="4"/>
      <c r="H8" s="4"/>
      <c r="I8" s="4"/>
      <c r="J8" s="4"/>
      <c r="K8" s="4"/>
      <c r="L8" s="4"/>
      <c r="M8" s="4"/>
      <c r="N8" s="4"/>
      <c r="O8" s="4"/>
      <c r="P8" s="4"/>
      <c r="Q8" s="4"/>
      <c r="R8" s="4"/>
      <c r="S8" s="4"/>
      <c r="T8" s="4"/>
      <c r="U8" s="4"/>
      <c r="V8" s="4"/>
      <c r="W8" s="4"/>
      <c r="X8" s="4"/>
      <c r="Y8" s="4"/>
      <c r="Z8" s="4"/>
    </row>
    <row r="9" ht="33.0" customHeight="1">
      <c r="A9" s="2" t="s">
        <v>81</v>
      </c>
      <c r="B9" s="4"/>
      <c r="C9" s="4"/>
      <c r="D9" s="4"/>
      <c r="E9" s="4"/>
      <c r="F9" s="4"/>
      <c r="G9" s="4"/>
      <c r="H9" s="4"/>
      <c r="I9" s="4"/>
      <c r="J9" s="4"/>
      <c r="K9" s="4"/>
      <c r="L9" s="4"/>
      <c r="M9" s="4"/>
      <c r="N9" s="4"/>
      <c r="O9" s="4"/>
      <c r="P9" s="4"/>
      <c r="Q9" s="4"/>
      <c r="R9" s="4"/>
      <c r="S9" s="4"/>
      <c r="T9" s="4"/>
      <c r="U9" s="4"/>
      <c r="V9" s="4"/>
      <c r="W9" s="4"/>
      <c r="X9" s="4"/>
      <c r="Y9" s="4"/>
      <c r="Z9" s="4"/>
    </row>
    <row r="10" ht="33.0" customHeight="1">
      <c r="A10" s="10" t="s">
        <v>98</v>
      </c>
      <c r="B10" s="4"/>
      <c r="C10" s="4"/>
      <c r="D10" s="4"/>
      <c r="E10" s="4"/>
      <c r="F10" s="4"/>
      <c r="G10" s="4"/>
      <c r="H10" s="4"/>
      <c r="I10" s="4"/>
      <c r="J10" s="4"/>
      <c r="K10" s="4"/>
      <c r="L10" s="4"/>
      <c r="M10" s="4"/>
      <c r="N10" s="4"/>
      <c r="O10" s="4"/>
      <c r="P10" s="4"/>
      <c r="Q10" s="4"/>
      <c r="R10" s="4"/>
      <c r="S10" s="4"/>
      <c r="T10" s="4"/>
      <c r="U10" s="4"/>
      <c r="V10" s="4"/>
      <c r="W10" s="4"/>
      <c r="X10" s="4"/>
      <c r="Y10" s="4"/>
      <c r="Z10" s="4"/>
    </row>
    <row r="11" ht="33.0" customHeight="1">
      <c r="A11" s="48" t="s">
        <v>110</v>
      </c>
      <c r="B11" s="4"/>
      <c r="C11" s="4"/>
      <c r="D11" s="4"/>
      <c r="E11" s="4"/>
      <c r="F11" s="4"/>
      <c r="G11" s="4"/>
      <c r="H11" s="4"/>
      <c r="I11" s="4"/>
      <c r="J11" s="4"/>
      <c r="K11" s="4"/>
      <c r="L11" s="4"/>
      <c r="M11" s="4"/>
      <c r="N11" s="4"/>
      <c r="O11" s="4"/>
      <c r="P11" s="4"/>
      <c r="Q11" s="4"/>
      <c r="R11" s="4"/>
      <c r="S11" s="4"/>
      <c r="T11" s="4"/>
      <c r="U11" s="4"/>
      <c r="V11" s="4"/>
      <c r="W11" s="4"/>
      <c r="X11" s="4"/>
      <c r="Y11" s="4"/>
      <c r="Z11" s="4"/>
    </row>
    <row r="12" ht="33.0" customHeight="1">
      <c r="A12" s="10" t="s">
        <v>125</v>
      </c>
      <c r="B12" s="4"/>
      <c r="C12" s="4"/>
      <c r="D12" s="4"/>
      <c r="E12" s="4"/>
      <c r="F12" s="4"/>
      <c r="G12" s="4"/>
      <c r="H12" s="4"/>
      <c r="I12" s="4"/>
      <c r="J12" s="4"/>
      <c r="K12" s="4"/>
      <c r="L12" s="4"/>
      <c r="M12" s="4"/>
      <c r="N12" s="4"/>
      <c r="O12" s="4"/>
      <c r="P12" s="4"/>
      <c r="Q12" s="4"/>
      <c r="R12" s="4"/>
      <c r="S12" s="4"/>
      <c r="T12" s="4"/>
      <c r="U12" s="4"/>
      <c r="V12" s="4"/>
      <c r="W12" s="4"/>
      <c r="X12" s="4"/>
      <c r="Y12" s="4"/>
      <c r="Z12" s="4"/>
    </row>
    <row r="13" ht="33.0" customHeight="1">
      <c r="A13" s="10" t="s">
        <v>134</v>
      </c>
      <c r="B13" s="4"/>
      <c r="C13" s="4"/>
      <c r="D13" s="4"/>
      <c r="E13" s="4"/>
      <c r="F13" s="4"/>
      <c r="G13" s="4"/>
      <c r="H13" s="4"/>
      <c r="I13" s="4"/>
      <c r="J13" s="4"/>
      <c r="K13" s="4"/>
      <c r="L13" s="4"/>
      <c r="M13" s="4"/>
      <c r="N13" s="4"/>
      <c r="O13" s="4"/>
      <c r="P13" s="4"/>
      <c r="Q13" s="4"/>
      <c r="R13" s="4"/>
      <c r="S13" s="4"/>
      <c r="T13" s="4"/>
      <c r="U13" s="4"/>
      <c r="V13" s="4"/>
      <c r="W13" s="4"/>
      <c r="X13" s="4"/>
      <c r="Y13" s="4"/>
      <c r="Z13" s="4"/>
    </row>
    <row r="14" ht="33.0" customHeight="1">
      <c r="A14" s="10" t="s">
        <v>145</v>
      </c>
      <c r="B14" s="4"/>
      <c r="C14" s="4"/>
      <c r="D14" s="4"/>
      <c r="E14" s="4"/>
      <c r="F14" s="4"/>
      <c r="G14" s="4"/>
      <c r="H14" s="4"/>
      <c r="I14" s="4"/>
      <c r="J14" s="4"/>
      <c r="K14" s="4"/>
      <c r="L14" s="4"/>
      <c r="M14" s="4"/>
      <c r="N14" s="4"/>
      <c r="O14" s="4"/>
      <c r="P14" s="4"/>
      <c r="Q14" s="4"/>
      <c r="R14" s="4"/>
      <c r="S14" s="4"/>
      <c r="T14" s="4"/>
      <c r="U14" s="4"/>
      <c r="V14" s="4"/>
      <c r="W14" s="4"/>
      <c r="X14" s="4"/>
      <c r="Y14" s="4"/>
      <c r="Z14" s="4"/>
    </row>
    <row r="15" ht="33.0" customHeight="1">
      <c r="A15" s="10" t="s">
        <v>161</v>
      </c>
      <c r="B15" s="4"/>
      <c r="C15" s="4"/>
      <c r="D15" s="4"/>
      <c r="E15" s="4"/>
      <c r="F15" s="4"/>
      <c r="G15" s="4"/>
      <c r="H15" s="4"/>
      <c r="I15" s="4"/>
      <c r="J15" s="4"/>
      <c r="K15" s="4"/>
      <c r="L15" s="4"/>
      <c r="M15" s="4"/>
      <c r="N15" s="4"/>
      <c r="O15" s="4"/>
      <c r="P15" s="4"/>
      <c r="Q15" s="4"/>
      <c r="R15" s="4"/>
      <c r="S15" s="4"/>
      <c r="T15" s="4"/>
      <c r="U15" s="4"/>
      <c r="V15" s="4"/>
      <c r="W15" s="4"/>
      <c r="X15" s="4"/>
      <c r="Y15" s="4"/>
      <c r="Z15" s="4"/>
    </row>
    <row r="16" ht="33.0" customHeight="1">
      <c r="A16" s="10" t="s">
        <v>170</v>
      </c>
      <c r="B16" s="4"/>
      <c r="C16" s="4"/>
      <c r="D16" s="4"/>
      <c r="E16" s="4"/>
      <c r="F16" s="4"/>
      <c r="G16" s="4"/>
      <c r="H16" s="4"/>
      <c r="I16" s="4"/>
      <c r="J16" s="4"/>
      <c r="K16" s="4"/>
      <c r="L16" s="4"/>
      <c r="M16" s="4"/>
      <c r="N16" s="4"/>
      <c r="O16" s="4"/>
      <c r="P16" s="4"/>
      <c r="Q16" s="4"/>
      <c r="R16" s="4"/>
      <c r="S16" s="4"/>
      <c r="T16" s="4"/>
      <c r="U16" s="4"/>
      <c r="V16" s="4"/>
      <c r="W16" s="4"/>
      <c r="X16" s="4"/>
      <c r="Y16" s="4"/>
      <c r="Z16" s="4"/>
    </row>
    <row r="17" ht="33.0" customHeight="1">
      <c r="A17" s="29"/>
      <c r="B17" s="4"/>
      <c r="C17" s="4"/>
      <c r="D17" s="4"/>
      <c r="E17" s="4"/>
      <c r="F17" s="4"/>
      <c r="G17" s="4"/>
      <c r="H17" s="4"/>
      <c r="I17" s="4"/>
      <c r="J17" s="4"/>
      <c r="K17" s="4"/>
      <c r="L17" s="4"/>
      <c r="M17" s="4"/>
      <c r="N17" s="4"/>
      <c r="O17" s="4"/>
      <c r="P17" s="4"/>
      <c r="Q17" s="4"/>
      <c r="R17" s="4"/>
      <c r="S17" s="4"/>
      <c r="T17" s="4"/>
      <c r="U17" s="4"/>
      <c r="V17" s="4"/>
      <c r="W17" s="4"/>
      <c r="X17" s="4"/>
      <c r="Y17" s="4"/>
      <c r="Z17" s="4"/>
    </row>
    <row r="18" ht="33.0" customHeight="1">
      <c r="A18" s="2" t="s">
        <v>179</v>
      </c>
      <c r="B18" s="4"/>
      <c r="C18" s="4"/>
      <c r="D18" s="4"/>
      <c r="E18" s="4"/>
      <c r="F18" s="4"/>
      <c r="G18" s="4"/>
      <c r="H18" s="4"/>
      <c r="I18" s="4"/>
      <c r="J18" s="4"/>
      <c r="K18" s="4"/>
      <c r="L18" s="4"/>
      <c r="M18" s="4"/>
      <c r="N18" s="4"/>
      <c r="O18" s="4"/>
      <c r="P18" s="4"/>
      <c r="Q18" s="4"/>
      <c r="R18" s="4"/>
      <c r="S18" s="4"/>
      <c r="T18" s="4"/>
      <c r="U18" s="4"/>
      <c r="V18" s="4"/>
      <c r="W18" s="4"/>
      <c r="X18" s="4"/>
      <c r="Y18" s="4"/>
      <c r="Z18" s="4"/>
    </row>
    <row r="19" ht="33.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33.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33.0"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33.0"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33.0"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33.0"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33.0"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33.0"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33.0"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33.0"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33.0"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33.0"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33.0"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33.0"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33.0"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33.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33.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33.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33.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33.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33.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33.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33.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33.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33.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33.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33.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33.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33.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33.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33.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33.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33.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33.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33.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33.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33.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33.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33.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33.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33.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33.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33.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33.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33.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33.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33.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33.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33.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33.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33.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33.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33.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33.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33.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33.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33.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33.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33.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33.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33.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33.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33.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33.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33.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33.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33.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33.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33.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33.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33.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33.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33.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33.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33.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33.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33.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33.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33.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33.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33.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33.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33.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33.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33.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33.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33.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33.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33.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33.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33.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33.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33.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33.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33.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33.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33.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33.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33.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33.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33.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33.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33.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33.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33.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33.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33.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33.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33.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33.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33.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33.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33.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33.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33.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33.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33.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33.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33.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33.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33.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33.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33.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33.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33.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33.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33.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33.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33.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33.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33.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33.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33.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33.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33.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33.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33.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33.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33.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33.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33.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33.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33.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33.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33.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33.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33.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33.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33.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33.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33.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33.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33.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33.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33.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33.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33.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33.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33.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33.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33.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33.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33.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33.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33.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33.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33.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33.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33.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33.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33.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33.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33.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33.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33.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33.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33.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33.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33.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33.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33.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33.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33.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33.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33.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33.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33.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33.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33.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33.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33.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33.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33.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33.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33.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33.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33.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33.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33.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33.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33.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33.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1" width="8.89"/>
  </cols>
  <sheetData>
    <row r="1" ht="27.0" customHeight="1">
      <c r="A1" s="2" t="s">
        <v>2</v>
      </c>
      <c r="B1" s="4"/>
      <c r="C1" s="4"/>
      <c r="D1" s="4"/>
      <c r="E1" s="4"/>
      <c r="F1" s="4"/>
      <c r="G1" s="4"/>
      <c r="H1" s="4"/>
      <c r="I1" s="4"/>
      <c r="J1" s="4"/>
      <c r="K1" s="4"/>
      <c r="L1" s="4"/>
      <c r="M1" s="4"/>
      <c r="N1" s="4"/>
      <c r="O1" s="4"/>
      <c r="P1" s="4"/>
      <c r="Q1" s="4"/>
      <c r="R1" s="4"/>
      <c r="S1" s="4"/>
      <c r="T1" s="4"/>
      <c r="U1" s="4"/>
      <c r="V1" s="4"/>
      <c r="W1" s="4"/>
      <c r="X1" s="4"/>
      <c r="Y1" s="4"/>
      <c r="Z1" s="4"/>
    </row>
    <row r="2" ht="27.0" customHeight="1">
      <c r="A2" s="10" t="s">
        <v>6</v>
      </c>
      <c r="B2" s="4"/>
      <c r="C2" s="4"/>
      <c r="D2" s="4"/>
      <c r="E2" s="4"/>
      <c r="F2" s="4"/>
      <c r="G2" s="4"/>
      <c r="H2" s="4"/>
      <c r="I2" s="4"/>
      <c r="J2" s="4"/>
      <c r="K2" s="4"/>
      <c r="L2" s="4"/>
      <c r="M2" s="4"/>
      <c r="N2" s="4"/>
      <c r="O2" s="4"/>
      <c r="P2" s="4"/>
      <c r="Q2" s="4"/>
      <c r="R2" s="4"/>
      <c r="S2" s="4"/>
      <c r="T2" s="4"/>
      <c r="U2" s="4"/>
      <c r="V2" s="4"/>
      <c r="W2" s="4"/>
      <c r="X2" s="4"/>
      <c r="Y2" s="4"/>
      <c r="Z2" s="4"/>
    </row>
    <row r="3" ht="27.0" customHeight="1">
      <c r="A3" s="10" t="s">
        <v>9</v>
      </c>
      <c r="B3" s="4"/>
      <c r="C3" s="4"/>
      <c r="D3" s="4"/>
      <c r="E3" s="4"/>
      <c r="F3" s="4"/>
      <c r="G3" s="4"/>
      <c r="H3" s="4"/>
      <c r="I3" s="4"/>
      <c r="J3" s="4"/>
      <c r="K3" s="4"/>
      <c r="L3" s="4"/>
      <c r="M3" s="4"/>
      <c r="N3" s="4"/>
      <c r="O3" s="4"/>
      <c r="P3" s="4"/>
      <c r="Q3" s="4"/>
      <c r="R3" s="4"/>
      <c r="S3" s="4"/>
      <c r="T3" s="4"/>
      <c r="U3" s="4"/>
      <c r="V3" s="4"/>
      <c r="W3" s="4"/>
      <c r="X3" s="4"/>
      <c r="Y3" s="4"/>
      <c r="Z3" s="4"/>
    </row>
    <row r="4" ht="27.0" customHeight="1">
      <c r="A4" s="10" t="s">
        <v>17</v>
      </c>
      <c r="B4" s="4"/>
      <c r="C4" s="4"/>
      <c r="D4" s="4"/>
      <c r="E4" s="4"/>
      <c r="F4" s="4"/>
      <c r="G4" s="4"/>
      <c r="H4" s="4"/>
      <c r="I4" s="4"/>
      <c r="J4" s="4"/>
      <c r="K4" s="4"/>
      <c r="L4" s="4"/>
      <c r="M4" s="4"/>
      <c r="N4" s="4"/>
      <c r="O4" s="4"/>
      <c r="P4" s="4"/>
      <c r="Q4" s="4"/>
      <c r="R4" s="4"/>
      <c r="S4" s="4"/>
      <c r="T4" s="4"/>
      <c r="U4" s="4"/>
      <c r="V4" s="4"/>
      <c r="W4" s="4"/>
      <c r="X4" s="4"/>
      <c r="Y4" s="4"/>
      <c r="Z4" s="4"/>
    </row>
    <row r="5" ht="27.0" customHeight="1">
      <c r="A5" s="29"/>
      <c r="B5" s="4"/>
      <c r="C5" s="4"/>
      <c r="D5" s="4"/>
      <c r="E5" s="4"/>
      <c r="F5" s="4"/>
      <c r="G5" s="4"/>
      <c r="H5" s="4"/>
      <c r="I5" s="4"/>
      <c r="J5" s="4"/>
      <c r="K5" s="4"/>
      <c r="L5" s="4"/>
      <c r="M5" s="4"/>
      <c r="N5" s="4"/>
      <c r="O5" s="4"/>
      <c r="P5" s="4"/>
      <c r="Q5" s="4"/>
      <c r="R5" s="4"/>
      <c r="S5" s="4"/>
      <c r="T5" s="4"/>
      <c r="U5" s="4"/>
      <c r="V5" s="4"/>
      <c r="W5" s="4"/>
      <c r="X5" s="4"/>
      <c r="Y5" s="4"/>
      <c r="Z5" s="4"/>
    </row>
    <row r="6" ht="27.0" customHeight="1">
      <c r="A6" s="2" t="s">
        <v>53</v>
      </c>
      <c r="B6" s="4"/>
      <c r="C6" s="4"/>
      <c r="D6" s="4"/>
      <c r="E6" s="4"/>
      <c r="F6" s="4"/>
      <c r="G6" s="4"/>
      <c r="H6" s="4"/>
      <c r="I6" s="4"/>
      <c r="J6" s="4"/>
      <c r="K6" s="4"/>
      <c r="L6" s="4"/>
      <c r="M6" s="4"/>
      <c r="N6" s="4"/>
      <c r="O6" s="4"/>
      <c r="P6" s="4"/>
      <c r="Q6" s="4"/>
      <c r="R6" s="4"/>
      <c r="S6" s="4"/>
      <c r="T6" s="4"/>
      <c r="U6" s="4"/>
      <c r="V6" s="4"/>
      <c r="W6" s="4"/>
      <c r="X6" s="4"/>
      <c r="Y6" s="4"/>
      <c r="Z6" s="4"/>
    </row>
    <row r="7" ht="27.0" customHeight="1">
      <c r="A7" s="10" t="s">
        <v>6</v>
      </c>
      <c r="B7" s="4"/>
      <c r="C7" s="4"/>
      <c r="D7" s="4"/>
      <c r="E7" s="4"/>
      <c r="F7" s="4"/>
      <c r="G7" s="4"/>
      <c r="H7" s="4"/>
      <c r="I7" s="4"/>
      <c r="J7" s="4"/>
      <c r="K7" s="4"/>
      <c r="L7" s="4"/>
      <c r="M7" s="4"/>
      <c r="N7" s="4"/>
      <c r="O7" s="4"/>
      <c r="P7" s="4"/>
      <c r="Q7" s="4"/>
      <c r="R7" s="4"/>
      <c r="S7" s="4"/>
      <c r="T7" s="4"/>
      <c r="U7" s="4"/>
      <c r="V7" s="4"/>
      <c r="W7" s="4"/>
      <c r="X7" s="4"/>
      <c r="Y7" s="4"/>
      <c r="Z7" s="4"/>
    </row>
    <row r="8" ht="27.0" customHeight="1">
      <c r="A8" s="10" t="s">
        <v>86</v>
      </c>
      <c r="B8" s="4"/>
      <c r="C8" s="4"/>
      <c r="D8" s="4"/>
      <c r="E8" s="4"/>
      <c r="F8" s="4"/>
      <c r="G8" s="4"/>
      <c r="H8" s="4"/>
      <c r="I8" s="4"/>
      <c r="J8" s="4"/>
      <c r="K8" s="4"/>
      <c r="L8" s="4"/>
      <c r="M8" s="4"/>
      <c r="N8" s="4"/>
      <c r="O8" s="4"/>
      <c r="P8" s="4"/>
      <c r="Q8" s="4"/>
      <c r="R8" s="4"/>
      <c r="S8" s="4"/>
      <c r="T8" s="4"/>
      <c r="U8" s="4"/>
      <c r="V8" s="4"/>
      <c r="W8" s="4"/>
      <c r="X8" s="4"/>
      <c r="Y8" s="4"/>
      <c r="Z8" s="4"/>
    </row>
    <row r="9" ht="27.0" customHeight="1">
      <c r="A9" s="10" t="s">
        <v>103</v>
      </c>
      <c r="B9" s="4"/>
      <c r="C9" s="4"/>
      <c r="D9" s="4"/>
      <c r="E9" s="4"/>
      <c r="F9" s="4"/>
      <c r="G9" s="4"/>
      <c r="H9" s="4"/>
      <c r="I9" s="4"/>
      <c r="J9" s="4"/>
      <c r="K9" s="4"/>
      <c r="L9" s="4"/>
      <c r="M9" s="4"/>
      <c r="N9" s="4"/>
      <c r="O9" s="4"/>
      <c r="P9" s="4"/>
      <c r="Q9" s="4"/>
      <c r="R9" s="4"/>
      <c r="S9" s="4"/>
      <c r="T9" s="4"/>
      <c r="U9" s="4"/>
      <c r="V9" s="4"/>
      <c r="W9" s="4"/>
      <c r="X9" s="4"/>
      <c r="Y9" s="4"/>
      <c r="Z9" s="4"/>
    </row>
    <row r="10" ht="57.0" customHeight="1">
      <c r="A10" s="10" t="s">
        <v>115</v>
      </c>
      <c r="B10" s="4"/>
      <c r="C10" s="4"/>
      <c r="D10" s="4"/>
      <c r="E10" s="4"/>
      <c r="F10" s="4"/>
      <c r="G10" s="4"/>
      <c r="H10" s="4"/>
      <c r="I10" s="4"/>
      <c r="J10" s="4"/>
      <c r="K10" s="4"/>
      <c r="L10" s="4"/>
      <c r="M10" s="4"/>
      <c r="N10" s="4"/>
      <c r="O10" s="4"/>
      <c r="P10" s="4"/>
      <c r="Q10" s="4"/>
      <c r="R10" s="4"/>
      <c r="S10" s="4"/>
      <c r="T10" s="4"/>
      <c r="U10" s="4"/>
      <c r="V10" s="4"/>
      <c r="W10" s="4"/>
      <c r="X10" s="4"/>
      <c r="Y10" s="4"/>
      <c r="Z10" s="4"/>
    </row>
    <row r="11" ht="27.0" customHeight="1">
      <c r="A11" s="10" t="s">
        <v>122</v>
      </c>
      <c r="B11" s="4"/>
      <c r="C11" s="4"/>
      <c r="D11" s="4"/>
      <c r="E11" s="4"/>
      <c r="F11" s="4"/>
      <c r="G11" s="4"/>
      <c r="H11" s="4"/>
      <c r="I11" s="4"/>
      <c r="J11" s="4"/>
      <c r="K11" s="4"/>
      <c r="L11" s="4"/>
      <c r="M11" s="4"/>
      <c r="N11" s="4"/>
      <c r="O11" s="4"/>
      <c r="P11" s="4"/>
      <c r="Q11" s="4"/>
      <c r="R11" s="4"/>
      <c r="S11" s="4"/>
      <c r="T11" s="4"/>
      <c r="U11" s="4"/>
      <c r="V11" s="4"/>
      <c r="W11" s="4"/>
      <c r="X11" s="4"/>
      <c r="Y11" s="4"/>
      <c r="Z11" s="4"/>
    </row>
    <row r="12" ht="27.0" customHeight="1">
      <c r="A12" s="10" t="s">
        <v>146</v>
      </c>
      <c r="B12" s="4"/>
      <c r="C12" s="4"/>
      <c r="D12" s="4"/>
      <c r="E12" s="4"/>
      <c r="F12" s="4"/>
      <c r="G12" s="4"/>
      <c r="H12" s="4"/>
      <c r="I12" s="4"/>
      <c r="J12" s="4"/>
      <c r="K12" s="4"/>
      <c r="L12" s="4"/>
      <c r="M12" s="4"/>
      <c r="N12" s="4"/>
      <c r="O12" s="4"/>
      <c r="P12" s="4"/>
      <c r="Q12" s="4"/>
      <c r="R12" s="4"/>
      <c r="S12" s="4"/>
      <c r="T12" s="4"/>
      <c r="U12" s="4"/>
      <c r="V12" s="4"/>
      <c r="W12" s="4"/>
      <c r="X12" s="4"/>
      <c r="Y12" s="4"/>
      <c r="Z12" s="4"/>
    </row>
    <row r="13" ht="27.0" customHeight="1">
      <c r="A13" s="29"/>
      <c r="B13" s="4"/>
      <c r="C13" s="4"/>
      <c r="D13" s="4"/>
      <c r="E13" s="4"/>
      <c r="F13" s="4"/>
      <c r="G13" s="4"/>
      <c r="H13" s="4"/>
      <c r="I13" s="4"/>
      <c r="J13" s="4"/>
      <c r="K13" s="4"/>
      <c r="L13" s="4"/>
      <c r="M13" s="4"/>
      <c r="N13" s="4"/>
      <c r="O13" s="4"/>
      <c r="P13" s="4"/>
      <c r="Q13" s="4"/>
      <c r="R13" s="4"/>
      <c r="S13" s="4"/>
      <c r="T13" s="4"/>
      <c r="U13" s="4"/>
      <c r="V13" s="4"/>
      <c r="W13" s="4"/>
      <c r="X13" s="4"/>
      <c r="Y13" s="4"/>
      <c r="Z13" s="4"/>
    </row>
    <row r="14" ht="27.0" customHeight="1">
      <c r="A14" s="2" t="s">
        <v>174</v>
      </c>
      <c r="B14" s="4"/>
      <c r="C14" s="4"/>
      <c r="D14" s="4"/>
      <c r="E14" s="4"/>
      <c r="F14" s="4"/>
      <c r="G14" s="4"/>
      <c r="H14" s="4"/>
      <c r="I14" s="4"/>
      <c r="J14" s="4"/>
      <c r="K14" s="4"/>
      <c r="L14" s="4"/>
      <c r="M14" s="4"/>
      <c r="N14" s="4"/>
      <c r="O14" s="4"/>
      <c r="P14" s="4"/>
      <c r="Q14" s="4"/>
      <c r="R14" s="4"/>
      <c r="S14" s="4"/>
      <c r="T14" s="4"/>
      <c r="U14" s="4"/>
      <c r="V14" s="4"/>
      <c r="W14" s="4"/>
      <c r="X14" s="4"/>
      <c r="Y14" s="4"/>
      <c r="Z14" s="4"/>
    </row>
    <row r="15" ht="27.0" customHeight="1">
      <c r="A15" s="29"/>
      <c r="B15" s="4"/>
      <c r="C15" s="4"/>
      <c r="D15" s="4"/>
      <c r="E15" s="4"/>
      <c r="F15" s="4"/>
      <c r="G15" s="4"/>
      <c r="H15" s="4"/>
      <c r="I15" s="4"/>
      <c r="J15" s="4"/>
      <c r="K15" s="4"/>
      <c r="L15" s="4"/>
      <c r="M15" s="4"/>
      <c r="N15" s="4"/>
      <c r="O15" s="4"/>
      <c r="P15" s="4"/>
      <c r="Q15" s="4"/>
      <c r="R15" s="4"/>
      <c r="S15" s="4"/>
      <c r="T15" s="4"/>
      <c r="U15" s="4"/>
      <c r="V15" s="4"/>
      <c r="W15" s="4"/>
      <c r="X15" s="4"/>
      <c r="Y15" s="4"/>
      <c r="Z15" s="4"/>
    </row>
    <row r="16" ht="27.0" customHeight="1">
      <c r="A16" s="65" t="s">
        <v>181</v>
      </c>
      <c r="B16" s="4"/>
      <c r="C16" s="4"/>
      <c r="D16" s="4"/>
      <c r="E16" s="4"/>
      <c r="F16" s="4"/>
      <c r="G16" s="4"/>
      <c r="H16" s="4"/>
      <c r="I16" s="4"/>
      <c r="J16" s="4"/>
      <c r="K16" s="4"/>
      <c r="L16" s="4"/>
      <c r="M16" s="4"/>
      <c r="N16" s="4"/>
      <c r="O16" s="4"/>
      <c r="P16" s="4"/>
      <c r="Q16" s="4"/>
      <c r="R16" s="4"/>
      <c r="S16" s="4"/>
      <c r="T16" s="4"/>
      <c r="U16" s="4"/>
      <c r="V16" s="4"/>
      <c r="W16" s="4"/>
      <c r="X16" s="4"/>
      <c r="Y16" s="4"/>
      <c r="Z16" s="4"/>
    </row>
    <row r="17" ht="27.0" customHeight="1">
      <c r="A17" s="66" t="s">
        <v>182</v>
      </c>
      <c r="B17" s="4"/>
      <c r="C17" s="4"/>
      <c r="D17" s="4"/>
      <c r="E17" s="4"/>
      <c r="F17" s="4"/>
      <c r="G17" s="4"/>
      <c r="H17" s="4"/>
      <c r="I17" s="4"/>
      <c r="J17" s="4"/>
      <c r="K17" s="4"/>
      <c r="L17" s="4"/>
      <c r="M17" s="4"/>
      <c r="N17" s="4"/>
      <c r="O17" s="4"/>
      <c r="P17" s="4"/>
      <c r="Q17" s="4"/>
      <c r="R17" s="4"/>
      <c r="S17" s="4"/>
      <c r="T17" s="4"/>
      <c r="U17" s="4"/>
      <c r="V17" s="4"/>
      <c r="W17" s="4"/>
      <c r="X17" s="4"/>
      <c r="Y17" s="4"/>
      <c r="Z17" s="4"/>
    </row>
    <row r="18" ht="27.0" customHeight="1">
      <c r="A18" s="65" t="s">
        <v>183</v>
      </c>
      <c r="B18" s="4"/>
      <c r="C18" s="4"/>
      <c r="D18" s="4"/>
      <c r="E18" s="4"/>
      <c r="F18" s="4"/>
      <c r="G18" s="4"/>
      <c r="H18" s="4"/>
      <c r="I18" s="4"/>
      <c r="J18" s="4"/>
      <c r="K18" s="4"/>
      <c r="L18" s="4"/>
      <c r="M18" s="4"/>
      <c r="N18" s="4"/>
      <c r="O18" s="4"/>
      <c r="P18" s="4"/>
      <c r="Q18" s="4"/>
      <c r="R18" s="4"/>
      <c r="S18" s="4"/>
      <c r="T18" s="4"/>
      <c r="U18" s="4"/>
      <c r="V18" s="4"/>
      <c r="W18" s="4"/>
      <c r="X18" s="4"/>
      <c r="Y18" s="4"/>
      <c r="Z18" s="4"/>
    </row>
    <row r="19" ht="27.0" customHeight="1">
      <c r="A19" s="65" t="s">
        <v>184</v>
      </c>
      <c r="B19" s="4"/>
      <c r="C19" s="4"/>
      <c r="D19" s="4"/>
      <c r="E19" s="4"/>
      <c r="F19" s="4"/>
      <c r="G19" s="4"/>
      <c r="H19" s="4"/>
      <c r="I19" s="4"/>
      <c r="J19" s="4"/>
      <c r="K19" s="4"/>
      <c r="L19" s="4"/>
      <c r="M19" s="4"/>
      <c r="N19" s="4"/>
      <c r="O19" s="4"/>
      <c r="P19" s="4"/>
      <c r="Q19" s="4"/>
      <c r="R19" s="4"/>
      <c r="S19" s="4"/>
      <c r="T19" s="4"/>
      <c r="U19" s="4"/>
      <c r="V19" s="4"/>
      <c r="W19" s="4"/>
      <c r="X19" s="4"/>
      <c r="Y19" s="4"/>
      <c r="Z19" s="4"/>
    </row>
    <row r="20" ht="27.0" customHeight="1">
      <c r="A20" s="29"/>
      <c r="B20" s="4"/>
      <c r="C20" s="4"/>
      <c r="D20" s="4"/>
      <c r="E20" s="4"/>
      <c r="F20" s="4"/>
      <c r="G20" s="4"/>
      <c r="H20" s="4"/>
      <c r="I20" s="4"/>
      <c r="J20" s="4"/>
      <c r="K20" s="4"/>
      <c r="L20" s="4"/>
      <c r="M20" s="4"/>
      <c r="N20" s="4"/>
      <c r="O20" s="4"/>
      <c r="P20" s="4"/>
      <c r="Q20" s="4"/>
      <c r="R20" s="4"/>
      <c r="S20" s="4"/>
      <c r="T20" s="4"/>
      <c r="U20" s="4"/>
      <c r="V20" s="4"/>
      <c r="W20" s="4"/>
      <c r="X20" s="4"/>
      <c r="Y20" s="4"/>
      <c r="Z20" s="4"/>
    </row>
    <row r="21" ht="27.0" customHeight="1">
      <c r="A21" s="2" t="s">
        <v>185</v>
      </c>
      <c r="B21" s="4"/>
      <c r="C21" s="4"/>
      <c r="D21" s="4"/>
      <c r="E21" s="4"/>
      <c r="F21" s="4"/>
      <c r="G21" s="4"/>
      <c r="H21" s="4"/>
      <c r="I21" s="4"/>
      <c r="J21" s="4"/>
      <c r="K21" s="4"/>
      <c r="L21" s="4"/>
      <c r="M21" s="4"/>
      <c r="N21" s="4"/>
      <c r="O21" s="4"/>
      <c r="P21" s="4"/>
      <c r="Q21" s="4"/>
      <c r="R21" s="4"/>
      <c r="S21" s="4"/>
      <c r="T21" s="4"/>
      <c r="U21" s="4"/>
      <c r="V21" s="4"/>
      <c r="W21" s="4"/>
      <c r="X21" s="4"/>
      <c r="Y21" s="4"/>
      <c r="Z21" s="4"/>
    </row>
    <row r="22" ht="27.0" customHeight="1">
      <c r="A22" s="29" t="s">
        <v>186</v>
      </c>
      <c r="B22" s="4"/>
      <c r="C22" s="4"/>
      <c r="D22" s="4"/>
      <c r="E22" s="4"/>
      <c r="F22" s="4"/>
      <c r="G22" s="4"/>
      <c r="H22" s="4"/>
      <c r="I22" s="4"/>
      <c r="J22" s="4"/>
      <c r="K22" s="4"/>
      <c r="L22" s="4"/>
      <c r="M22" s="4"/>
      <c r="N22" s="4"/>
      <c r="O22" s="4"/>
      <c r="P22" s="4"/>
      <c r="Q22" s="4"/>
      <c r="R22" s="4"/>
      <c r="S22" s="4"/>
      <c r="T22" s="4"/>
      <c r="U22" s="4"/>
      <c r="V22" s="4"/>
      <c r="W22" s="4"/>
      <c r="X22" s="4"/>
      <c r="Y22" s="4"/>
      <c r="Z22" s="4"/>
    </row>
    <row r="23" ht="27.0" customHeight="1">
      <c r="A23" s="10" t="s">
        <v>187</v>
      </c>
      <c r="B23" s="4"/>
      <c r="C23" s="4"/>
      <c r="D23" s="4"/>
      <c r="E23" s="4"/>
      <c r="F23" s="4"/>
      <c r="G23" s="4"/>
      <c r="H23" s="4"/>
      <c r="I23" s="4"/>
      <c r="J23" s="4"/>
      <c r="K23" s="4"/>
      <c r="L23" s="4"/>
      <c r="M23" s="4"/>
      <c r="N23" s="4"/>
      <c r="O23" s="4"/>
      <c r="P23" s="4"/>
      <c r="Q23" s="4"/>
      <c r="R23" s="4"/>
      <c r="S23" s="4"/>
      <c r="T23" s="4"/>
      <c r="U23" s="4"/>
      <c r="V23" s="4"/>
      <c r="W23" s="4"/>
      <c r="X23" s="4"/>
      <c r="Y23" s="4"/>
      <c r="Z23" s="4"/>
    </row>
    <row r="24" ht="27.0" customHeight="1">
      <c r="A24" s="10" t="s">
        <v>188</v>
      </c>
      <c r="B24" s="4"/>
      <c r="C24" s="4"/>
      <c r="D24" s="4"/>
      <c r="E24" s="4"/>
      <c r="F24" s="4"/>
      <c r="G24" s="4"/>
      <c r="H24" s="4"/>
      <c r="I24" s="4"/>
      <c r="J24" s="4"/>
      <c r="K24" s="4"/>
      <c r="L24" s="4"/>
      <c r="M24" s="4"/>
      <c r="N24" s="4"/>
      <c r="O24" s="4"/>
      <c r="P24" s="4"/>
      <c r="Q24" s="4"/>
      <c r="R24" s="4"/>
      <c r="S24" s="4"/>
      <c r="T24" s="4"/>
      <c r="U24" s="4"/>
      <c r="V24" s="4"/>
      <c r="W24" s="4"/>
      <c r="X24" s="4"/>
      <c r="Y24" s="4"/>
      <c r="Z24" s="4"/>
    </row>
    <row r="25" ht="27.0"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27.0"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27.0"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27.0"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27.0"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27.0"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27.0"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27.0"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27.0"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27.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27.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27.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27.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27.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27.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27.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27.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27.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27.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27.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27.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27.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27.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27.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27.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27.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27.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27.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27.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27.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27.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27.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27.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27.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27.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27.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27.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27.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27.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27.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27.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27.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27.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27.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27.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27.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27.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27.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27.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27.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27.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27.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27.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27.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27.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27.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27.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27.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27.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27.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27.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27.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27.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27.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27.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27.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27.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27.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27.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27.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27.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27.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27.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27.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27.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27.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7.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7.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7.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7.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7.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7.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7.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7.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7.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7.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7.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7.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7.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7.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7.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7.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7.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7.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7.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7.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7.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7.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7.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7.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7.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7.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7.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7.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7.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7.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7.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7.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7.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7.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7.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7.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7.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7.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7.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7.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7.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7.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7.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7.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7.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7.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7.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7.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7.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7.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7.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7.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7.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7.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7.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7.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7.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7.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7.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7.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7.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7.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7.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7.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7.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7.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7.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7.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7.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7.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7.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7.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7.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7.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7.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7.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7.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7.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7.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7.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7.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7.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7.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7.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7.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7.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7.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7.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7.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7.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7.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7.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7.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7.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7.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7.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7.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7.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7.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7.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7.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7.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7.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7.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7.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7.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7.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7.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7.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7.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7.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7.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7.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7.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7.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7.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7.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7.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7.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7.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7.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7.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7.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7.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8" width="11.0"/>
  </cols>
  <sheetData>
    <row r="1" ht="15.75" customHeight="1">
      <c r="A1" s="44"/>
      <c r="B1" s="72" t="s">
        <v>191</v>
      </c>
      <c r="C1" s="44"/>
      <c r="D1" s="72" t="s">
        <v>191</v>
      </c>
      <c r="E1" s="44"/>
      <c r="F1" s="72" t="s">
        <v>192</v>
      </c>
      <c r="G1" s="44"/>
      <c r="H1" s="72" t="s">
        <v>193</v>
      </c>
      <c r="I1" s="44"/>
      <c r="J1" s="44"/>
      <c r="K1" s="44"/>
      <c r="L1" s="44"/>
      <c r="M1" s="44"/>
      <c r="N1" s="44"/>
      <c r="O1" s="44"/>
      <c r="P1" s="44"/>
      <c r="Q1" s="44"/>
      <c r="R1" s="44"/>
      <c r="S1" s="44"/>
      <c r="T1" s="44"/>
      <c r="U1" s="44"/>
      <c r="V1" s="44"/>
      <c r="W1" s="44"/>
      <c r="X1" s="44"/>
      <c r="Y1" s="44"/>
      <c r="Z1" s="44"/>
    </row>
    <row r="2" ht="15.75" customHeight="1">
      <c r="A2" s="72" t="s">
        <v>194</v>
      </c>
      <c r="B2" s="73" t="s">
        <v>195</v>
      </c>
      <c r="C2" s="72" t="s">
        <v>196</v>
      </c>
      <c r="D2" s="74" t="s">
        <v>197</v>
      </c>
      <c r="E2" s="72" t="s">
        <v>198</v>
      </c>
      <c r="F2" s="39" t="s">
        <v>199</v>
      </c>
      <c r="G2" s="44"/>
      <c r="H2" s="72" t="s">
        <v>200</v>
      </c>
      <c r="I2" s="44"/>
      <c r="J2" s="44"/>
      <c r="K2" s="44"/>
      <c r="L2" s="44"/>
      <c r="M2" s="44"/>
      <c r="N2" s="44"/>
      <c r="O2" s="44"/>
      <c r="P2" s="44"/>
      <c r="Q2" s="44"/>
      <c r="R2" s="44"/>
      <c r="S2" s="44"/>
      <c r="T2" s="44"/>
      <c r="U2" s="44"/>
      <c r="V2" s="44"/>
      <c r="W2" s="44"/>
      <c r="X2" s="44"/>
      <c r="Y2" s="44"/>
      <c r="Z2" s="44"/>
    </row>
    <row r="3" ht="15.75" customHeight="1">
      <c r="A3" s="44"/>
      <c r="B3" s="72" t="s">
        <v>201</v>
      </c>
      <c r="C3" s="44"/>
      <c r="D3" s="72" t="s">
        <v>202</v>
      </c>
      <c r="E3" s="44"/>
      <c r="F3" s="72" t="s">
        <v>169</v>
      </c>
      <c r="G3" s="44"/>
      <c r="H3" s="72" t="s">
        <v>203</v>
      </c>
      <c r="I3" s="44"/>
      <c r="J3" s="44"/>
      <c r="K3" s="44"/>
      <c r="L3" s="44"/>
      <c r="M3" s="44"/>
      <c r="N3" s="44"/>
      <c r="O3" s="44"/>
      <c r="P3" s="44"/>
      <c r="Q3" s="44"/>
      <c r="R3" s="44"/>
      <c r="S3" s="44"/>
      <c r="T3" s="44"/>
      <c r="U3" s="44"/>
      <c r="V3" s="44"/>
      <c r="W3" s="44"/>
      <c r="X3" s="44"/>
      <c r="Y3" s="44"/>
      <c r="Z3" s="44"/>
    </row>
    <row r="4" ht="15.75" customHeight="1">
      <c r="A4" s="44"/>
      <c r="B4" s="72" t="s">
        <v>204</v>
      </c>
      <c r="C4" s="44"/>
      <c r="D4" s="72" t="s">
        <v>205</v>
      </c>
      <c r="E4" s="44"/>
      <c r="F4" s="72" t="s">
        <v>206</v>
      </c>
      <c r="G4" s="44"/>
      <c r="H4" s="72" t="s">
        <v>207</v>
      </c>
      <c r="I4" s="44"/>
      <c r="J4" s="44"/>
      <c r="K4" s="44"/>
      <c r="L4" s="44"/>
      <c r="M4" s="44"/>
      <c r="N4" s="44"/>
      <c r="O4" s="44"/>
      <c r="P4" s="44"/>
      <c r="Q4" s="44"/>
      <c r="R4" s="44"/>
      <c r="S4" s="44"/>
      <c r="T4" s="44"/>
      <c r="U4" s="44"/>
      <c r="V4" s="44"/>
      <c r="W4" s="44"/>
      <c r="X4" s="44"/>
      <c r="Y4" s="44"/>
      <c r="Z4" s="44"/>
    </row>
    <row r="5" ht="15.75" customHeight="1">
      <c r="A5" s="44"/>
      <c r="B5" s="72" t="s">
        <v>208</v>
      </c>
      <c r="C5" s="44"/>
      <c r="D5" s="72" t="s">
        <v>209</v>
      </c>
      <c r="E5" s="44"/>
      <c r="F5" s="72" t="s">
        <v>210</v>
      </c>
      <c r="G5" s="44"/>
      <c r="H5" s="44"/>
      <c r="I5" s="44"/>
      <c r="J5" s="44"/>
      <c r="K5" s="44"/>
      <c r="L5" s="44"/>
      <c r="M5" s="44"/>
      <c r="N5" s="44"/>
      <c r="O5" s="44"/>
      <c r="P5" s="44"/>
      <c r="Q5" s="44"/>
      <c r="R5" s="44"/>
      <c r="S5" s="44"/>
      <c r="T5" s="44"/>
      <c r="U5" s="44"/>
      <c r="V5" s="44"/>
      <c r="W5" s="44"/>
      <c r="X5" s="44"/>
      <c r="Y5" s="44"/>
      <c r="Z5" s="44"/>
    </row>
    <row r="6" ht="15.75" customHeight="1">
      <c r="A6" s="44"/>
      <c r="B6" s="72" t="s">
        <v>211</v>
      </c>
      <c r="C6" s="44"/>
      <c r="D6" s="72" t="s">
        <v>212</v>
      </c>
      <c r="E6" s="44"/>
      <c r="F6" s="72" t="s">
        <v>213</v>
      </c>
      <c r="G6" s="44"/>
      <c r="H6" s="44"/>
      <c r="I6" s="44"/>
      <c r="J6" s="44"/>
      <c r="K6" s="44"/>
      <c r="L6" s="44"/>
      <c r="M6" s="44"/>
      <c r="N6" s="44"/>
      <c r="O6" s="44"/>
      <c r="P6" s="44"/>
      <c r="Q6" s="44"/>
      <c r="R6" s="44"/>
      <c r="S6" s="44"/>
      <c r="T6" s="44"/>
      <c r="U6" s="44"/>
      <c r="V6" s="44"/>
      <c r="W6" s="44"/>
      <c r="X6" s="44"/>
      <c r="Y6" s="44"/>
      <c r="Z6" s="44"/>
    </row>
    <row r="7" ht="15.75" customHeight="1">
      <c r="A7" s="44"/>
      <c r="B7" s="72" t="s">
        <v>214</v>
      </c>
      <c r="C7" s="44"/>
      <c r="D7" s="72" t="s">
        <v>215</v>
      </c>
      <c r="E7" s="44"/>
      <c r="F7" s="72" t="s">
        <v>180</v>
      </c>
      <c r="G7" s="44"/>
      <c r="H7" s="44"/>
      <c r="I7" s="44"/>
      <c r="J7" s="44"/>
      <c r="K7" s="44"/>
      <c r="L7" s="44"/>
      <c r="M7" s="44"/>
      <c r="N7" s="44"/>
      <c r="O7" s="44"/>
      <c r="P7" s="44"/>
      <c r="Q7" s="44"/>
      <c r="R7" s="44"/>
      <c r="S7" s="44"/>
      <c r="T7" s="44"/>
      <c r="U7" s="44"/>
      <c r="V7" s="44"/>
      <c r="W7" s="44"/>
      <c r="X7" s="44"/>
      <c r="Y7" s="44"/>
      <c r="Z7" s="44"/>
    </row>
    <row r="8" ht="15.75" customHeight="1">
      <c r="A8" s="44"/>
      <c r="B8" s="72" t="s">
        <v>216</v>
      </c>
      <c r="C8" s="44"/>
      <c r="D8" s="72" t="s">
        <v>217</v>
      </c>
      <c r="E8" s="44"/>
      <c r="F8" s="44"/>
      <c r="G8" s="44"/>
      <c r="H8" s="44"/>
      <c r="I8" s="44"/>
      <c r="J8" s="44"/>
      <c r="K8" s="44"/>
      <c r="L8" s="44"/>
      <c r="M8" s="44"/>
      <c r="N8" s="44"/>
      <c r="O8" s="44"/>
      <c r="P8" s="44"/>
      <c r="Q8" s="44"/>
      <c r="R8" s="44"/>
      <c r="S8" s="44"/>
      <c r="T8" s="44"/>
      <c r="U8" s="44"/>
      <c r="V8" s="44"/>
      <c r="W8" s="44"/>
      <c r="X8" s="44"/>
      <c r="Y8" s="44"/>
      <c r="Z8" s="44"/>
    </row>
    <row r="9" ht="15.75" customHeight="1">
      <c r="A9" s="44"/>
      <c r="B9" s="44"/>
      <c r="C9" s="44"/>
      <c r="D9" s="72" t="s">
        <v>218</v>
      </c>
      <c r="E9" s="44"/>
      <c r="F9" s="44"/>
      <c r="G9" s="44"/>
      <c r="H9" s="44"/>
      <c r="I9" s="44"/>
      <c r="J9" s="44"/>
      <c r="K9" s="44"/>
      <c r="L9" s="44"/>
      <c r="M9" s="44"/>
      <c r="N9" s="44"/>
      <c r="O9" s="44"/>
      <c r="P9" s="44"/>
      <c r="Q9" s="44"/>
      <c r="R9" s="44"/>
      <c r="S9" s="44"/>
      <c r="T9" s="44"/>
      <c r="U9" s="44"/>
      <c r="V9" s="44"/>
      <c r="W9" s="44"/>
      <c r="X9" s="44"/>
      <c r="Y9" s="44"/>
      <c r="Z9" s="44"/>
    </row>
    <row r="10" ht="15.75" customHeight="1">
      <c r="A10" s="44"/>
      <c r="B10" s="44"/>
      <c r="C10" s="44"/>
      <c r="D10" s="72" t="s">
        <v>219</v>
      </c>
      <c r="E10" s="44"/>
      <c r="F10" s="44"/>
      <c r="G10" s="44"/>
      <c r="H10" s="44"/>
      <c r="I10" s="44"/>
      <c r="J10" s="44"/>
      <c r="K10" s="44"/>
      <c r="L10" s="44"/>
      <c r="M10" s="44"/>
      <c r="N10" s="44"/>
      <c r="O10" s="44"/>
      <c r="P10" s="44"/>
      <c r="Q10" s="44"/>
      <c r="R10" s="44"/>
      <c r="S10" s="44"/>
      <c r="T10" s="44"/>
      <c r="U10" s="44"/>
      <c r="V10" s="44"/>
      <c r="W10" s="44"/>
      <c r="X10" s="44"/>
      <c r="Y10" s="44"/>
      <c r="Z10" s="44"/>
    </row>
    <row r="11" ht="15.75" customHeight="1">
      <c r="A11" s="44"/>
      <c r="B11" s="44"/>
      <c r="C11" s="44"/>
      <c r="D11" s="72" t="s">
        <v>135</v>
      </c>
      <c r="E11" s="44"/>
      <c r="F11" s="44"/>
      <c r="G11" s="44"/>
      <c r="H11" s="44"/>
      <c r="I11" s="44"/>
      <c r="J11" s="44"/>
      <c r="K11" s="44"/>
      <c r="L11" s="44"/>
      <c r="M11" s="44"/>
      <c r="N11" s="44"/>
      <c r="O11" s="44"/>
      <c r="P11" s="44"/>
      <c r="Q11" s="44"/>
      <c r="R11" s="44"/>
      <c r="S11" s="44"/>
      <c r="T11" s="44"/>
      <c r="U11" s="44"/>
      <c r="V11" s="44"/>
      <c r="W11" s="44"/>
      <c r="X11" s="44"/>
      <c r="Y11" s="44"/>
      <c r="Z11" s="44"/>
    </row>
    <row r="12" ht="15.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ht="15.75" customHeight="1">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ht="15.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ht="15.75" customHeight="1">
      <c r="A15" s="72" t="s">
        <v>220</v>
      </c>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ht="19.5" customHeight="1">
      <c r="A16" s="44"/>
      <c r="B16" s="75" t="s">
        <v>221</v>
      </c>
      <c r="C16" s="72" t="s">
        <v>222</v>
      </c>
      <c r="D16" s="74" t="s">
        <v>223</v>
      </c>
      <c r="E16" s="72" t="s">
        <v>224</v>
      </c>
      <c r="F16" s="76" t="s">
        <v>225</v>
      </c>
      <c r="G16" s="44"/>
      <c r="H16" s="44"/>
      <c r="I16" s="44"/>
      <c r="J16" s="44"/>
      <c r="K16" s="44"/>
      <c r="L16" s="44"/>
      <c r="M16" s="44"/>
      <c r="N16" s="44"/>
      <c r="O16" s="44"/>
      <c r="P16" s="44"/>
      <c r="Q16" s="44"/>
      <c r="R16" s="44"/>
      <c r="S16" s="44"/>
      <c r="T16" s="44"/>
      <c r="U16" s="44"/>
      <c r="V16" s="44"/>
      <c r="W16" s="44"/>
      <c r="X16" s="44"/>
      <c r="Y16" s="44"/>
      <c r="Z16" s="44"/>
    </row>
    <row r="17" ht="15.75" customHeight="1">
      <c r="A17" s="44"/>
      <c r="B17" s="72" t="s">
        <v>226</v>
      </c>
      <c r="C17" s="44"/>
      <c r="D17" s="72" t="s">
        <v>227</v>
      </c>
      <c r="E17" s="44"/>
      <c r="F17" s="72" t="s">
        <v>228</v>
      </c>
      <c r="G17" s="44"/>
      <c r="H17" s="44"/>
      <c r="I17" s="44"/>
      <c r="J17" s="44"/>
      <c r="K17" s="44"/>
      <c r="L17" s="44"/>
      <c r="M17" s="44"/>
      <c r="N17" s="44"/>
      <c r="O17" s="44"/>
      <c r="P17" s="44"/>
      <c r="Q17" s="44"/>
      <c r="R17" s="44"/>
      <c r="S17" s="44"/>
      <c r="T17" s="44"/>
      <c r="U17" s="44"/>
      <c r="V17" s="44"/>
      <c r="W17" s="44"/>
      <c r="X17" s="44"/>
      <c r="Y17" s="44"/>
      <c r="Z17" s="44"/>
    </row>
    <row r="18" ht="15.75" customHeight="1">
      <c r="A18" s="44"/>
      <c r="B18" s="72" t="s">
        <v>229</v>
      </c>
      <c r="C18" s="44"/>
      <c r="D18" s="72" t="s">
        <v>230</v>
      </c>
      <c r="E18" s="44"/>
      <c r="F18" s="72" t="s">
        <v>231</v>
      </c>
      <c r="G18" s="44"/>
      <c r="H18" s="44"/>
      <c r="I18" s="44"/>
      <c r="J18" s="44"/>
      <c r="K18" s="44"/>
      <c r="L18" s="44"/>
      <c r="M18" s="44"/>
      <c r="N18" s="44"/>
      <c r="O18" s="44"/>
      <c r="P18" s="44"/>
      <c r="Q18" s="44"/>
      <c r="R18" s="44"/>
      <c r="S18" s="44"/>
      <c r="T18" s="44"/>
      <c r="U18" s="44"/>
      <c r="V18" s="44"/>
      <c r="W18" s="44"/>
      <c r="X18" s="44"/>
      <c r="Y18" s="44"/>
      <c r="Z18" s="44"/>
    </row>
    <row r="19" ht="15.75" customHeight="1">
      <c r="A19" s="44"/>
      <c r="B19" s="72" t="s">
        <v>232</v>
      </c>
      <c r="C19" s="44"/>
      <c r="D19" s="72" t="s">
        <v>233</v>
      </c>
      <c r="E19" s="44"/>
      <c r="F19" s="72" t="s">
        <v>234</v>
      </c>
      <c r="G19" s="44"/>
      <c r="H19" s="44"/>
      <c r="I19" s="44"/>
      <c r="J19" s="44"/>
      <c r="K19" s="44"/>
      <c r="L19" s="44"/>
      <c r="M19" s="44"/>
      <c r="N19" s="44"/>
      <c r="O19" s="44"/>
      <c r="P19" s="44"/>
      <c r="Q19" s="44"/>
      <c r="R19" s="44"/>
      <c r="S19" s="44"/>
      <c r="T19" s="44"/>
      <c r="U19" s="44"/>
      <c r="V19" s="44"/>
      <c r="W19" s="44"/>
      <c r="X19" s="44"/>
      <c r="Y19" s="44"/>
      <c r="Z19" s="44"/>
    </row>
    <row r="20" ht="15.75" customHeight="1">
      <c r="A20" s="44"/>
      <c r="B20" s="72" t="s">
        <v>235</v>
      </c>
      <c r="C20" s="44"/>
      <c r="D20" s="72" t="s">
        <v>135</v>
      </c>
      <c r="E20" s="44"/>
      <c r="F20" s="72" t="s">
        <v>236</v>
      </c>
      <c r="G20" s="44"/>
      <c r="H20" s="44"/>
      <c r="I20" s="44"/>
      <c r="J20" s="44"/>
      <c r="K20" s="44"/>
      <c r="L20" s="44"/>
      <c r="M20" s="44"/>
      <c r="N20" s="44"/>
      <c r="O20" s="44"/>
      <c r="P20" s="44"/>
      <c r="Q20" s="44"/>
      <c r="R20" s="44"/>
      <c r="S20" s="44"/>
      <c r="T20" s="44"/>
      <c r="U20" s="44"/>
      <c r="V20" s="44"/>
      <c r="W20" s="44"/>
      <c r="X20" s="44"/>
      <c r="Y20" s="44"/>
      <c r="Z20" s="44"/>
    </row>
    <row r="21" ht="15.75" customHeight="1">
      <c r="A21" s="44"/>
      <c r="B21" s="72" t="s">
        <v>237</v>
      </c>
      <c r="C21" s="44"/>
      <c r="D21" s="44"/>
      <c r="E21" s="44"/>
      <c r="F21" s="72" t="s">
        <v>238</v>
      </c>
      <c r="G21" s="44"/>
      <c r="H21" s="44"/>
      <c r="I21" s="44"/>
      <c r="J21" s="44"/>
      <c r="K21" s="44"/>
      <c r="L21" s="44"/>
      <c r="M21" s="44"/>
      <c r="N21" s="44"/>
      <c r="O21" s="44"/>
      <c r="P21" s="44"/>
      <c r="Q21" s="44"/>
      <c r="R21" s="44"/>
      <c r="S21" s="44"/>
      <c r="T21" s="44"/>
      <c r="U21" s="44"/>
      <c r="V21" s="44"/>
      <c r="W21" s="44"/>
      <c r="X21" s="44"/>
      <c r="Y21" s="44"/>
      <c r="Z21" s="44"/>
    </row>
    <row r="22" ht="15.75" customHeight="1">
      <c r="A22" s="44"/>
      <c r="B22" s="72" t="s">
        <v>239</v>
      </c>
      <c r="C22" s="44"/>
      <c r="D22" s="44"/>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44"/>
      <c r="B23" s="72" t="s">
        <v>219</v>
      </c>
      <c r="C23" s="44"/>
      <c r="D23" s="44"/>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44"/>
      <c r="B24" s="72" t="s">
        <v>135</v>
      </c>
      <c r="C24" s="44"/>
      <c r="D24" s="44"/>
      <c r="E24" s="44"/>
      <c r="F24" s="44"/>
      <c r="G24" s="44"/>
      <c r="H24" s="44"/>
      <c r="I24" s="44"/>
      <c r="J24" s="44"/>
      <c r="K24" s="44"/>
      <c r="L24" s="44"/>
      <c r="M24" s="44"/>
      <c r="N24" s="44"/>
      <c r="O24" s="44"/>
      <c r="P24" s="44"/>
      <c r="Q24" s="44"/>
      <c r="R24" s="44"/>
      <c r="S24" s="44"/>
      <c r="T24" s="44"/>
      <c r="U24" s="44"/>
      <c r="V24" s="44"/>
      <c r="W24" s="44"/>
      <c r="X24" s="44"/>
      <c r="Y24" s="44"/>
      <c r="Z24" s="44"/>
    </row>
    <row r="25" ht="37.5" customHeight="1">
      <c r="A25" s="44"/>
      <c r="B25" s="44"/>
      <c r="C25" s="72" t="s">
        <v>240</v>
      </c>
      <c r="D25" s="74" t="s">
        <v>241</v>
      </c>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44"/>
      <c r="B26" s="44"/>
      <c r="C26" s="44"/>
      <c r="D26" s="72" t="s">
        <v>242</v>
      </c>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44"/>
      <c r="B27" s="44"/>
      <c r="C27" s="44"/>
      <c r="D27" s="72" t="s">
        <v>243</v>
      </c>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44"/>
      <c r="B28" s="44"/>
      <c r="C28" s="44"/>
      <c r="D28" s="72" t="s">
        <v>244</v>
      </c>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72" t="s">
        <v>245</v>
      </c>
      <c r="B29" s="44"/>
      <c r="C29" s="44"/>
      <c r="D29" s="72" t="s">
        <v>246</v>
      </c>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4"/>
      <c r="B30" s="75" t="s">
        <v>247</v>
      </c>
      <c r="C30" s="44"/>
      <c r="D30" s="72" t="s">
        <v>248</v>
      </c>
      <c r="E30" s="72" t="s">
        <v>249</v>
      </c>
      <c r="F30" s="76" t="s">
        <v>250</v>
      </c>
      <c r="G30" s="44"/>
      <c r="H30" s="44"/>
      <c r="I30" s="44"/>
      <c r="J30" s="44"/>
      <c r="K30" s="44"/>
      <c r="L30" s="44"/>
      <c r="M30" s="44"/>
      <c r="N30" s="44"/>
      <c r="O30" s="44"/>
      <c r="P30" s="44"/>
      <c r="Q30" s="44"/>
      <c r="R30" s="44"/>
      <c r="S30" s="44"/>
      <c r="T30" s="44"/>
      <c r="U30" s="44"/>
      <c r="V30" s="44"/>
      <c r="W30" s="44"/>
      <c r="X30" s="44"/>
      <c r="Y30" s="44"/>
      <c r="Z30" s="44"/>
    </row>
    <row r="31" ht="15.75" customHeight="1">
      <c r="A31" s="44"/>
      <c r="B31" s="72" t="s">
        <v>229</v>
      </c>
      <c r="C31" s="44"/>
      <c r="D31" s="72" t="s">
        <v>219</v>
      </c>
      <c r="E31" s="44"/>
      <c r="F31" s="72" t="s">
        <v>251</v>
      </c>
      <c r="G31" s="44"/>
      <c r="H31" s="44"/>
      <c r="I31" s="44"/>
      <c r="J31" s="44"/>
      <c r="K31" s="44"/>
      <c r="L31" s="44"/>
      <c r="M31" s="44"/>
      <c r="N31" s="44"/>
      <c r="O31" s="44"/>
      <c r="P31" s="44"/>
      <c r="Q31" s="44"/>
      <c r="R31" s="44"/>
      <c r="S31" s="44"/>
      <c r="T31" s="44"/>
      <c r="U31" s="44"/>
      <c r="V31" s="44"/>
      <c r="W31" s="44"/>
      <c r="X31" s="44"/>
      <c r="Y31" s="44"/>
      <c r="Z31" s="44"/>
    </row>
    <row r="32" ht="15.75" customHeight="1">
      <c r="A32" s="44"/>
      <c r="B32" s="72" t="s">
        <v>252</v>
      </c>
      <c r="C32" s="44"/>
      <c r="D32" s="72" t="s">
        <v>135</v>
      </c>
      <c r="E32" s="44"/>
      <c r="F32" s="72" t="s">
        <v>253</v>
      </c>
      <c r="G32" s="44"/>
      <c r="H32" s="44"/>
      <c r="I32" s="44"/>
      <c r="J32" s="44"/>
      <c r="K32" s="44"/>
      <c r="L32" s="44"/>
      <c r="M32" s="44"/>
      <c r="N32" s="44"/>
      <c r="O32" s="44"/>
      <c r="P32" s="44"/>
      <c r="Q32" s="44"/>
      <c r="R32" s="44"/>
      <c r="S32" s="44"/>
      <c r="T32" s="44"/>
      <c r="U32" s="44"/>
      <c r="V32" s="44"/>
      <c r="W32" s="44"/>
      <c r="X32" s="44"/>
      <c r="Y32" s="44"/>
      <c r="Z32" s="44"/>
    </row>
    <row r="33" ht="15.75" customHeight="1">
      <c r="A33" s="44"/>
      <c r="B33" s="72" t="s">
        <v>219</v>
      </c>
      <c r="C33" s="44"/>
      <c r="D33" s="44"/>
      <c r="E33" s="44"/>
      <c r="F33" s="72" t="s">
        <v>254</v>
      </c>
      <c r="G33" s="44"/>
      <c r="H33" s="44"/>
      <c r="I33" s="44"/>
      <c r="J33" s="44"/>
      <c r="K33" s="44"/>
      <c r="L33" s="44"/>
      <c r="M33" s="44"/>
      <c r="N33" s="44"/>
      <c r="O33" s="44"/>
      <c r="P33" s="44"/>
      <c r="Q33" s="44"/>
      <c r="R33" s="44"/>
      <c r="S33" s="44"/>
      <c r="T33" s="44"/>
      <c r="U33" s="44"/>
      <c r="V33" s="44"/>
      <c r="W33" s="44"/>
      <c r="X33" s="44"/>
      <c r="Y33" s="44"/>
      <c r="Z33" s="44"/>
    </row>
    <row r="34" ht="15.75" customHeight="1">
      <c r="A34" s="44"/>
      <c r="B34" s="72" t="s">
        <v>135</v>
      </c>
      <c r="C34" s="44"/>
      <c r="D34" s="44"/>
      <c r="E34" s="44"/>
      <c r="F34" s="72" t="s">
        <v>255</v>
      </c>
      <c r="G34" s="44"/>
      <c r="H34" s="44"/>
      <c r="I34" s="44"/>
      <c r="J34" s="44"/>
      <c r="K34" s="44"/>
      <c r="L34" s="44"/>
      <c r="M34" s="44"/>
      <c r="N34" s="44"/>
      <c r="O34" s="44"/>
      <c r="P34" s="44"/>
      <c r="Q34" s="44"/>
      <c r="R34" s="44"/>
      <c r="S34" s="44"/>
      <c r="T34" s="44"/>
      <c r="U34" s="44"/>
      <c r="V34" s="44"/>
      <c r="W34" s="44"/>
      <c r="X34" s="44"/>
      <c r="Y34" s="44"/>
      <c r="Z34" s="44"/>
    </row>
    <row r="35" ht="15.75" customHeight="1">
      <c r="A35" s="44"/>
      <c r="B35" s="44"/>
      <c r="C35" s="44"/>
      <c r="D35" s="44"/>
      <c r="E35" s="44"/>
      <c r="F35" s="72" t="s">
        <v>256</v>
      </c>
      <c r="G35" s="44"/>
      <c r="H35" s="44"/>
      <c r="I35" s="44"/>
      <c r="J35" s="44"/>
      <c r="K35" s="44"/>
      <c r="L35" s="44"/>
      <c r="M35" s="44"/>
      <c r="N35" s="44"/>
      <c r="O35" s="44"/>
      <c r="P35" s="44"/>
      <c r="Q35" s="44"/>
      <c r="R35" s="44"/>
      <c r="S35" s="44"/>
      <c r="T35" s="44"/>
      <c r="U35" s="44"/>
      <c r="V35" s="44"/>
      <c r="W35" s="44"/>
      <c r="X35" s="44"/>
      <c r="Y35" s="44"/>
      <c r="Z35" s="44"/>
    </row>
    <row r="36" ht="15.75" customHeight="1">
      <c r="A36" s="44"/>
      <c r="B36" s="44"/>
      <c r="C36" s="72" t="s">
        <v>257</v>
      </c>
      <c r="D36" s="74" t="s">
        <v>258</v>
      </c>
      <c r="E36" s="44"/>
      <c r="F36" s="72" t="s">
        <v>219</v>
      </c>
      <c r="G36" s="44"/>
      <c r="H36" s="44"/>
      <c r="I36" s="44"/>
      <c r="J36" s="44"/>
      <c r="K36" s="44"/>
      <c r="L36" s="44"/>
      <c r="M36" s="44"/>
      <c r="N36" s="44"/>
      <c r="O36" s="44"/>
      <c r="P36" s="44"/>
      <c r="Q36" s="44"/>
      <c r="R36" s="44"/>
      <c r="S36" s="44"/>
      <c r="T36" s="44"/>
      <c r="U36" s="44"/>
      <c r="V36" s="44"/>
      <c r="W36" s="44"/>
      <c r="X36" s="44"/>
      <c r="Y36" s="44"/>
      <c r="Z36" s="44"/>
    </row>
    <row r="37" ht="15.75" customHeight="1">
      <c r="A37" s="44"/>
      <c r="B37" s="44"/>
      <c r="C37" s="44"/>
      <c r="D37" s="72" t="s">
        <v>259</v>
      </c>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72" t="s">
        <v>260</v>
      </c>
      <c r="B38" s="44"/>
      <c r="C38" s="44"/>
      <c r="D38" s="72" t="s">
        <v>261</v>
      </c>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4"/>
      <c r="B39" s="75" t="s">
        <v>262</v>
      </c>
      <c r="C39" s="44"/>
      <c r="D39" s="72" t="s">
        <v>263</v>
      </c>
      <c r="E39" s="72" t="s">
        <v>264</v>
      </c>
      <c r="F39" s="76" t="s">
        <v>265</v>
      </c>
      <c r="G39" s="44"/>
      <c r="H39" s="44"/>
      <c r="I39" s="44"/>
      <c r="J39" s="44"/>
      <c r="K39" s="44"/>
      <c r="L39" s="44"/>
      <c r="M39" s="44"/>
      <c r="N39" s="44"/>
      <c r="O39" s="44"/>
      <c r="P39" s="44"/>
      <c r="Q39" s="44"/>
      <c r="R39" s="44"/>
      <c r="S39" s="44"/>
      <c r="T39" s="44"/>
      <c r="U39" s="44"/>
      <c r="V39" s="44"/>
      <c r="W39" s="44"/>
      <c r="X39" s="44"/>
      <c r="Y39" s="44"/>
      <c r="Z39" s="44"/>
    </row>
    <row r="40" ht="15.75" customHeight="1">
      <c r="A40" s="44"/>
      <c r="B40" s="72" t="s">
        <v>266</v>
      </c>
      <c r="C40" s="44"/>
      <c r="D40" s="72" t="s">
        <v>219</v>
      </c>
      <c r="E40" s="44"/>
      <c r="F40" s="72" t="s">
        <v>267</v>
      </c>
      <c r="G40" s="44"/>
      <c r="H40" s="44"/>
      <c r="I40" s="44"/>
      <c r="J40" s="44"/>
      <c r="K40" s="44"/>
      <c r="L40" s="44"/>
      <c r="M40" s="44"/>
      <c r="N40" s="44"/>
      <c r="O40" s="44"/>
      <c r="P40" s="44"/>
      <c r="Q40" s="44"/>
      <c r="R40" s="44"/>
      <c r="S40" s="44"/>
      <c r="T40" s="44"/>
      <c r="U40" s="44"/>
      <c r="V40" s="44"/>
      <c r="W40" s="44"/>
      <c r="X40" s="44"/>
      <c r="Y40" s="44"/>
      <c r="Z40" s="44"/>
    </row>
    <row r="41" ht="15.75" customHeight="1">
      <c r="A41" s="44"/>
      <c r="B41" s="72" t="s">
        <v>268</v>
      </c>
      <c r="C41" s="44"/>
      <c r="D41" s="72" t="s">
        <v>135</v>
      </c>
      <c r="E41" s="44"/>
      <c r="F41" s="72" t="s">
        <v>269</v>
      </c>
      <c r="G41" s="44"/>
      <c r="H41" s="44"/>
      <c r="I41" s="44"/>
      <c r="J41" s="44"/>
      <c r="K41" s="44"/>
      <c r="L41" s="44"/>
      <c r="M41" s="44"/>
      <c r="N41" s="44"/>
      <c r="O41" s="44"/>
      <c r="P41" s="44"/>
      <c r="Q41" s="44"/>
      <c r="R41" s="44"/>
      <c r="S41" s="44"/>
      <c r="T41" s="44"/>
      <c r="U41" s="44"/>
      <c r="V41" s="44"/>
      <c r="W41" s="44"/>
      <c r="X41" s="44"/>
      <c r="Y41" s="44"/>
      <c r="Z41" s="44"/>
    </row>
    <row r="42" ht="15.75" customHeight="1">
      <c r="A42" s="44"/>
      <c r="B42" s="72" t="s">
        <v>270</v>
      </c>
      <c r="C42" s="44"/>
      <c r="D42" s="44"/>
      <c r="E42" s="44"/>
      <c r="F42" s="72" t="s">
        <v>271</v>
      </c>
      <c r="G42" s="44"/>
      <c r="H42" s="44"/>
      <c r="I42" s="44"/>
      <c r="J42" s="44"/>
      <c r="K42" s="44"/>
      <c r="L42" s="44"/>
      <c r="M42" s="44"/>
      <c r="N42" s="44"/>
      <c r="O42" s="44"/>
      <c r="P42" s="44"/>
      <c r="Q42" s="44"/>
      <c r="R42" s="44"/>
      <c r="S42" s="44"/>
      <c r="T42" s="44"/>
      <c r="U42" s="44"/>
      <c r="V42" s="44"/>
      <c r="W42" s="44"/>
      <c r="X42" s="44"/>
      <c r="Y42" s="44"/>
      <c r="Z42" s="44"/>
    </row>
    <row r="43" ht="15.75" customHeight="1">
      <c r="A43" s="44"/>
      <c r="B43" s="72" t="s">
        <v>272</v>
      </c>
      <c r="C43" s="44"/>
      <c r="D43" s="44"/>
      <c r="E43" s="44"/>
      <c r="F43" s="72" t="s">
        <v>273</v>
      </c>
      <c r="G43" s="44"/>
      <c r="H43" s="44"/>
      <c r="I43" s="44"/>
      <c r="J43" s="44"/>
      <c r="K43" s="44"/>
      <c r="L43" s="44"/>
      <c r="M43" s="44"/>
      <c r="N43" s="44"/>
      <c r="O43" s="44"/>
      <c r="P43" s="44"/>
      <c r="Q43" s="44"/>
      <c r="R43" s="44"/>
      <c r="S43" s="44"/>
      <c r="T43" s="44"/>
      <c r="U43" s="44"/>
      <c r="V43" s="44"/>
      <c r="W43" s="44"/>
      <c r="X43" s="44"/>
      <c r="Y43" s="44"/>
      <c r="Z43" s="44"/>
    </row>
    <row r="44" ht="15.75" customHeight="1">
      <c r="A44" s="44"/>
      <c r="B44" s="72" t="s">
        <v>274</v>
      </c>
      <c r="C44" s="44"/>
      <c r="D44" s="44"/>
      <c r="E44" s="44"/>
      <c r="F44" s="72" t="s">
        <v>275</v>
      </c>
      <c r="G44" s="44"/>
      <c r="H44" s="44"/>
      <c r="I44" s="44"/>
      <c r="J44" s="44"/>
      <c r="K44" s="44"/>
      <c r="L44" s="44"/>
      <c r="M44" s="44"/>
      <c r="N44" s="44"/>
      <c r="O44" s="44"/>
      <c r="P44" s="44"/>
      <c r="Q44" s="44"/>
      <c r="R44" s="44"/>
      <c r="S44" s="44"/>
      <c r="T44" s="44"/>
      <c r="U44" s="44"/>
      <c r="V44" s="44"/>
      <c r="W44" s="44"/>
      <c r="X44" s="44"/>
      <c r="Y44" s="44"/>
      <c r="Z44" s="44"/>
    </row>
    <row r="45" ht="15.75" customHeight="1">
      <c r="A45" s="44"/>
      <c r="B45" s="72" t="s">
        <v>219</v>
      </c>
      <c r="C45" s="44"/>
      <c r="D45" s="44"/>
      <c r="E45" s="44"/>
      <c r="F45" s="72" t="s">
        <v>276</v>
      </c>
      <c r="G45" s="44"/>
      <c r="H45" s="44"/>
      <c r="I45" s="44"/>
      <c r="J45" s="44"/>
      <c r="K45" s="44"/>
      <c r="L45" s="44"/>
      <c r="M45" s="44"/>
      <c r="N45" s="44"/>
      <c r="O45" s="44"/>
      <c r="P45" s="44"/>
      <c r="Q45" s="44"/>
      <c r="R45" s="44"/>
      <c r="S45" s="44"/>
      <c r="T45" s="44"/>
      <c r="U45" s="44"/>
      <c r="V45" s="44"/>
      <c r="W45" s="44"/>
      <c r="X45" s="44"/>
      <c r="Y45" s="44"/>
      <c r="Z45" s="44"/>
    </row>
    <row r="46" ht="15.75" customHeight="1">
      <c r="A46" s="44"/>
      <c r="B46" s="72" t="s">
        <v>135</v>
      </c>
      <c r="C46" s="44"/>
      <c r="D46" s="44"/>
      <c r="E46" s="44"/>
      <c r="F46" s="72" t="s">
        <v>219</v>
      </c>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72" t="s">
        <v>277</v>
      </c>
      <c r="D48" s="77" t="s">
        <v>278</v>
      </c>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72" t="s">
        <v>279</v>
      </c>
      <c r="B49" s="44"/>
      <c r="C49" s="44"/>
      <c r="D49" s="72" t="s">
        <v>280</v>
      </c>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75" t="s">
        <v>281</v>
      </c>
      <c r="C50" s="44"/>
      <c r="D50" s="72" t="s">
        <v>282</v>
      </c>
      <c r="E50" s="72" t="s">
        <v>283</v>
      </c>
      <c r="F50" s="76" t="s">
        <v>284</v>
      </c>
      <c r="G50" s="44"/>
      <c r="H50" s="44"/>
      <c r="I50" s="44"/>
      <c r="J50" s="44"/>
      <c r="K50" s="44"/>
      <c r="L50" s="44"/>
      <c r="M50" s="44"/>
      <c r="N50" s="44"/>
      <c r="O50" s="44"/>
      <c r="P50" s="44"/>
      <c r="Q50" s="44"/>
      <c r="R50" s="44"/>
      <c r="S50" s="44"/>
      <c r="T50" s="44"/>
      <c r="U50" s="44"/>
      <c r="V50" s="44"/>
      <c r="W50" s="44"/>
      <c r="X50" s="44"/>
      <c r="Y50" s="44"/>
      <c r="Z50" s="44"/>
    </row>
    <row r="51" ht="15.75" customHeight="1">
      <c r="A51" s="44"/>
      <c r="B51" s="72" t="s">
        <v>285</v>
      </c>
      <c r="C51" s="44"/>
      <c r="D51" s="72" t="s">
        <v>286</v>
      </c>
      <c r="E51" s="44"/>
      <c r="F51" s="72" t="s">
        <v>287</v>
      </c>
      <c r="G51" s="44"/>
      <c r="H51" s="44"/>
      <c r="I51" s="44"/>
      <c r="J51" s="44"/>
      <c r="K51" s="44"/>
      <c r="L51" s="44"/>
      <c r="M51" s="44"/>
      <c r="N51" s="44"/>
      <c r="O51" s="44"/>
      <c r="P51" s="44"/>
      <c r="Q51" s="44"/>
      <c r="R51" s="44"/>
      <c r="S51" s="44"/>
      <c r="T51" s="44"/>
      <c r="U51" s="44"/>
      <c r="V51" s="44"/>
      <c r="W51" s="44"/>
      <c r="X51" s="44"/>
      <c r="Y51" s="44"/>
      <c r="Z51" s="44"/>
    </row>
    <row r="52" ht="15.75" customHeight="1">
      <c r="A52" s="44"/>
      <c r="B52" s="72" t="s">
        <v>288</v>
      </c>
      <c r="C52" s="44"/>
      <c r="D52" s="72" t="s">
        <v>219</v>
      </c>
      <c r="E52" s="44"/>
      <c r="F52" s="72" t="s">
        <v>289</v>
      </c>
      <c r="G52" s="44"/>
      <c r="H52" s="44"/>
      <c r="I52" s="44"/>
      <c r="J52" s="44"/>
      <c r="K52" s="44"/>
      <c r="L52" s="44"/>
      <c r="M52" s="44"/>
      <c r="N52" s="44"/>
      <c r="O52" s="44"/>
      <c r="P52" s="44"/>
      <c r="Q52" s="44"/>
      <c r="R52" s="44"/>
      <c r="S52" s="44"/>
      <c r="T52" s="44"/>
      <c r="U52" s="44"/>
      <c r="V52" s="44"/>
      <c r="W52" s="44"/>
      <c r="X52" s="44"/>
      <c r="Y52" s="44"/>
      <c r="Z52" s="44"/>
    </row>
    <row r="53" ht="15.75" customHeight="1">
      <c r="A53" s="44"/>
      <c r="B53" s="72" t="s">
        <v>290</v>
      </c>
      <c r="C53" s="44"/>
      <c r="D53" s="72" t="s">
        <v>135</v>
      </c>
      <c r="E53" s="44"/>
      <c r="F53" s="72" t="s">
        <v>291</v>
      </c>
      <c r="G53" s="44"/>
      <c r="H53" s="44"/>
      <c r="I53" s="44"/>
      <c r="J53" s="44"/>
      <c r="K53" s="44"/>
      <c r="L53" s="44"/>
      <c r="M53" s="44"/>
      <c r="N53" s="44"/>
      <c r="O53" s="44"/>
      <c r="P53" s="44"/>
      <c r="Q53" s="44"/>
      <c r="R53" s="44"/>
      <c r="S53" s="44"/>
      <c r="T53" s="44"/>
      <c r="U53" s="44"/>
      <c r="V53" s="44"/>
      <c r="W53" s="44"/>
      <c r="X53" s="44"/>
      <c r="Y53" s="44"/>
      <c r="Z53" s="44"/>
    </row>
    <row r="54" ht="15.75" customHeight="1">
      <c r="A54" s="44"/>
      <c r="B54" s="72" t="s">
        <v>292</v>
      </c>
      <c r="C54" s="44"/>
      <c r="D54" s="44"/>
      <c r="E54" s="44"/>
      <c r="F54" s="72" t="s">
        <v>293</v>
      </c>
      <c r="G54" s="44"/>
      <c r="H54" s="44"/>
      <c r="I54" s="44"/>
      <c r="J54" s="44"/>
      <c r="K54" s="44"/>
      <c r="L54" s="44"/>
      <c r="M54" s="44"/>
      <c r="N54" s="44"/>
      <c r="O54" s="44"/>
      <c r="P54" s="44"/>
      <c r="Q54" s="44"/>
      <c r="R54" s="44"/>
      <c r="S54" s="44"/>
      <c r="T54" s="44"/>
      <c r="U54" s="44"/>
      <c r="V54" s="44"/>
      <c r="W54" s="44"/>
      <c r="X54" s="44"/>
      <c r="Y54" s="44"/>
      <c r="Z54" s="44"/>
    </row>
    <row r="55" ht="15.75" customHeight="1">
      <c r="A55" s="44"/>
      <c r="B55" s="72" t="s">
        <v>294</v>
      </c>
      <c r="C55" s="44"/>
      <c r="D55" s="44"/>
      <c r="E55" s="44"/>
      <c r="F55" s="72" t="s">
        <v>295</v>
      </c>
      <c r="G55" s="44"/>
      <c r="H55" s="44"/>
      <c r="I55" s="44"/>
      <c r="J55" s="44"/>
      <c r="K55" s="44"/>
      <c r="L55" s="44"/>
      <c r="M55" s="44"/>
      <c r="N55" s="44"/>
      <c r="O55" s="44"/>
      <c r="P55" s="44"/>
      <c r="Q55" s="44"/>
      <c r="R55" s="44"/>
      <c r="S55" s="44"/>
      <c r="T55" s="44"/>
      <c r="U55" s="44"/>
      <c r="V55" s="44"/>
      <c r="W55" s="44"/>
      <c r="X55" s="44"/>
      <c r="Y55" s="44"/>
      <c r="Z55" s="44"/>
    </row>
    <row r="56" ht="15.75" customHeight="1">
      <c r="A56" s="44"/>
      <c r="B56" s="72" t="s">
        <v>219</v>
      </c>
      <c r="C56" s="44"/>
      <c r="D56" s="44"/>
      <c r="E56" s="44"/>
      <c r="F56" s="72" t="s">
        <v>219</v>
      </c>
      <c r="G56" s="44"/>
      <c r="H56" s="44"/>
      <c r="I56" s="44"/>
      <c r="J56" s="44"/>
      <c r="K56" s="44"/>
      <c r="L56" s="44"/>
      <c r="M56" s="44"/>
      <c r="N56" s="44"/>
      <c r="O56" s="44"/>
      <c r="P56" s="44"/>
      <c r="Q56" s="44"/>
      <c r="R56" s="44"/>
      <c r="S56" s="44"/>
      <c r="T56" s="44"/>
      <c r="U56" s="44"/>
      <c r="V56" s="44"/>
      <c r="W56" s="44"/>
      <c r="X56" s="44"/>
      <c r="Y56" s="44"/>
      <c r="Z56" s="44"/>
    </row>
    <row r="57" ht="15.75" customHeight="1">
      <c r="A57" s="44"/>
      <c r="B57" s="72" t="s">
        <v>296</v>
      </c>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72" t="s">
        <v>297</v>
      </c>
      <c r="D58" s="74" t="s">
        <v>298</v>
      </c>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72" t="s">
        <v>299</v>
      </c>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72" t="s">
        <v>300</v>
      </c>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72" t="s">
        <v>301</v>
      </c>
      <c r="B61" s="44"/>
      <c r="C61" s="44"/>
      <c r="D61" s="72" t="s">
        <v>302</v>
      </c>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75" t="s">
        <v>303</v>
      </c>
      <c r="C62" s="44"/>
      <c r="D62" s="72" t="s">
        <v>219</v>
      </c>
      <c r="E62" s="72" t="s">
        <v>304</v>
      </c>
      <c r="F62" s="76" t="s">
        <v>305</v>
      </c>
      <c r="G62" s="44"/>
      <c r="H62" s="44"/>
      <c r="I62" s="44"/>
      <c r="J62" s="44"/>
      <c r="K62" s="44"/>
      <c r="L62" s="44"/>
      <c r="M62" s="44"/>
      <c r="N62" s="44"/>
      <c r="O62" s="44"/>
      <c r="P62" s="44"/>
      <c r="Q62" s="44"/>
      <c r="R62" s="44"/>
      <c r="S62" s="44"/>
      <c r="T62" s="44"/>
      <c r="U62" s="44"/>
      <c r="V62" s="44"/>
      <c r="W62" s="44"/>
      <c r="X62" s="44"/>
      <c r="Y62" s="44"/>
      <c r="Z62" s="44"/>
    </row>
    <row r="63" ht="15.75" customHeight="1">
      <c r="A63" s="44"/>
      <c r="B63" s="72" t="s">
        <v>306</v>
      </c>
      <c r="C63" s="44"/>
      <c r="D63" s="72" t="s">
        <v>135</v>
      </c>
      <c r="E63" s="44"/>
      <c r="F63" s="72" t="s">
        <v>307</v>
      </c>
      <c r="G63" s="44"/>
      <c r="H63" s="44"/>
      <c r="I63" s="44"/>
      <c r="J63" s="44"/>
      <c r="K63" s="44"/>
      <c r="L63" s="44"/>
      <c r="M63" s="44"/>
      <c r="N63" s="44"/>
      <c r="O63" s="44"/>
      <c r="P63" s="44"/>
      <c r="Q63" s="44"/>
      <c r="R63" s="44"/>
      <c r="S63" s="44"/>
      <c r="T63" s="44"/>
      <c r="U63" s="44"/>
      <c r="V63" s="44"/>
      <c r="W63" s="44"/>
      <c r="X63" s="44"/>
      <c r="Y63" s="44"/>
      <c r="Z63" s="44"/>
    </row>
    <row r="64" ht="15.75" customHeight="1">
      <c r="A64" s="44"/>
      <c r="B64" s="72" t="s">
        <v>308</v>
      </c>
      <c r="C64" s="44"/>
      <c r="D64" s="44"/>
      <c r="E64" s="44"/>
      <c r="F64" s="72" t="s">
        <v>309</v>
      </c>
      <c r="G64" s="44"/>
      <c r="H64" s="44"/>
      <c r="I64" s="44"/>
      <c r="J64" s="44"/>
      <c r="K64" s="44"/>
      <c r="L64" s="44"/>
      <c r="M64" s="44"/>
      <c r="N64" s="44"/>
      <c r="O64" s="44"/>
      <c r="P64" s="44"/>
      <c r="Q64" s="44"/>
      <c r="R64" s="44"/>
      <c r="S64" s="44"/>
      <c r="T64" s="44"/>
      <c r="U64" s="44"/>
      <c r="V64" s="44"/>
      <c r="W64" s="44"/>
      <c r="X64" s="44"/>
      <c r="Y64" s="44"/>
      <c r="Z64" s="44"/>
    </row>
    <row r="65" ht="15.75" customHeight="1">
      <c r="A65" s="44"/>
      <c r="B65" s="72" t="s">
        <v>310</v>
      </c>
      <c r="C65" s="44"/>
      <c r="D65" s="44"/>
      <c r="E65" s="44"/>
      <c r="F65" s="72" t="s">
        <v>311</v>
      </c>
      <c r="G65" s="44"/>
      <c r="H65" s="44"/>
      <c r="I65" s="44"/>
      <c r="J65" s="44"/>
      <c r="K65" s="44"/>
      <c r="L65" s="44"/>
      <c r="M65" s="44"/>
      <c r="N65" s="44"/>
      <c r="O65" s="44"/>
      <c r="P65" s="44"/>
      <c r="Q65" s="44"/>
      <c r="R65" s="44"/>
      <c r="S65" s="44"/>
      <c r="T65" s="44"/>
      <c r="U65" s="44"/>
      <c r="V65" s="44"/>
      <c r="W65" s="44"/>
      <c r="X65" s="44"/>
      <c r="Y65" s="44"/>
      <c r="Z65" s="44"/>
    </row>
    <row r="66" ht="15.75" customHeight="1">
      <c r="A66" s="44"/>
      <c r="B66" s="72" t="s">
        <v>312</v>
      </c>
      <c r="C66" s="44"/>
      <c r="D66" s="44"/>
      <c r="E66" s="44"/>
      <c r="F66" s="72" t="s">
        <v>313</v>
      </c>
      <c r="G66" s="44"/>
      <c r="H66" s="44"/>
      <c r="I66" s="44"/>
      <c r="J66" s="44"/>
      <c r="K66" s="44"/>
      <c r="L66" s="44"/>
      <c r="M66" s="44"/>
      <c r="N66" s="44"/>
      <c r="O66" s="44"/>
      <c r="P66" s="44"/>
      <c r="Q66" s="44"/>
      <c r="R66" s="44"/>
      <c r="S66" s="44"/>
      <c r="T66" s="44"/>
      <c r="U66" s="44"/>
      <c r="V66" s="44"/>
      <c r="W66" s="44"/>
      <c r="X66" s="44"/>
      <c r="Y66" s="44"/>
      <c r="Z66" s="44"/>
    </row>
    <row r="67" ht="15.75" customHeight="1">
      <c r="A67" s="44"/>
      <c r="B67" s="72" t="s">
        <v>219</v>
      </c>
      <c r="C67" s="44"/>
      <c r="D67" s="44"/>
      <c r="E67" s="44"/>
      <c r="F67" s="72" t="s">
        <v>314</v>
      </c>
      <c r="G67" s="44"/>
      <c r="H67" s="44"/>
      <c r="I67" s="44"/>
      <c r="J67" s="44"/>
      <c r="K67" s="44"/>
      <c r="L67" s="44"/>
      <c r="M67" s="44"/>
      <c r="N67" s="44"/>
      <c r="O67" s="44"/>
      <c r="P67" s="44"/>
      <c r="Q67" s="44"/>
      <c r="R67" s="44"/>
      <c r="S67" s="44"/>
      <c r="T67" s="44"/>
      <c r="U67" s="44"/>
      <c r="V67" s="44"/>
      <c r="W67" s="44"/>
      <c r="X67" s="44"/>
      <c r="Y67" s="44"/>
      <c r="Z67" s="44"/>
    </row>
    <row r="68" ht="15.75" customHeight="1">
      <c r="A68" s="44"/>
      <c r="B68" s="72" t="s">
        <v>135</v>
      </c>
      <c r="C68" s="44"/>
      <c r="D68" s="44"/>
      <c r="E68" s="44"/>
      <c r="F68" s="72" t="s">
        <v>315</v>
      </c>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72" t="s">
        <v>316</v>
      </c>
      <c r="D69" s="74" t="s">
        <v>317</v>
      </c>
      <c r="E69" s="44"/>
      <c r="F69" s="72" t="s">
        <v>318</v>
      </c>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72" t="s">
        <v>319</v>
      </c>
      <c r="E70" s="44"/>
      <c r="F70" s="72" t="s">
        <v>219</v>
      </c>
      <c r="G70" s="44"/>
      <c r="H70" s="44"/>
      <c r="I70" s="44"/>
      <c r="J70" s="44"/>
      <c r="K70" s="44"/>
      <c r="L70" s="44"/>
      <c r="M70" s="44"/>
      <c r="N70" s="44"/>
      <c r="O70" s="44"/>
      <c r="P70" s="44"/>
      <c r="Q70" s="44"/>
      <c r="R70" s="44"/>
      <c r="S70" s="44"/>
      <c r="T70" s="44"/>
      <c r="U70" s="44"/>
      <c r="V70" s="44"/>
      <c r="W70" s="44"/>
      <c r="X70" s="44"/>
      <c r="Y70" s="44"/>
      <c r="Z70" s="44"/>
    </row>
    <row r="71" ht="15.75" customHeight="1">
      <c r="A71" s="72" t="s">
        <v>320</v>
      </c>
      <c r="B71" s="44"/>
      <c r="C71" s="44"/>
      <c r="D71" s="72" t="s">
        <v>321</v>
      </c>
      <c r="E71" s="44"/>
      <c r="F71" s="72" t="s">
        <v>135</v>
      </c>
      <c r="G71" s="44"/>
      <c r="H71" s="44"/>
      <c r="I71" s="44"/>
      <c r="J71" s="44"/>
      <c r="K71" s="44"/>
      <c r="L71" s="44"/>
      <c r="M71" s="44"/>
      <c r="N71" s="44"/>
      <c r="O71" s="44"/>
      <c r="P71" s="44"/>
      <c r="Q71" s="44"/>
      <c r="R71" s="44"/>
      <c r="S71" s="44"/>
      <c r="T71" s="44"/>
      <c r="U71" s="44"/>
      <c r="V71" s="44"/>
      <c r="W71" s="44"/>
      <c r="X71" s="44"/>
      <c r="Y71" s="44"/>
      <c r="Z71" s="44"/>
    </row>
    <row r="72" ht="15.75" customHeight="1">
      <c r="A72" s="44"/>
      <c r="B72" s="75" t="s">
        <v>322</v>
      </c>
      <c r="C72" s="44"/>
      <c r="D72" s="72" t="s">
        <v>323</v>
      </c>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5" t="s">
        <v>324</v>
      </c>
      <c r="C73" s="44"/>
      <c r="D73" s="72" t="s">
        <v>219</v>
      </c>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5" t="s">
        <v>325</v>
      </c>
      <c r="C74" s="44"/>
      <c r="D74" s="72" t="s">
        <v>135</v>
      </c>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5" t="s">
        <v>326</v>
      </c>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5" t="s">
        <v>327</v>
      </c>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5" t="s">
        <v>219</v>
      </c>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5" t="s">
        <v>135</v>
      </c>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72" t="s">
        <v>328</v>
      </c>
      <c r="D80" s="74" t="s">
        <v>329</v>
      </c>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72" t="s">
        <v>330</v>
      </c>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72" t="s">
        <v>331</v>
      </c>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72" t="s">
        <v>332</v>
      </c>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72" t="s">
        <v>333</v>
      </c>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72" t="s">
        <v>334</v>
      </c>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72" t="s">
        <v>335</v>
      </c>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72" t="s">
        <v>135</v>
      </c>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72" t="s">
        <v>336</v>
      </c>
      <c r="D92" s="74" t="s">
        <v>337</v>
      </c>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72" t="s">
        <v>338</v>
      </c>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72" t="s">
        <v>339</v>
      </c>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72" t="s">
        <v>340</v>
      </c>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72" t="s">
        <v>341</v>
      </c>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72" t="s">
        <v>342</v>
      </c>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72" t="s">
        <v>219</v>
      </c>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72" t="s">
        <v>135</v>
      </c>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