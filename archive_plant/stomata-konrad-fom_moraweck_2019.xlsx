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4"/>
  <workbookPr/>
  <mc:AlternateContent xmlns:mc="http://schemas.openxmlformats.org/markup-compatibility/2006">
    <mc:Choice Requires="x15">
      <x15ac:absPath xmlns:x15ac="http://schemas.microsoft.com/office/spreadsheetml/2010/11/ac" url="/Users/Daphnia/Desktop/paleo pCO2 data base/archive/archive data files September 2020/"/>
    </mc:Choice>
  </mc:AlternateContent>
  <xr:revisionPtr revIDLastSave="0" documentId="13_ncr:1_{BFF9C9E2-4338-A24A-BA1C-D75D7843A084}" xr6:coauthVersionLast="36" xr6:coauthVersionMax="36" xr10:uidLastSave="{00000000-0000-0000-0000-000000000000}"/>
  <bookViews>
    <workbookView xWindow="1120" yWindow="460" windowWidth="28800" windowHeight="14240" tabRatio="500" xr2:uid="{00000000-000D-0000-FFFF-FFFF00000000}"/>
  </bookViews>
  <sheets>
    <sheet name="leaf gas-exchange_FOM" sheetId="1" r:id="rId1"/>
    <sheet name="Specifications and References" sheetId="2" r:id="rId2"/>
  </sheet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5" i="1" l="1"/>
  <c r="E5" i="1"/>
  <c r="F5" i="1"/>
  <c r="G5" i="1"/>
  <c r="H5" i="1"/>
  <c r="I5" i="1"/>
  <c r="J5" i="1"/>
  <c r="D6" i="1"/>
  <c r="E6" i="1"/>
  <c r="F6" i="1"/>
  <c r="G6" i="1"/>
  <c r="H6" i="1"/>
  <c r="I6" i="1"/>
  <c r="J6" i="1"/>
  <c r="D8" i="1"/>
  <c r="E8" i="1"/>
  <c r="F8" i="1"/>
  <c r="G8" i="1"/>
  <c r="H8" i="1"/>
  <c r="I8" i="1"/>
  <c r="J8" i="1"/>
  <c r="D7" i="1"/>
  <c r="E7" i="1"/>
  <c r="F7" i="1"/>
  <c r="G7" i="1"/>
  <c r="H7" i="1"/>
  <c r="I7" i="1"/>
  <c r="J7" i="1"/>
  <c r="D9" i="1"/>
  <c r="E9" i="1"/>
  <c r="F9" i="1"/>
  <c r="G9" i="1"/>
  <c r="H9" i="1"/>
  <c r="I9" i="1"/>
  <c r="J9" i="1"/>
  <c r="D10" i="1"/>
  <c r="E10" i="1"/>
  <c r="F10" i="1"/>
  <c r="G10" i="1"/>
  <c r="H10" i="1"/>
  <c r="I10" i="1"/>
  <c r="J10" i="1"/>
  <c r="D11" i="1"/>
  <c r="E11" i="1"/>
  <c r="F11" i="1"/>
  <c r="G11" i="1"/>
  <c r="H11" i="1"/>
  <c r="I11" i="1"/>
  <c r="J11" i="1"/>
  <c r="D12" i="1"/>
  <c r="E12" i="1"/>
  <c r="F12" i="1"/>
  <c r="G12" i="1"/>
  <c r="H12" i="1"/>
  <c r="I12" i="1"/>
  <c r="J12" i="1"/>
  <c r="D13" i="1"/>
  <c r="E13" i="1"/>
  <c r="F13" i="1"/>
  <c r="G13" i="1"/>
  <c r="H13" i="1"/>
  <c r="I13" i="1"/>
  <c r="J13" i="1"/>
  <c r="D14" i="1"/>
  <c r="E14" i="1"/>
  <c r="F14" i="1"/>
  <c r="G14" i="1"/>
  <c r="H14" i="1"/>
  <c r="I14" i="1"/>
  <c r="J14" i="1"/>
  <c r="D15" i="1"/>
  <c r="E15" i="1"/>
  <c r="F15" i="1"/>
  <c r="G15" i="1"/>
  <c r="H15" i="1"/>
  <c r="I15" i="1"/>
  <c r="J15" i="1"/>
  <c r="D16" i="1"/>
  <c r="E16" i="1"/>
  <c r="F16" i="1"/>
  <c r="G16" i="1"/>
  <c r="H16" i="1"/>
  <c r="I16" i="1"/>
  <c r="J16" i="1"/>
  <c r="D17" i="1"/>
  <c r="E17" i="1"/>
  <c r="F17" i="1"/>
  <c r="G17" i="1"/>
  <c r="H17" i="1"/>
  <c r="I17" i="1"/>
  <c r="J17" i="1"/>
  <c r="J4" i="1" l="1"/>
  <c r="I4" i="1"/>
  <c r="H4" i="1"/>
  <c r="G4" i="1"/>
  <c r="F4" i="1"/>
  <c r="E4" i="1"/>
  <c r="D4" i="1"/>
</calcChain>
</file>

<file path=xl/sharedStrings.xml><?xml version="1.0" encoding="utf-8"?>
<sst xmlns="http://schemas.openxmlformats.org/spreadsheetml/2006/main" count="618" uniqueCount="172">
  <si>
    <t>this spreadsheet is devised for the full optimality approach for stomatal conductance (FOM), see references below</t>
  </si>
  <si>
    <t>References</t>
  </si>
  <si>
    <t>Konrad, W; Roth-Nebelsick, A; Grein, M; 2008, Modelling of stomatal density response to atmospheric CO2,Journal of Theoretical Biology,253,4,638-658</t>
  </si>
  <si>
    <t>Grein, M; Konrad, W; Wilde, V; Utescher, T; Roth-Nebelsick, A; 2011,  Reconstruction of atmospheric CO 2 during the early middle Eocene by application of a gas exchange model to fossil plants from the Messel Formation, Germany, Palaeogeography, Palaeoclimatology, Palaeoecology,309,3,383-391</t>
  </si>
  <si>
    <t>REFERENCE AND CONTACT INFORMATION</t>
  </si>
  <si>
    <t>SAMPLE IDENTIFICATION</t>
  </si>
  <si>
    <t>AGE CONSTRAINTS</t>
  </si>
  <si>
    <t>TAXONOMIC INFORMATION</t>
  </si>
  <si>
    <t>COUNTING</t>
  </si>
  <si>
    <t>STOMATAL AND OTHER ANATOMICAL DATA</t>
  </si>
  <si>
    <t>d13C DATA</t>
  </si>
  <si>
    <t>BIOCHEMICAL DATA FROM EXTANT RELATIVE SPECIES</t>
  </si>
  <si>
    <t>PALEOCLIMATE INPUT DATA</t>
  </si>
  <si>
    <t>RESULTS</t>
  </si>
  <si>
    <t>Name of individual entering the data</t>
  </si>
  <si>
    <t>Contact email</t>
  </si>
  <si>
    <t>Reference of the data product</t>
  </si>
  <si>
    <t>DOI link to reference</t>
  </si>
  <si>
    <r>
      <t>Sample name</t>
    </r>
    <r>
      <rPr>
        <vertAlign val="superscript"/>
        <sz val="12"/>
        <color theme="1"/>
        <rFont val="Calibri"/>
        <family val="2"/>
        <scheme val="minor"/>
      </rPr>
      <t>a</t>
    </r>
  </si>
  <si>
    <t>Sample
Repository</t>
  </si>
  <si>
    <t>Location</t>
  </si>
  <si>
    <t>Geologic
Formation</t>
  </si>
  <si>
    <t>Stratigraphic level</t>
  </si>
  <si>
    <t>Age (Ma)</t>
  </si>
  <si>
    <t>Age uncertainty, old (Ma)</t>
  </si>
  <si>
    <t>Age uncertainty, young (Ma)</t>
  </si>
  <si>
    <t>Age scale (GTS20XX)</t>
  </si>
  <si>
    <t>How was age determined?</t>
  </si>
  <si>
    <t>Family</t>
  </si>
  <si>
    <t>Genus</t>
  </si>
  <si>
    <t>Species</t>
  </si>
  <si>
    <t>Counting Method
(Image, microscope)</t>
  </si>
  <si>
    <t>Counting box dimensions
(µm × µm)</t>
  </si>
  <si>
    <t>Stomatal pore length SL [µm]</t>
  </si>
  <si>
    <t>Stomatal pore depth  [µm] (derived from guard cell width)</t>
  </si>
  <si>
    <t>Maximum aperture width [µm] derived from pore length/2</t>
  </si>
  <si>
    <t>Reference for thickness of assimilating tissue</t>
  </si>
  <si>
    <t>Reference for porosity of leaf tissue</t>
  </si>
  <si>
    <t>Reference for tortuosity of leaf tissue</t>
  </si>
  <si>
    <t>Leaf length estimated [mm]</t>
  </si>
  <si>
    <t>Min q (=Vcmax) [µmol*m-2*s-1]</t>
  </si>
  <si>
    <t>Max q (=Vcmax) [µmol*m-2*s-1]</t>
  </si>
  <si>
    <t>References for q</t>
  </si>
  <si>
    <t>Reference for Rd25</t>
  </si>
  <si>
    <t>Paleoclimate reconstruction used for estimating air temperature range during vegetation period</t>
  </si>
  <si>
    <t>Reference for method for estimating air temperature range during vegetation period</t>
  </si>
  <si>
    <t>Mean T of vegetation period [°C] range of values as derived from paleoclimate reconstruction</t>
  </si>
  <si>
    <t>Min T of vegetation period [°C]</t>
  </si>
  <si>
    <t>Max T of vegetation period [°C]</t>
  </si>
  <si>
    <t>Paleoclimate reconstruction used for estimating  relative humidity during vegetation period</t>
  </si>
  <si>
    <t>Reference for relative humidity</t>
  </si>
  <si>
    <t>Mean relative humidity of vegetation period [%]</t>
  </si>
  <si>
    <t>Min relative humidity of vegetation period  [%]</t>
  </si>
  <si>
    <t>Max relative humidity of vegetation period [%]</t>
  </si>
  <si>
    <t>Wind speed [m/s] Estimation</t>
  </si>
  <si>
    <t>O2 of air [ppm]</t>
  </si>
  <si>
    <t>Reference for O2</t>
  </si>
  <si>
    <t>CO2 mean from resulting CO2 range [ppm]</t>
  </si>
  <si>
    <t>Min CO2 [ppm]</t>
  </si>
  <si>
    <t>Max CO2 [ppm]</t>
  </si>
  <si>
    <t>Platanaceae</t>
  </si>
  <si>
    <t>Evaluation of error margin:</t>
  </si>
  <si>
    <t>Environmental parameters are obtained by paleoclimate reconstruction, via coexistence approach and/or leaf margin analysis. The results are ranges.</t>
  </si>
  <si>
    <t>Ci/Ca is calculated from carbon isotopes of the fossil material. The result is a mean with standard deviation.</t>
  </si>
  <si>
    <t xml:space="preserve">With the introduction of the model approach (Konrad et al. 2008, Journal of Theoretical Biology 253, 638-658), the most “critical“ input parameters were identified. </t>
  </si>
  <si>
    <t>temperature T (of growing season))</t>
  </si>
  <si>
    <t>q</t>
  </si>
  <si>
    <t xml:space="preserve">Ci/Ca </t>
  </si>
  <si>
    <t>These are</t>
  </si>
  <si>
    <t xml:space="preserve">relative humidity </t>
  </si>
  <si>
    <t>q is obtained by measurement and literature values of extant relatives of the fossil taxon. Here, also ranges are the result.</t>
  </si>
  <si>
    <t xml:space="preserve">To approximate the error margin, the critical parameters were varied systematically: for each, the lowest and the highest value was inserted. </t>
  </si>
  <si>
    <t xml:space="preserve">While for q and environment this corresponds to the lower and upper end of the ranges, it is for Ci/Ca the mean plus and minus standard deviation. </t>
  </si>
  <si>
    <t xml:space="preserve">Critical parameters have the widest uncertainty ranges and the strongest influence on the results. </t>
  </si>
  <si>
    <t>proxy</t>
  </si>
  <si>
    <t>first_author_last_name</t>
  </si>
  <si>
    <t>publication_year</t>
  </si>
  <si>
    <t>doi</t>
  </si>
  <si>
    <t>age_ka</t>
  </si>
  <si>
    <t>Age_uncertainty_pos_ka</t>
  </si>
  <si>
    <t>Age_uncertainty_neg_ka</t>
  </si>
  <si>
    <t>Moraweck</t>
  </si>
  <si>
    <t>stomata-konrad-FOM</t>
  </si>
  <si>
    <t>Wilfried Konrad</t>
  </si>
  <si>
    <t>wilfried.konrad@uni-tuebingen.de</t>
  </si>
  <si>
    <t>Senckenberg Natural History Collections Dresden, Königsbrücker Landstr. 159, 01109 Dresden, Germany</t>
  </si>
  <si>
    <t>Peres 3u</t>
  </si>
  <si>
    <t>Priabonian</t>
  </si>
  <si>
    <t xml:space="preserve">Borna-Formation, Bruckdorf-Member </t>
  </si>
  <si>
    <t>Biostratigraphy, SPP-zone 18 ou</t>
  </si>
  <si>
    <t>Myrtaceae</t>
  </si>
  <si>
    <t xml:space="preserve">Rhodomyrtophyllum </t>
  </si>
  <si>
    <t>reticulosum</t>
  </si>
  <si>
    <t>11 leaves</t>
  </si>
  <si>
    <t>Grein et al., 2011 (10.1016/j.palaeo.2011.07.008)</t>
  </si>
  <si>
    <t>37,2 (10,2)</t>
  </si>
  <si>
    <t>Coexistence Approach / CLAMP</t>
  </si>
  <si>
    <t>35,2 (12,3)</t>
  </si>
  <si>
    <t>Knau</t>
  </si>
  <si>
    <t xml:space="preserve">Biostratigraphy, SPP-zone 18 </t>
  </si>
  <si>
    <t>43,1 (17,6)</t>
  </si>
  <si>
    <t>Haselbach-2-3-mi</t>
  </si>
  <si>
    <t>30,9 (10,4)</t>
  </si>
  <si>
    <t>Profen-Sued LC</t>
  </si>
  <si>
    <t>Latest Bartonian/Early or middle Priabonian</t>
  </si>
  <si>
    <t>Borna-Formation, Zeitz Member</t>
  </si>
  <si>
    <t xml:space="preserve">Biostratigraphy, SPP-zone ?17/18 to 18 </t>
  </si>
  <si>
    <t>41,0 (18,6)</t>
  </si>
  <si>
    <t>Kayna-Sued</t>
  </si>
  <si>
    <t>Bartonian</t>
  </si>
  <si>
    <t>Janus-cauldron</t>
  </si>
  <si>
    <t xml:space="preserve">Biostratigraphy, SPP-zone 17/18 </t>
  </si>
  <si>
    <t>35,6 (1,3)</t>
  </si>
  <si>
    <t xml:space="preserve">Profen-Schwerzau ZC </t>
  </si>
  <si>
    <t>33,4 (11,9)</t>
  </si>
  <si>
    <t>Witznitz WC</t>
  </si>
  <si>
    <t>Chattian or Chattian-Aquitanian boundary</t>
  </si>
  <si>
    <t xml:space="preserve">Cottbus Formation, Thierbach Member </t>
  </si>
  <si>
    <t xml:space="preserve">Platanus </t>
  </si>
  <si>
    <t>neptuni</t>
  </si>
  <si>
    <t>12,2 (4,1)</t>
  </si>
  <si>
    <t xml:space="preserve">Borna-Ost-Bockwitz TC
</t>
  </si>
  <si>
    <t>Chattian</t>
  </si>
  <si>
    <t>17,8 (6,6)</t>
  </si>
  <si>
    <t>Witznitz TC</t>
  </si>
  <si>
    <t>15,5 (1,3)</t>
  </si>
  <si>
    <t>Flörsheim</t>
  </si>
  <si>
    <t>Rupelian</t>
  </si>
  <si>
    <t xml:space="preserve">Bodenheim Formation and Hochberg Subformation </t>
  </si>
  <si>
    <t>20,8 (10,7)</t>
  </si>
  <si>
    <t>Seifhennersdorf</t>
  </si>
  <si>
    <t>not determined</t>
  </si>
  <si>
    <t>18,8 (2,8)</t>
  </si>
  <si>
    <t>Rauenberg</t>
  </si>
  <si>
    <t xml:space="preserve">Fischschiefer Subformation </t>
  </si>
  <si>
    <t>21,8 (6,6)</t>
  </si>
  <si>
    <t>Schleenhain HC</t>
  </si>
  <si>
    <t xml:space="preserve">Böhlen Formation, Gröbers Member </t>
  </si>
  <si>
    <t>17,2 (4,3)</t>
  </si>
  <si>
    <r>
      <rPr>
        <vertAlign val="superscript"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 xml:space="preserve"> Sample unit is a single leaf</t>
    </r>
  </si>
  <si>
    <r>
      <rPr>
        <vertAlign val="superscript"/>
        <sz val="12"/>
        <color theme="1"/>
        <rFont val="Calibri"/>
        <family val="2"/>
        <scheme val="minor"/>
      </rPr>
      <t>b</t>
    </r>
    <r>
      <rPr>
        <sz val="12"/>
        <color theme="1"/>
        <rFont val="Calibri"/>
        <family val="2"/>
        <scheme val="minor"/>
      </rPr>
      <t xml:space="preserve"> data to be obtained from extant relative species</t>
    </r>
  </si>
  <si>
    <r>
      <t>Number of counts</t>
    </r>
    <r>
      <rPr>
        <vertAlign val="superscript"/>
        <sz val="12"/>
        <rFont val="Calibri"/>
        <family val="2"/>
        <scheme val="minor"/>
      </rPr>
      <t>a</t>
    </r>
  </si>
  <si>
    <r>
      <rPr>
        <sz val="12"/>
        <color theme="1"/>
        <rFont val="Calibri"/>
        <family val="2"/>
        <scheme val="minor"/>
      </rPr>
      <t>Stomatal density SD [1/mm</t>
    </r>
    <r>
      <rPr>
        <vertAlign val="superscript"/>
        <sz val="12"/>
        <color rgb="FF000000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 xml:space="preserve">] </t>
    </r>
  </si>
  <si>
    <r>
      <t>2</t>
    </r>
    <r>
      <rPr>
        <sz val="12"/>
        <color rgb="FF000000"/>
        <rFont val="Symbol"/>
        <family val="1"/>
        <charset val="2"/>
      </rPr>
      <t xml:space="preserve">s </t>
    </r>
    <r>
      <rPr>
        <sz val="12"/>
        <color rgb="FF000000"/>
        <rFont val="Calibri"/>
        <family val="2"/>
        <scheme val="minor"/>
      </rPr>
      <t>uncertainty</t>
    </r>
  </si>
  <si>
    <r>
      <t>Thickness of assimilating tissue  [µm] own measurements or estimation from literature</t>
    </r>
    <r>
      <rPr>
        <vertAlign val="superscript"/>
        <sz val="12"/>
        <color rgb="FF000000"/>
        <rFont val="Calibri"/>
        <family val="2"/>
        <scheme val="minor"/>
      </rPr>
      <t>b</t>
    </r>
  </si>
  <si>
    <r>
      <t>if own measurements: 2</t>
    </r>
    <r>
      <rPr>
        <sz val="12"/>
        <color rgb="FF000000"/>
        <rFont val="Symbol"/>
        <family val="1"/>
        <charset val="2"/>
      </rPr>
      <t xml:space="preserve">s </t>
    </r>
    <r>
      <rPr>
        <sz val="12"/>
        <color rgb="FF000000"/>
        <rFont val="Calibri"/>
        <family val="2"/>
        <scheme val="minor"/>
      </rPr>
      <t>uncertainty</t>
    </r>
  </si>
  <si>
    <r>
      <t>Porosity of leaf tissue</t>
    </r>
    <r>
      <rPr>
        <vertAlign val="superscript"/>
        <sz val="12"/>
        <color rgb="FF000000"/>
        <rFont val="Calibri"/>
        <family val="2"/>
        <scheme val="minor"/>
      </rPr>
      <t xml:space="preserve">b </t>
    </r>
    <r>
      <rPr>
        <sz val="12"/>
        <color rgb="FF000000"/>
        <rFont val="Calibri"/>
        <family val="2"/>
        <scheme val="minor"/>
      </rPr>
      <t>[-]</t>
    </r>
  </si>
  <si>
    <r>
      <t>Tortuosity of leaf tissue</t>
    </r>
    <r>
      <rPr>
        <vertAlign val="superscript"/>
        <sz val="12"/>
        <color rgb="FF000000"/>
        <rFont val="Calibri"/>
        <family val="2"/>
        <scheme val="minor"/>
      </rPr>
      <t xml:space="preserve">b </t>
    </r>
    <r>
      <rPr>
        <sz val="12"/>
        <color rgb="FF000000"/>
        <rFont val="Calibri"/>
        <family val="2"/>
        <scheme val="minor"/>
      </rPr>
      <t>[-]</t>
    </r>
  </si>
  <si>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scheme val="minor"/>
      </rPr>
      <t>d</t>
    </r>
    <r>
      <rPr>
        <vertAlign val="superscript"/>
        <sz val="12"/>
        <color rgb="FF000000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C atmosphere calculated from marine carbonates [‰]</t>
    </r>
  </si>
  <si>
    <r>
      <rPr>
        <sz val="12"/>
        <color theme="1"/>
        <rFont val="Calibri"/>
        <family val="2"/>
        <scheme val="minor"/>
      </rPr>
      <t xml:space="preserve"> Reference for </t>
    </r>
    <r>
      <rPr>
        <sz val="12"/>
        <color rgb="FF000000"/>
        <rFont val="Calibri"/>
        <family val="2"/>
        <scheme val="minor"/>
      </rPr>
      <t>d</t>
    </r>
    <r>
      <rPr>
        <vertAlign val="superscript"/>
        <sz val="12"/>
        <color rgb="FF000000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C atmosphere calculated from marine carbonates</t>
    </r>
  </si>
  <si>
    <r>
      <t>d</t>
    </r>
    <r>
      <rPr>
        <vertAlign val="superscript"/>
        <sz val="12"/>
        <color rgb="FF000000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C plant material [‰]</t>
    </r>
  </si>
  <si>
    <r>
      <rPr>
        <sz val="12"/>
        <color theme="1"/>
        <rFont val="Calibri"/>
        <family val="2"/>
        <scheme val="minor"/>
      </rPr>
      <t xml:space="preserve">Ci/Ca from </t>
    </r>
    <r>
      <rPr>
        <sz val="12"/>
        <color rgb="FF000000"/>
        <rFont val="Calibri"/>
        <family val="2"/>
        <scheme val="minor"/>
      </rPr>
      <t>d</t>
    </r>
    <r>
      <rPr>
        <vertAlign val="superscript"/>
        <sz val="12"/>
        <color rgb="FF000000"/>
        <rFont val="Calibri"/>
        <family val="2"/>
        <scheme val="minor"/>
      </rPr>
      <t>13</t>
    </r>
    <r>
      <rPr>
        <sz val="12"/>
        <color theme="1"/>
        <rFont val="Calibri"/>
        <family val="2"/>
        <scheme val="minor"/>
      </rPr>
      <t>C [-]</t>
    </r>
  </si>
  <si>
    <r>
      <t>Mean q (=Vcmax) [µmol*m-2*s-1] range of values as derived from literature</t>
    </r>
    <r>
      <rPr>
        <vertAlign val="superscript"/>
        <sz val="12"/>
        <color rgb="FF000000"/>
        <rFont val="Calibri"/>
        <family val="2"/>
        <scheme val="minor"/>
      </rPr>
      <t>b</t>
    </r>
  </si>
  <si>
    <r>
      <rPr>
        <sz val="12"/>
        <color theme="1"/>
        <rFont val="Calibri"/>
        <family val="2"/>
        <scheme val="minor"/>
      </rPr>
      <t>Rd25 [µmol*m</t>
    </r>
    <r>
      <rPr>
        <vertAlign val="superscript"/>
        <sz val="12"/>
        <color rgb="FF000000"/>
        <rFont val="Calibri"/>
        <family val="2"/>
        <scheme val="minor"/>
      </rPr>
      <t>-2</t>
    </r>
    <r>
      <rPr>
        <sz val="12"/>
        <color theme="1"/>
        <rFont val="Calibri"/>
        <family val="2"/>
        <scheme val="minor"/>
      </rPr>
      <t>*s</t>
    </r>
    <r>
      <rPr>
        <vertAlign val="superscript"/>
        <sz val="12"/>
        <color rgb="FF000000"/>
        <rFont val="Calibri"/>
        <family val="2"/>
        <scheme val="minor"/>
      </rPr>
      <t>-1</t>
    </r>
    <r>
      <rPr>
        <sz val="12"/>
        <color theme="1"/>
        <rFont val="Calibri"/>
        <family val="2"/>
        <scheme val="minor"/>
      </rPr>
      <t>] as derived from literature</t>
    </r>
    <r>
      <rPr>
        <vertAlign val="superscript"/>
        <sz val="12"/>
        <color theme="1"/>
        <rFont val="Calibri"/>
        <family val="2"/>
        <scheme val="minor"/>
      </rPr>
      <t>b</t>
    </r>
  </si>
  <si>
    <t>Moraweck K, Grein M, Konrad W, Kovar-Eder J, Kvacek J, Neinhuis C, Roth-Nebelsick A, Traiser C, Kunzmann L. 2019. Leaf traits of long-ranging Paleogene species and their relationship with depositional facies, climate and atmospheric CO2 level. Palaeontographica B, v. 298, p. 93-172.</t>
  </si>
  <si>
    <t>10.1127/palb/2019/0062</t>
  </si>
  <si>
    <t>CO2_ppm</t>
  </si>
  <si>
    <t>CO2_uncertainty_pos_ppm</t>
  </si>
  <si>
    <t>NA</t>
  </si>
  <si>
    <t>CO2_uncertainty_neg_ppm</t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</si>
  <si>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</si>
  <si>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</si>
  <si>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</si>
  <si>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</si>
  <si>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Tipple et al., 2010 (10.1029/2009PA001851)</t>
  </si>
  <si>
    <t>Grein, M., Oehm, C., Konrad, W., Utescher, T., Kunzmann, L., and Roth-Nebelsick, A., 2013, Atmospheric CO2 from the late Oligocene to early Miocene based on photosynthesis data and fossil leaf characteristics: Palaeogeography, Palaeoclimatology, Palaeoecology, 374,  41-51</t>
  </si>
  <si>
    <t>Coexistence Approach</t>
  </si>
  <si>
    <t>Utescher, T., Bruch, A. A., Erdei, B., François, L., Ivanov, D., Jacques, F. M. B., Kern, A. K., Liu, Y. S., Mosbrugger, V., and Spicer, R. A., 2014, The Coexistence Approach—Theoretical background and practical considerations of using plant fossils for climate quantification: Palaeogeography, Palaeoclimatology, Palaeoecology, 410: 58-73</t>
  </si>
  <si>
    <t xml:space="preserve">Schleenhain-2o </t>
  </si>
  <si>
    <t>5 leaves</t>
  </si>
  <si>
    <t>6 leaves</t>
  </si>
  <si>
    <r>
      <rPr>
        <vertAlign val="superscript"/>
        <sz val="12"/>
        <color theme="1"/>
        <rFont val="Calibri"/>
        <family val="2"/>
        <charset val="1"/>
      </rPr>
      <t>40</t>
    </r>
    <r>
      <rPr>
        <sz val="12"/>
        <color theme="1"/>
        <rFont val="Calibri"/>
        <family val="2"/>
        <charset val="1"/>
      </rPr>
      <t>K-</t>
    </r>
    <r>
      <rPr>
        <vertAlign val="superscript"/>
        <sz val="12"/>
        <color theme="1"/>
        <rFont val="Calibri"/>
        <family val="2"/>
        <charset val="1"/>
      </rPr>
      <t>40</t>
    </r>
    <r>
      <rPr>
        <sz val="12"/>
        <color theme="1"/>
        <rFont val="Calibri"/>
        <family val="2"/>
        <charset val="1"/>
      </rPr>
      <t>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</si>
</sst>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"/>
  </numFmts>
  <fonts count="1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Verdana"/>
      <family val="2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vertAlign val="superscript"/>
      <sz val="12"/>
      <name val="Calibri"/>
      <family val="2"/>
      <scheme val="minor"/>
    </font>
    <font>
      <vertAlign val="superscript"/>
      <sz val="12"/>
      <color rgb="FF000000"/>
      <name val="Calibri"/>
      <family val="2"/>
      <scheme val="minor"/>
    </font>
    <font>
      <sz val="12"/>
      <color rgb="FF000000"/>
      <name val="Symbol"/>
      <family val="1"/>
      <charset val="2"/>
    </font>
    <font>
      <sz val="12"/>
      <name val="Calibri"/>
      <family val="2"/>
    </font>
    <font>
      <sz val="12"/>
      <color rgb="FF000000"/>
      <name val="Calibri"/>
      <family val="2"/>
      <charset val="1"/>
    </font>
    <font>
      <sz val="11"/>
      <name val="Calibri"/>
      <family val="2"/>
      <scheme val="minor"/>
    </font>
    <font>
      <sz val="12"/>
      <color theme="1"/>
      <name val="Calibri"/>
      <family val="2"/>
      <charset val="1"/>
    </font>
    <font>
      <vertAlign val="superscript"/>
      <sz val="12"/>
      <color theme="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6" fillId="0" borderId="0"/>
    <xf numFmtId="0" fontId="1" fillId="0" borderId="0"/>
  </cellStyleXfs>
  <cellXfs count="42">
    <xf numFmtId="0" fontId="0" fillId="0" borderId="0" xfId="0"/>
    <xf numFmtId="0" fontId="4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5" fillId="2" borderId="1" xfId="0" applyFont="1" applyFill="1" applyBorder="1" applyAlignment="1">
      <alignment horizontal="center"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0" fillId="5" borderId="1" xfId="0" applyFont="1" applyFill="1" applyBorder="1" applyAlignment="1">
      <alignment vertical="top" wrapText="1"/>
    </xf>
    <xf numFmtId="0" fontId="2" fillId="0" borderId="1" xfId="0" applyNumberFormat="1" applyFont="1" applyBorder="1" applyAlignment="1">
      <alignment vertical="top"/>
    </xf>
    <xf numFmtId="0" fontId="0" fillId="4" borderId="1" xfId="0" applyNumberFormat="1" applyFont="1" applyFill="1" applyBorder="1" applyAlignment="1">
      <alignment vertical="top" wrapText="1"/>
    </xf>
    <xf numFmtId="0" fontId="0" fillId="0" borderId="0" xfId="0" applyFont="1" applyFill="1" applyAlignment="1">
      <alignment vertical="top" wrapText="1"/>
    </xf>
    <xf numFmtId="0" fontId="0" fillId="0" borderId="0" xfId="0" applyFont="1"/>
    <xf numFmtId="0" fontId="0" fillId="0" borderId="0" xfId="0" applyNumberFormat="1" applyFont="1"/>
    <xf numFmtId="0" fontId="8" fillId="0" borderId="0" xfId="0" applyFont="1"/>
    <xf numFmtId="0" fontId="8" fillId="6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left" vertical="top" wrapText="1"/>
    </xf>
    <xf numFmtId="0" fontId="7" fillId="7" borderId="1" xfId="1" applyFont="1" applyFill="1" applyBorder="1" applyAlignment="1">
      <alignment vertical="top" wrapText="1"/>
    </xf>
    <xf numFmtId="0" fontId="7" fillId="8" borderId="1" xfId="1" applyFont="1" applyFill="1" applyBorder="1" applyAlignment="1">
      <alignment vertical="top" wrapText="1"/>
    </xf>
    <xf numFmtId="0" fontId="7" fillId="9" borderId="1" xfId="1" applyFont="1" applyFill="1" applyBorder="1" applyAlignment="1">
      <alignment vertical="top" wrapText="1"/>
    </xf>
    <xf numFmtId="0" fontId="7" fillId="10" borderId="1" xfId="1" applyFont="1" applyFill="1" applyBorder="1" applyAlignment="1">
      <alignment vertical="top" wrapText="1"/>
    </xf>
    <xf numFmtId="0" fontId="7" fillId="11" borderId="1" xfId="1" applyFont="1" applyFill="1" applyBorder="1" applyAlignment="1">
      <alignment vertical="top" wrapText="1"/>
    </xf>
    <xf numFmtId="0" fontId="0" fillId="0" borderId="0" xfId="0" applyFont="1" applyAlignment="1"/>
    <xf numFmtId="165" fontId="12" fillId="0" borderId="0" xfId="0" applyNumberFormat="1" applyFont="1" applyAlignment="1"/>
    <xf numFmtId="0" fontId="0" fillId="0" borderId="0" xfId="0" applyFont="1" applyAlignment="1">
      <alignment vertical="center"/>
    </xf>
    <xf numFmtId="0" fontId="13" fillId="0" borderId="0" xfId="1" applyFont="1" applyAlignment="1">
      <alignment vertical="center"/>
    </xf>
    <xf numFmtId="0" fontId="7" fillId="0" borderId="0" xfId="1" applyFont="1" applyBorder="1" applyAlignment="1">
      <alignment vertical="center"/>
    </xf>
    <xf numFmtId="164" fontId="7" fillId="0" borderId="0" xfId="1" applyNumberFormat="1" applyFont="1" applyBorder="1" applyAlignment="1"/>
    <xf numFmtId="0" fontId="13" fillId="0" borderId="0" xfId="1" applyFont="1" applyFill="1" applyAlignment="1">
      <alignment vertical="center"/>
    </xf>
    <xf numFmtId="0" fontId="13" fillId="0" borderId="0" xfId="1" applyFont="1" applyAlignment="1"/>
    <xf numFmtId="0" fontId="7" fillId="0" borderId="0" xfId="1" applyFont="1" applyBorder="1" applyAlignment="1"/>
    <xf numFmtId="0" fontId="0" fillId="0" borderId="0" xfId="0" applyFont="1" applyFill="1"/>
    <xf numFmtId="0" fontId="7" fillId="0" borderId="0" xfId="1" applyNumberFormat="1" applyFont="1" applyBorder="1" applyAlignment="1"/>
    <xf numFmtId="0" fontId="7" fillId="0" borderId="0" xfId="1" applyFont="1" applyBorder="1" applyAlignment="1">
      <alignment wrapText="1"/>
    </xf>
    <xf numFmtId="0" fontId="7" fillId="0" borderId="0" xfId="1" applyNumberFormat="1" applyFont="1" applyBorder="1" applyAlignment="1">
      <alignment wrapText="1"/>
    </xf>
    <xf numFmtId="0" fontId="0" fillId="0" borderId="0" xfId="0" applyFont="1" applyFill="1" applyAlignment="1">
      <alignment vertical="center"/>
    </xf>
    <xf numFmtId="0" fontId="0" fillId="3" borderId="1" xfId="0" applyFill="1" applyBorder="1" applyAlignment="1">
      <alignment vertical="top"/>
    </xf>
    <xf numFmtId="0" fontId="14" fillId="3" borderId="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right"/>
    </xf>
    <xf numFmtId="0" fontId="7" fillId="0" borderId="2" xfId="0" applyFont="1" applyBorder="1" applyAlignment="1"/>
    <xf numFmtId="0" fontId="15" fillId="0" borderId="0" xfId="1" applyFont="1" applyAlignment="1">
      <alignment vertical="center"/>
    </xf>
  </cellXfs>
  <cellStyles count="3">
    <cellStyle name="Normal" xfId="0" builtinId="0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Z33"/>
  <sheetViews>
    <sheetView tabSelected="1" topLeftCell="V1" workbookViewId="0">
      <selection activeCell="H4" sqref="H4"/>
    </sheetView>
  </sheetViews>
  <sheetFormatPr baseColWidth="10" defaultColWidth="11" defaultRowHeight="16"/>
  <cols>
    <col min="1" max="24" width="11" style="12"/>
    <col min="25" max="28" width="11" style="13"/>
    <col min="29" max="16384" width="11" style="12"/>
  </cols>
  <sheetData>
    <row r="2" spans="1:78" s="4" customFormat="1">
      <c r="K2" s="1" t="s">
        <v>4</v>
      </c>
      <c r="L2" s="2"/>
      <c r="M2" s="2"/>
      <c r="N2" s="2"/>
      <c r="O2" s="2" t="s">
        <v>5</v>
      </c>
      <c r="P2" s="2"/>
      <c r="Q2" s="2"/>
      <c r="R2" s="2"/>
      <c r="S2" s="2"/>
      <c r="T2" s="2" t="s">
        <v>6</v>
      </c>
      <c r="U2" s="2"/>
      <c r="V2" s="2"/>
      <c r="W2" s="2"/>
      <c r="X2" s="2"/>
      <c r="Y2" s="9"/>
      <c r="Z2" s="9"/>
      <c r="AA2" s="9"/>
      <c r="AB2" s="9"/>
      <c r="AC2" s="2" t="s">
        <v>7</v>
      </c>
      <c r="AD2" s="2"/>
      <c r="AE2" s="2"/>
      <c r="AF2" s="2" t="s">
        <v>8</v>
      </c>
      <c r="AG2" s="2"/>
      <c r="AH2" s="3"/>
      <c r="AI2" s="2" t="s">
        <v>9</v>
      </c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 t="s">
        <v>10</v>
      </c>
      <c r="AZ2" s="2"/>
      <c r="BA2" s="2"/>
      <c r="BB2" s="2"/>
      <c r="BC2" s="2"/>
      <c r="BD2" s="2"/>
      <c r="BE2" s="2" t="s">
        <v>11</v>
      </c>
      <c r="BF2" s="2"/>
      <c r="BG2" s="2"/>
      <c r="BH2" s="2"/>
      <c r="BI2" s="2"/>
      <c r="BJ2" s="2"/>
      <c r="BK2" s="2" t="s">
        <v>12</v>
      </c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 t="s">
        <v>13</v>
      </c>
      <c r="BY2" s="2"/>
      <c r="BZ2" s="2"/>
    </row>
    <row r="3" spans="1:78" ht="188" thickBot="1">
      <c r="A3" s="11" t="s">
        <v>74</v>
      </c>
      <c r="B3" s="11" t="s">
        <v>75</v>
      </c>
      <c r="C3" s="11" t="s">
        <v>76</v>
      </c>
      <c r="D3" s="11" t="s">
        <v>77</v>
      </c>
      <c r="E3" s="11" t="s">
        <v>78</v>
      </c>
      <c r="F3" s="11" t="s">
        <v>79</v>
      </c>
      <c r="G3" s="11" t="s">
        <v>80</v>
      </c>
      <c r="H3" s="11" t="s">
        <v>156</v>
      </c>
      <c r="I3" s="11" t="s">
        <v>157</v>
      </c>
      <c r="J3" s="11" t="s">
        <v>159</v>
      </c>
      <c r="K3" s="5" t="s">
        <v>14</v>
      </c>
      <c r="L3" s="5" t="s">
        <v>15</v>
      </c>
      <c r="M3" s="5" t="s">
        <v>16</v>
      </c>
      <c r="N3" s="5" t="s">
        <v>17</v>
      </c>
      <c r="O3" s="6" t="s">
        <v>18</v>
      </c>
      <c r="P3" s="6" t="s">
        <v>19</v>
      </c>
      <c r="Q3" s="36" t="s">
        <v>20</v>
      </c>
      <c r="R3" s="6" t="s">
        <v>21</v>
      </c>
      <c r="S3" s="37" t="s">
        <v>22</v>
      </c>
      <c r="T3" s="7" t="s">
        <v>23</v>
      </c>
      <c r="U3" s="7" t="s">
        <v>24</v>
      </c>
      <c r="V3" s="7" t="s">
        <v>25</v>
      </c>
      <c r="W3" s="7" t="s">
        <v>26</v>
      </c>
      <c r="X3" s="7" t="s">
        <v>27</v>
      </c>
      <c r="Y3" s="10" t="s">
        <v>160</v>
      </c>
      <c r="Z3" s="10" t="s">
        <v>161</v>
      </c>
      <c r="AA3" s="38" t="s">
        <v>162</v>
      </c>
      <c r="AB3" s="38" t="s">
        <v>163</v>
      </c>
      <c r="AC3" s="8" t="s">
        <v>28</v>
      </c>
      <c r="AD3" s="8" t="s">
        <v>29</v>
      </c>
      <c r="AE3" s="8" t="s">
        <v>30</v>
      </c>
      <c r="AF3" s="15" t="s">
        <v>31</v>
      </c>
      <c r="AG3" s="15" t="s">
        <v>32</v>
      </c>
      <c r="AH3" s="16" t="s">
        <v>141</v>
      </c>
      <c r="AI3" s="17" t="s">
        <v>142</v>
      </c>
      <c r="AJ3" s="17" t="s">
        <v>143</v>
      </c>
      <c r="AK3" s="17" t="s">
        <v>33</v>
      </c>
      <c r="AL3" s="17" t="s">
        <v>143</v>
      </c>
      <c r="AM3" s="17" t="s">
        <v>34</v>
      </c>
      <c r="AN3" s="17" t="s">
        <v>143</v>
      </c>
      <c r="AO3" s="17" t="s">
        <v>35</v>
      </c>
      <c r="AP3" s="17" t="s">
        <v>143</v>
      </c>
      <c r="AQ3" s="17" t="s">
        <v>144</v>
      </c>
      <c r="AR3" s="17" t="s">
        <v>145</v>
      </c>
      <c r="AS3" s="17" t="s">
        <v>36</v>
      </c>
      <c r="AT3" s="17" t="s">
        <v>146</v>
      </c>
      <c r="AU3" s="17" t="s">
        <v>37</v>
      </c>
      <c r="AV3" s="17" t="s">
        <v>147</v>
      </c>
      <c r="AW3" s="17" t="s">
        <v>38</v>
      </c>
      <c r="AX3" s="17" t="s">
        <v>39</v>
      </c>
      <c r="AY3" s="18" t="s">
        <v>148</v>
      </c>
      <c r="AZ3" s="18" t="s">
        <v>149</v>
      </c>
      <c r="BA3" s="18" t="s">
        <v>150</v>
      </c>
      <c r="BB3" s="18" t="s">
        <v>143</v>
      </c>
      <c r="BC3" s="18" t="s">
        <v>151</v>
      </c>
      <c r="BD3" s="18" t="s">
        <v>143</v>
      </c>
      <c r="BE3" s="19" t="s">
        <v>152</v>
      </c>
      <c r="BF3" s="19" t="s">
        <v>40</v>
      </c>
      <c r="BG3" s="19" t="s">
        <v>41</v>
      </c>
      <c r="BH3" s="19" t="s">
        <v>42</v>
      </c>
      <c r="BI3" s="19" t="s">
        <v>153</v>
      </c>
      <c r="BJ3" s="19" t="s">
        <v>43</v>
      </c>
      <c r="BK3" s="20" t="s">
        <v>44</v>
      </c>
      <c r="BL3" s="20" t="s">
        <v>45</v>
      </c>
      <c r="BM3" s="20" t="s">
        <v>46</v>
      </c>
      <c r="BN3" s="20" t="s">
        <v>47</v>
      </c>
      <c r="BO3" s="20" t="s">
        <v>48</v>
      </c>
      <c r="BP3" s="20" t="s">
        <v>49</v>
      </c>
      <c r="BQ3" s="20" t="s">
        <v>50</v>
      </c>
      <c r="BR3" s="20" t="s">
        <v>51</v>
      </c>
      <c r="BS3" s="20" t="s">
        <v>52</v>
      </c>
      <c r="BT3" s="20" t="s">
        <v>53</v>
      </c>
      <c r="BU3" s="20" t="s">
        <v>54</v>
      </c>
      <c r="BV3" s="20" t="s">
        <v>55</v>
      </c>
      <c r="BW3" s="20" t="s">
        <v>56</v>
      </c>
      <c r="BX3" s="21" t="s">
        <v>57</v>
      </c>
      <c r="BY3" s="21" t="s">
        <v>58</v>
      </c>
      <c r="BZ3" s="21" t="s">
        <v>59</v>
      </c>
    </row>
    <row r="4" spans="1:78" s="24" customFormat="1" ht="17" thickBot="1">
      <c r="A4" s="22" t="s">
        <v>82</v>
      </c>
      <c r="B4" s="22" t="s">
        <v>81</v>
      </c>
      <c r="C4" s="22">
        <v>2019</v>
      </c>
      <c r="D4" s="22" t="str">
        <f>N4</f>
        <v>10.1127/palb/2019/0062</v>
      </c>
      <c r="E4" s="22">
        <f>T4*1000</f>
        <v>35600</v>
      </c>
      <c r="F4" s="22">
        <f>(U4-T4)*1000</f>
        <v>199.99999999999574</v>
      </c>
      <c r="G4" s="22">
        <f>(T4-V4)*1000</f>
        <v>200.00000000000284</v>
      </c>
      <c r="H4" s="22">
        <f>BX4</f>
        <v>433</v>
      </c>
      <c r="I4" s="22">
        <f>BZ4-BX4</f>
        <v>154</v>
      </c>
      <c r="J4" s="22">
        <f>BX4-BY4</f>
        <v>153</v>
      </c>
      <c r="K4" s="23" t="s">
        <v>83</v>
      </c>
      <c r="L4" s="23" t="s">
        <v>84</v>
      </c>
      <c r="M4" s="35" t="s">
        <v>154</v>
      </c>
      <c r="N4" s="31" t="s">
        <v>155</v>
      </c>
      <c r="O4" s="25" t="s">
        <v>158</v>
      </c>
      <c r="P4" s="24" t="s">
        <v>85</v>
      </c>
      <c r="Q4" s="25" t="s">
        <v>86</v>
      </c>
      <c r="R4" s="25" t="s">
        <v>87</v>
      </c>
      <c r="S4" s="25" t="s">
        <v>88</v>
      </c>
      <c r="T4" s="25">
        <v>35.6</v>
      </c>
      <c r="U4" s="25">
        <v>35.799999999999997</v>
      </c>
      <c r="V4" s="25">
        <v>35.4</v>
      </c>
      <c r="W4" s="25" t="s">
        <v>158</v>
      </c>
      <c r="X4" s="25" t="s">
        <v>89</v>
      </c>
      <c r="Y4" s="25" t="s">
        <v>158</v>
      </c>
      <c r="Z4" s="25" t="s">
        <v>158</v>
      </c>
      <c r="AA4" s="39" t="s">
        <v>158</v>
      </c>
      <c r="AB4" s="39" t="s">
        <v>158</v>
      </c>
      <c r="AC4" s="25" t="s">
        <v>90</v>
      </c>
      <c r="AD4" s="25" t="s">
        <v>91</v>
      </c>
      <c r="AE4" s="25" t="s">
        <v>92</v>
      </c>
      <c r="AF4" s="25" t="s">
        <v>158</v>
      </c>
      <c r="AG4" s="26" t="s">
        <v>93</v>
      </c>
      <c r="AH4" s="25">
        <v>46</v>
      </c>
      <c r="AI4" s="25">
        <v>259</v>
      </c>
      <c r="AJ4" s="25">
        <v>110</v>
      </c>
      <c r="AK4" s="25">
        <v>7.5</v>
      </c>
      <c r="AL4" s="25">
        <v>1.7</v>
      </c>
      <c r="AM4" s="25">
        <v>11.65</v>
      </c>
      <c r="AN4" s="25">
        <v>1.5</v>
      </c>
      <c r="AO4" s="25">
        <v>3.75</v>
      </c>
      <c r="AP4" s="25" t="s">
        <v>158</v>
      </c>
      <c r="AQ4" s="25">
        <v>128.69999999999999</v>
      </c>
      <c r="AR4" s="25" t="s">
        <v>158</v>
      </c>
      <c r="AS4" s="25" t="s">
        <v>158</v>
      </c>
      <c r="AT4" s="25">
        <v>0.33</v>
      </c>
      <c r="AU4" s="12" t="s">
        <v>94</v>
      </c>
      <c r="AV4" s="27">
        <v>1.571</v>
      </c>
      <c r="AW4" s="12" t="s">
        <v>94</v>
      </c>
      <c r="AX4" s="25" t="s">
        <v>95</v>
      </c>
      <c r="AY4" s="25">
        <v>-6.16</v>
      </c>
      <c r="AZ4" s="25" t="s">
        <v>164</v>
      </c>
      <c r="BA4" s="25">
        <v>-27.37</v>
      </c>
      <c r="BB4" s="25" t="s">
        <v>158</v>
      </c>
      <c r="BC4" s="25">
        <v>0.77</v>
      </c>
      <c r="BD4" s="25">
        <v>0.04</v>
      </c>
      <c r="BE4" s="25">
        <v>50</v>
      </c>
      <c r="BF4" s="25">
        <v>33.700000000000003</v>
      </c>
      <c r="BG4" s="25">
        <v>54.3</v>
      </c>
      <c r="BH4" s="25" t="s">
        <v>158</v>
      </c>
      <c r="BI4" s="25">
        <v>1</v>
      </c>
      <c r="BJ4" s="25" t="s">
        <v>158</v>
      </c>
      <c r="BK4" s="25" t="s">
        <v>96</v>
      </c>
      <c r="BL4" s="25" t="s">
        <v>165</v>
      </c>
      <c r="BM4" s="25">
        <v>19</v>
      </c>
      <c r="BN4" s="25">
        <v>18.2</v>
      </c>
      <c r="BO4" s="25">
        <v>22.7</v>
      </c>
      <c r="BP4" s="25" t="s">
        <v>166</v>
      </c>
      <c r="BQ4" s="25" t="s">
        <v>167</v>
      </c>
      <c r="BR4" s="25">
        <v>74.5</v>
      </c>
      <c r="BS4" s="25">
        <v>72</v>
      </c>
      <c r="BT4" s="25">
        <v>77</v>
      </c>
      <c r="BU4" s="28">
        <v>3</v>
      </c>
      <c r="BV4" s="40">
        <v>210000</v>
      </c>
      <c r="BW4" s="25" t="s">
        <v>158</v>
      </c>
      <c r="BX4" s="25">
        <v>433</v>
      </c>
      <c r="BY4" s="25">
        <v>280</v>
      </c>
      <c r="BZ4" s="25">
        <v>587</v>
      </c>
    </row>
    <row r="5" spans="1:78" s="22" customFormat="1" ht="17" thickBot="1">
      <c r="A5" s="22" t="s">
        <v>82</v>
      </c>
      <c r="B5" s="22" t="s">
        <v>81</v>
      </c>
      <c r="C5" s="22">
        <v>2019</v>
      </c>
      <c r="D5" s="22" t="str">
        <f t="shared" ref="D5:D17" si="0">N5</f>
        <v>10.1127/palb/2019/0062</v>
      </c>
      <c r="E5" s="22">
        <f t="shared" ref="E5:E17" si="1">T5*1000</f>
        <v>36300</v>
      </c>
      <c r="F5" s="22">
        <f t="shared" ref="F5:F17" si="2">(U5-T5)*1000</f>
        <v>100.00000000000142</v>
      </c>
      <c r="G5" s="22">
        <f t="shared" ref="G5:G17" si="3">(T5-V5)*1000</f>
        <v>99.999999999994316</v>
      </c>
      <c r="H5" s="22">
        <f t="shared" ref="H5:H17" si="4">BX5</f>
        <v>471</v>
      </c>
      <c r="I5" s="22">
        <f t="shared" ref="I5:I17" si="5">BZ5-BX5</f>
        <v>191</v>
      </c>
      <c r="J5" s="22">
        <f t="shared" ref="J5:J17" si="6">BX5-BY5</f>
        <v>190</v>
      </c>
      <c r="K5" s="23" t="s">
        <v>83</v>
      </c>
      <c r="L5" s="23" t="s">
        <v>84</v>
      </c>
      <c r="M5" s="35" t="s">
        <v>154</v>
      </c>
      <c r="N5" s="31" t="s">
        <v>155</v>
      </c>
      <c r="O5" s="25" t="s">
        <v>158</v>
      </c>
      <c r="P5" s="24" t="s">
        <v>85</v>
      </c>
      <c r="Q5" s="29" t="s">
        <v>168</v>
      </c>
      <c r="R5" s="29" t="s">
        <v>87</v>
      </c>
      <c r="S5" s="29" t="s">
        <v>88</v>
      </c>
      <c r="T5" s="29">
        <v>36.299999999999997</v>
      </c>
      <c r="U5" s="29">
        <v>36.4</v>
      </c>
      <c r="V5" s="29">
        <v>36.200000000000003</v>
      </c>
      <c r="W5" s="25" t="s">
        <v>158</v>
      </c>
      <c r="X5" s="25" t="s">
        <v>89</v>
      </c>
      <c r="Y5" s="25" t="s">
        <v>158</v>
      </c>
      <c r="Z5" s="25" t="s">
        <v>158</v>
      </c>
      <c r="AA5" s="39" t="s">
        <v>158</v>
      </c>
      <c r="AB5" s="39" t="s">
        <v>158</v>
      </c>
      <c r="AC5" s="25" t="s">
        <v>90</v>
      </c>
      <c r="AD5" s="25" t="s">
        <v>91</v>
      </c>
      <c r="AE5" s="25" t="s">
        <v>92</v>
      </c>
      <c r="AF5" s="25" t="s">
        <v>158</v>
      </c>
      <c r="AG5" s="26" t="s">
        <v>169</v>
      </c>
      <c r="AH5" s="29">
        <v>36</v>
      </c>
      <c r="AI5" s="29">
        <v>299</v>
      </c>
      <c r="AJ5" s="29">
        <v>96</v>
      </c>
      <c r="AK5" s="29">
        <v>6.83</v>
      </c>
      <c r="AL5" s="29">
        <v>1.28</v>
      </c>
      <c r="AM5" s="29">
        <v>11.03</v>
      </c>
      <c r="AN5" s="29">
        <v>1.33</v>
      </c>
      <c r="AO5" s="29">
        <v>3.415</v>
      </c>
      <c r="AP5" s="25" t="s">
        <v>158</v>
      </c>
      <c r="AQ5" s="25">
        <v>128.69999999999999</v>
      </c>
      <c r="AR5" s="25" t="s">
        <v>158</v>
      </c>
      <c r="AS5" s="25" t="s">
        <v>158</v>
      </c>
      <c r="AT5" s="25">
        <v>0.33</v>
      </c>
      <c r="AU5" s="12" t="s">
        <v>94</v>
      </c>
      <c r="AV5" s="27">
        <v>1.571</v>
      </c>
      <c r="AW5" s="12" t="s">
        <v>94</v>
      </c>
      <c r="AX5" s="25" t="s">
        <v>97</v>
      </c>
      <c r="AY5" s="29">
        <v>-6.16</v>
      </c>
      <c r="AZ5" s="25" t="s">
        <v>164</v>
      </c>
      <c r="BA5" s="29">
        <v>-26.85</v>
      </c>
      <c r="BB5" s="25" t="s">
        <v>158</v>
      </c>
      <c r="BC5" s="29">
        <v>0.75</v>
      </c>
      <c r="BD5" s="29">
        <v>0.04</v>
      </c>
      <c r="BE5" s="25">
        <v>50</v>
      </c>
      <c r="BF5" s="25">
        <v>33.700000000000003</v>
      </c>
      <c r="BG5" s="25">
        <v>54.3</v>
      </c>
      <c r="BH5" s="25" t="s">
        <v>158</v>
      </c>
      <c r="BI5" s="25">
        <v>1</v>
      </c>
      <c r="BJ5" s="25" t="s">
        <v>158</v>
      </c>
      <c r="BK5" s="25" t="s">
        <v>96</v>
      </c>
      <c r="BL5" s="25" t="s">
        <v>165</v>
      </c>
      <c r="BM5" s="29">
        <v>19.5</v>
      </c>
      <c r="BN5" s="29">
        <v>18.7</v>
      </c>
      <c r="BO5" s="29">
        <v>23.5</v>
      </c>
      <c r="BP5" s="25" t="s">
        <v>166</v>
      </c>
      <c r="BQ5" s="25" t="s">
        <v>167</v>
      </c>
      <c r="BR5" s="29">
        <v>74.5</v>
      </c>
      <c r="BS5" s="29">
        <v>70</v>
      </c>
      <c r="BT5" s="29">
        <v>79</v>
      </c>
      <c r="BU5" s="28">
        <v>3</v>
      </c>
      <c r="BV5" s="40">
        <v>210000</v>
      </c>
      <c r="BW5" s="25" t="s">
        <v>158</v>
      </c>
      <c r="BX5" s="29">
        <v>471</v>
      </c>
      <c r="BY5" s="29">
        <v>281</v>
      </c>
      <c r="BZ5" s="29">
        <v>662</v>
      </c>
    </row>
    <row r="6" spans="1:78" s="22" customFormat="1" ht="17" thickBot="1">
      <c r="A6" s="22" t="s">
        <v>82</v>
      </c>
      <c r="B6" s="22" t="s">
        <v>81</v>
      </c>
      <c r="C6" s="22">
        <v>2019</v>
      </c>
      <c r="D6" s="22" t="str">
        <f t="shared" si="0"/>
        <v>10.1127/palb/2019/0062</v>
      </c>
      <c r="E6" s="22">
        <f t="shared" si="1"/>
        <v>35900</v>
      </c>
      <c r="F6" s="22">
        <f t="shared" si="2"/>
        <v>1100.0000000000014</v>
      </c>
      <c r="G6" s="22">
        <f t="shared" si="3"/>
        <v>1100.0000000000014</v>
      </c>
      <c r="H6" s="22">
        <f t="shared" si="4"/>
        <v>516</v>
      </c>
      <c r="I6" s="22">
        <f t="shared" si="5"/>
        <v>212</v>
      </c>
      <c r="J6" s="22">
        <f t="shared" si="6"/>
        <v>211</v>
      </c>
      <c r="K6" s="23" t="s">
        <v>83</v>
      </c>
      <c r="L6" s="23" t="s">
        <v>84</v>
      </c>
      <c r="M6" s="35" t="s">
        <v>154</v>
      </c>
      <c r="N6" s="31" t="s">
        <v>155</v>
      </c>
      <c r="O6" s="25" t="s">
        <v>158</v>
      </c>
      <c r="P6" s="24" t="s">
        <v>85</v>
      </c>
      <c r="Q6" s="29" t="s">
        <v>98</v>
      </c>
      <c r="R6" s="29" t="s">
        <v>87</v>
      </c>
      <c r="S6" s="29" t="s">
        <v>88</v>
      </c>
      <c r="T6" s="29">
        <v>35.9</v>
      </c>
      <c r="U6" s="29">
        <v>37</v>
      </c>
      <c r="V6" s="29">
        <v>34.799999999999997</v>
      </c>
      <c r="W6" s="25" t="s">
        <v>158</v>
      </c>
      <c r="X6" s="25" t="s">
        <v>99</v>
      </c>
      <c r="Y6" s="25" t="s">
        <v>158</v>
      </c>
      <c r="Z6" s="25" t="s">
        <v>158</v>
      </c>
      <c r="AA6" s="39" t="s">
        <v>158</v>
      </c>
      <c r="AB6" s="39" t="s">
        <v>158</v>
      </c>
      <c r="AC6" s="25" t="s">
        <v>90</v>
      </c>
      <c r="AD6" s="25" t="s">
        <v>91</v>
      </c>
      <c r="AE6" s="25" t="s">
        <v>92</v>
      </c>
      <c r="AF6" s="25" t="s">
        <v>158</v>
      </c>
      <c r="AG6" s="26" t="s">
        <v>93</v>
      </c>
      <c r="AH6" s="29">
        <v>40</v>
      </c>
      <c r="AI6" s="29">
        <v>252</v>
      </c>
      <c r="AJ6" s="29">
        <v>64</v>
      </c>
      <c r="AK6" s="29">
        <v>6.4</v>
      </c>
      <c r="AL6" s="29">
        <v>1.58</v>
      </c>
      <c r="AM6" s="29">
        <v>10.99</v>
      </c>
      <c r="AN6" s="29">
        <v>1.1100000000000001</v>
      </c>
      <c r="AO6" s="29">
        <v>3.2</v>
      </c>
      <c r="AP6" s="25" t="s">
        <v>158</v>
      </c>
      <c r="AQ6" s="25">
        <v>128.69999999999999</v>
      </c>
      <c r="AR6" s="25" t="s">
        <v>158</v>
      </c>
      <c r="AS6" s="25" t="s">
        <v>158</v>
      </c>
      <c r="AT6" s="25">
        <v>0.33</v>
      </c>
      <c r="AU6" s="12" t="s">
        <v>94</v>
      </c>
      <c r="AV6" s="27">
        <v>1.571</v>
      </c>
      <c r="AW6" s="12" t="s">
        <v>94</v>
      </c>
      <c r="AX6" s="25" t="s">
        <v>100</v>
      </c>
      <c r="AY6" s="29">
        <v>-6.21</v>
      </c>
      <c r="AZ6" s="25" t="s">
        <v>164</v>
      </c>
      <c r="BA6" s="29">
        <v>-26.66</v>
      </c>
      <c r="BB6" s="25" t="s">
        <v>158</v>
      </c>
      <c r="BC6" s="29">
        <v>0.73</v>
      </c>
      <c r="BD6" s="29">
        <v>0.02</v>
      </c>
      <c r="BE6" s="25">
        <v>50</v>
      </c>
      <c r="BF6" s="25">
        <v>33.700000000000003</v>
      </c>
      <c r="BG6" s="25">
        <v>54.3</v>
      </c>
      <c r="BH6" s="25" t="s">
        <v>158</v>
      </c>
      <c r="BI6" s="25">
        <v>1</v>
      </c>
      <c r="BJ6" s="25" t="s">
        <v>158</v>
      </c>
      <c r="BK6" s="25" t="s">
        <v>96</v>
      </c>
      <c r="BL6" s="25" t="s">
        <v>165</v>
      </c>
      <c r="BM6" s="29">
        <v>19.100000000000001</v>
      </c>
      <c r="BN6" s="29">
        <v>18.3</v>
      </c>
      <c r="BO6" s="29">
        <v>22.8</v>
      </c>
      <c r="BP6" s="25" t="s">
        <v>166</v>
      </c>
      <c r="BQ6" s="25" t="s">
        <v>167</v>
      </c>
      <c r="BR6" s="29">
        <v>74</v>
      </c>
      <c r="BS6" s="29">
        <v>72</v>
      </c>
      <c r="BT6" s="29">
        <v>76</v>
      </c>
      <c r="BU6" s="28">
        <v>3</v>
      </c>
      <c r="BV6" s="40">
        <v>210000</v>
      </c>
      <c r="BW6" s="25" t="s">
        <v>158</v>
      </c>
      <c r="BX6" s="29">
        <v>516</v>
      </c>
      <c r="BY6" s="29">
        <v>305</v>
      </c>
      <c r="BZ6" s="29">
        <v>728</v>
      </c>
    </row>
    <row r="7" spans="1:78" s="22" customFormat="1" ht="17" thickBot="1">
      <c r="A7" s="22" t="s">
        <v>82</v>
      </c>
      <c r="B7" s="22" t="s">
        <v>81</v>
      </c>
      <c r="C7" s="22">
        <v>2019</v>
      </c>
      <c r="D7" s="22" t="str">
        <f t="shared" si="0"/>
        <v>10.1127/palb/2019/0062</v>
      </c>
      <c r="E7" s="22">
        <f t="shared" si="1"/>
        <v>36150</v>
      </c>
      <c r="F7" s="22">
        <f t="shared" si="2"/>
        <v>1350.0000000000014</v>
      </c>
      <c r="G7" s="22">
        <f t="shared" si="3"/>
        <v>1350.0000000000014</v>
      </c>
      <c r="H7" s="22">
        <f t="shared" si="4"/>
        <v>397</v>
      </c>
      <c r="I7" s="22">
        <f t="shared" si="5"/>
        <v>151</v>
      </c>
      <c r="J7" s="22">
        <f t="shared" si="6"/>
        <v>151</v>
      </c>
      <c r="K7" s="23" t="s">
        <v>83</v>
      </c>
      <c r="L7" s="23" t="s">
        <v>84</v>
      </c>
      <c r="M7" s="35" t="s">
        <v>154</v>
      </c>
      <c r="N7" s="31" t="s">
        <v>155</v>
      </c>
      <c r="O7" s="25" t="s">
        <v>158</v>
      </c>
      <c r="P7" s="24" t="s">
        <v>85</v>
      </c>
      <c r="Q7" s="30" t="s">
        <v>103</v>
      </c>
      <c r="R7" s="29" t="s">
        <v>104</v>
      </c>
      <c r="S7" s="29" t="s">
        <v>105</v>
      </c>
      <c r="T7" s="30">
        <v>36.15</v>
      </c>
      <c r="U7" s="30">
        <v>37.5</v>
      </c>
      <c r="V7" s="30">
        <v>34.799999999999997</v>
      </c>
      <c r="W7" s="25" t="s">
        <v>158</v>
      </c>
      <c r="X7" s="25" t="s">
        <v>106</v>
      </c>
      <c r="Y7" s="25" t="s">
        <v>158</v>
      </c>
      <c r="Z7" s="25" t="s">
        <v>158</v>
      </c>
      <c r="AA7" s="39" t="s">
        <v>158</v>
      </c>
      <c r="AB7" s="39" t="s">
        <v>158</v>
      </c>
      <c r="AC7" s="25" t="s">
        <v>90</v>
      </c>
      <c r="AD7" s="25" t="s">
        <v>91</v>
      </c>
      <c r="AE7" s="25" t="s">
        <v>92</v>
      </c>
      <c r="AF7" s="25" t="s">
        <v>158</v>
      </c>
      <c r="AG7" s="26" t="s">
        <v>93</v>
      </c>
      <c r="AH7" s="29">
        <v>20</v>
      </c>
      <c r="AI7" s="30">
        <v>274</v>
      </c>
      <c r="AJ7" s="30">
        <v>9</v>
      </c>
      <c r="AK7" s="30">
        <v>6.4</v>
      </c>
      <c r="AL7" s="30">
        <v>1.23</v>
      </c>
      <c r="AM7" s="30">
        <v>10.82</v>
      </c>
      <c r="AN7" s="30">
        <v>1.17</v>
      </c>
      <c r="AO7" s="30">
        <v>3.2</v>
      </c>
      <c r="AP7" s="25" t="s">
        <v>158</v>
      </c>
      <c r="AQ7" s="25">
        <v>128.69999999999999</v>
      </c>
      <c r="AR7" s="25" t="s">
        <v>158</v>
      </c>
      <c r="AS7" s="25" t="s">
        <v>158</v>
      </c>
      <c r="AT7" s="25">
        <v>0.33</v>
      </c>
      <c r="AU7" s="12" t="s">
        <v>94</v>
      </c>
      <c r="AV7" s="27">
        <v>1.571</v>
      </c>
      <c r="AW7" s="12" t="s">
        <v>94</v>
      </c>
      <c r="AX7" s="25" t="s">
        <v>107</v>
      </c>
      <c r="AY7" s="29">
        <v>-6.21</v>
      </c>
      <c r="AZ7" s="25" t="s">
        <v>164</v>
      </c>
      <c r="BA7" s="30">
        <v>-26.77</v>
      </c>
      <c r="BB7" s="25" t="s">
        <v>158</v>
      </c>
      <c r="BC7" s="30">
        <v>0.74</v>
      </c>
      <c r="BD7" s="30">
        <v>0.03</v>
      </c>
      <c r="BE7" s="25">
        <v>50</v>
      </c>
      <c r="BF7" s="25">
        <v>33.700000000000003</v>
      </c>
      <c r="BG7" s="25">
        <v>54.3</v>
      </c>
      <c r="BH7" s="25" t="s">
        <v>158</v>
      </c>
      <c r="BI7" s="25">
        <v>1</v>
      </c>
      <c r="BJ7" s="25" t="s">
        <v>158</v>
      </c>
      <c r="BK7" s="25" t="s">
        <v>96</v>
      </c>
      <c r="BL7" s="25" t="s">
        <v>165</v>
      </c>
      <c r="BM7" s="30">
        <v>18.309999999999999</v>
      </c>
      <c r="BN7" s="30">
        <v>16.100000000000001</v>
      </c>
      <c r="BO7" s="30">
        <v>20.010000000000002</v>
      </c>
      <c r="BP7" s="25" t="s">
        <v>166</v>
      </c>
      <c r="BQ7" s="25" t="s">
        <v>167</v>
      </c>
      <c r="BR7" s="30">
        <v>59</v>
      </c>
      <c r="BS7" s="30">
        <v>50.4</v>
      </c>
      <c r="BT7" s="30">
        <v>67.61</v>
      </c>
      <c r="BU7" s="28">
        <v>3</v>
      </c>
      <c r="BV7" s="40">
        <v>210000</v>
      </c>
      <c r="BW7" s="25" t="s">
        <v>158</v>
      </c>
      <c r="BX7" s="30">
        <v>397</v>
      </c>
      <c r="BY7" s="30">
        <v>246</v>
      </c>
      <c r="BZ7" s="30">
        <v>548</v>
      </c>
    </row>
    <row r="8" spans="1:78" s="22" customFormat="1" ht="17" thickBot="1">
      <c r="A8" s="22" t="s">
        <v>82</v>
      </c>
      <c r="B8" s="22" t="s">
        <v>81</v>
      </c>
      <c r="C8" s="22">
        <v>2019</v>
      </c>
      <c r="D8" s="22" t="str">
        <f>N8</f>
        <v>10.1127/palb/2019/0062</v>
      </c>
      <c r="E8" s="22">
        <f>T8*1000</f>
        <v>36550</v>
      </c>
      <c r="F8" s="22">
        <f>(U8-T8)*1000</f>
        <v>150.00000000000568</v>
      </c>
      <c r="G8" s="22">
        <f>(T8-V8)*1000</f>
        <v>149.99999999999858</v>
      </c>
      <c r="H8" s="22">
        <f>BX8</f>
        <v>446</v>
      </c>
      <c r="I8" s="22">
        <f>BZ8-BX8</f>
        <v>164</v>
      </c>
      <c r="J8" s="22">
        <f>BX8-BY8</f>
        <v>164</v>
      </c>
      <c r="K8" s="23" t="s">
        <v>83</v>
      </c>
      <c r="L8" s="23" t="s">
        <v>84</v>
      </c>
      <c r="M8" s="35" t="s">
        <v>154</v>
      </c>
      <c r="N8" s="31" t="s">
        <v>155</v>
      </c>
      <c r="O8" s="25" t="s">
        <v>158</v>
      </c>
      <c r="P8" s="24" t="s">
        <v>85</v>
      </c>
      <c r="Q8" s="30" t="s">
        <v>101</v>
      </c>
      <c r="R8" s="30" t="s">
        <v>87</v>
      </c>
      <c r="S8" s="30" t="s">
        <v>88</v>
      </c>
      <c r="T8" s="30">
        <v>36.549999999999997</v>
      </c>
      <c r="U8" s="30">
        <v>36.700000000000003</v>
      </c>
      <c r="V8" s="30">
        <v>36.4</v>
      </c>
      <c r="W8" s="25" t="s">
        <v>158</v>
      </c>
      <c r="X8" s="25" t="s">
        <v>89</v>
      </c>
      <c r="Y8" s="25" t="s">
        <v>158</v>
      </c>
      <c r="Z8" s="25" t="s">
        <v>158</v>
      </c>
      <c r="AA8" s="39" t="s">
        <v>158</v>
      </c>
      <c r="AB8" s="39" t="s">
        <v>158</v>
      </c>
      <c r="AC8" s="25" t="s">
        <v>90</v>
      </c>
      <c r="AD8" s="25" t="s">
        <v>91</v>
      </c>
      <c r="AE8" s="25" t="s">
        <v>92</v>
      </c>
      <c r="AF8" s="25" t="s">
        <v>158</v>
      </c>
      <c r="AG8" s="26" t="s">
        <v>93</v>
      </c>
      <c r="AH8" s="30">
        <v>30</v>
      </c>
      <c r="AI8" s="30">
        <v>291</v>
      </c>
      <c r="AJ8" s="30">
        <v>99</v>
      </c>
      <c r="AK8" s="30">
        <v>6.81</v>
      </c>
      <c r="AL8" s="30">
        <v>1.29</v>
      </c>
      <c r="AM8" s="30">
        <v>10.3</v>
      </c>
      <c r="AN8" s="30">
        <v>1.4</v>
      </c>
      <c r="AO8" s="30">
        <v>3.4049999999999998</v>
      </c>
      <c r="AP8" s="25" t="s">
        <v>158</v>
      </c>
      <c r="AQ8" s="25">
        <v>128.69999999999999</v>
      </c>
      <c r="AR8" s="25" t="s">
        <v>158</v>
      </c>
      <c r="AS8" s="25" t="s">
        <v>158</v>
      </c>
      <c r="AT8" s="25">
        <v>0.33</v>
      </c>
      <c r="AU8" s="12" t="s">
        <v>94</v>
      </c>
      <c r="AV8" s="27">
        <v>1.571</v>
      </c>
      <c r="AW8" s="12" t="s">
        <v>94</v>
      </c>
      <c r="AX8" s="25" t="s">
        <v>102</v>
      </c>
      <c r="AY8" s="29">
        <v>-6.26</v>
      </c>
      <c r="AZ8" s="25" t="s">
        <v>164</v>
      </c>
      <c r="BA8" s="30">
        <v>-26.91</v>
      </c>
      <c r="BB8" s="25" t="s">
        <v>158</v>
      </c>
      <c r="BC8" s="30">
        <v>0.74</v>
      </c>
      <c r="BD8" s="30">
        <v>0.02</v>
      </c>
      <c r="BE8" s="25">
        <v>50</v>
      </c>
      <c r="BF8" s="25">
        <v>33.700000000000003</v>
      </c>
      <c r="BG8" s="25">
        <v>54.3</v>
      </c>
      <c r="BH8" s="25" t="s">
        <v>158</v>
      </c>
      <c r="BI8" s="25">
        <v>1</v>
      </c>
      <c r="BJ8" s="25" t="s">
        <v>158</v>
      </c>
      <c r="BK8" s="25" t="s">
        <v>96</v>
      </c>
      <c r="BL8" s="25" t="s">
        <v>165</v>
      </c>
      <c r="BM8" s="30">
        <v>18.7</v>
      </c>
      <c r="BN8" s="30">
        <v>18.7</v>
      </c>
      <c r="BO8" s="30">
        <v>22.5</v>
      </c>
      <c r="BP8" s="25" t="s">
        <v>166</v>
      </c>
      <c r="BQ8" s="25" t="s">
        <v>167</v>
      </c>
      <c r="BR8" s="30">
        <v>74</v>
      </c>
      <c r="BS8" s="30">
        <v>72</v>
      </c>
      <c r="BT8" s="30">
        <v>76</v>
      </c>
      <c r="BU8" s="28">
        <v>3</v>
      </c>
      <c r="BV8" s="40">
        <v>210000</v>
      </c>
      <c r="BW8" s="25" t="s">
        <v>158</v>
      </c>
      <c r="BX8" s="30">
        <v>446</v>
      </c>
      <c r="BY8" s="30">
        <v>282</v>
      </c>
      <c r="BZ8" s="30">
        <v>610</v>
      </c>
    </row>
    <row r="9" spans="1:78" s="22" customFormat="1" ht="17" thickBot="1">
      <c r="A9" s="22" t="s">
        <v>82</v>
      </c>
      <c r="B9" s="22" t="s">
        <v>81</v>
      </c>
      <c r="C9" s="22">
        <v>2019</v>
      </c>
      <c r="D9" s="22" t="str">
        <f t="shared" si="0"/>
        <v>10.1127/palb/2019/0062</v>
      </c>
      <c r="E9" s="22">
        <f t="shared" si="1"/>
        <v>38250</v>
      </c>
      <c r="F9" s="22">
        <f t="shared" si="2"/>
        <v>250</v>
      </c>
      <c r="G9" s="22">
        <f t="shared" si="3"/>
        <v>250</v>
      </c>
      <c r="H9" s="22">
        <f t="shared" si="4"/>
        <v>656</v>
      </c>
      <c r="I9" s="22">
        <f t="shared" si="5"/>
        <v>372</v>
      </c>
      <c r="J9" s="22">
        <f t="shared" si="6"/>
        <v>372</v>
      </c>
      <c r="K9" s="23" t="s">
        <v>83</v>
      </c>
      <c r="L9" s="23" t="s">
        <v>84</v>
      </c>
      <c r="M9" s="35" t="s">
        <v>154</v>
      </c>
      <c r="N9" s="31" t="s">
        <v>155</v>
      </c>
      <c r="O9" s="25" t="s">
        <v>158</v>
      </c>
      <c r="P9" s="24" t="s">
        <v>85</v>
      </c>
      <c r="Q9" s="30" t="s">
        <v>108</v>
      </c>
      <c r="R9" s="29" t="s">
        <v>109</v>
      </c>
      <c r="S9" s="29" t="s">
        <v>110</v>
      </c>
      <c r="T9" s="30">
        <v>38.25</v>
      </c>
      <c r="U9" s="30">
        <v>38.5</v>
      </c>
      <c r="V9" s="30">
        <v>38</v>
      </c>
      <c r="W9" s="25" t="s">
        <v>158</v>
      </c>
      <c r="X9" s="25" t="s">
        <v>111</v>
      </c>
      <c r="Y9" s="25" t="s">
        <v>158</v>
      </c>
      <c r="Z9" s="25" t="s">
        <v>158</v>
      </c>
      <c r="AA9" s="39" t="s">
        <v>158</v>
      </c>
      <c r="AB9" s="39" t="s">
        <v>158</v>
      </c>
      <c r="AC9" s="25" t="s">
        <v>90</v>
      </c>
      <c r="AD9" s="25" t="s">
        <v>91</v>
      </c>
      <c r="AE9" s="25" t="s">
        <v>92</v>
      </c>
      <c r="AF9" s="25" t="s">
        <v>158</v>
      </c>
      <c r="AG9" s="26" t="s">
        <v>93</v>
      </c>
      <c r="AH9" s="29">
        <v>31</v>
      </c>
      <c r="AI9" s="30">
        <v>212</v>
      </c>
      <c r="AJ9" s="30">
        <v>52</v>
      </c>
      <c r="AK9" s="30">
        <v>6.53</v>
      </c>
      <c r="AL9" s="30">
        <v>1.41</v>
      </c>
      <c r="AM9" s="30">
        <v>11.7</v>
      </c>
      <c r="AN9" s="30">
        <v>1.45</v>
      </c>
      <c r="AO9" s="30">
        <v>3.2650000000000001</v>
      </c>
      <c r="AP9" s="25" t="s">
        <v>158</v>
      </c>
      <c r="AQ9" s="25">
        <v>128.69999999999999</v>
      </c>
      <c r="AR9" s="25" t="s">
        <v>158</v>
      </c>
      <c r="AS9" s="25" t="s">
        <v>158</v>
      </c>
      <c r="AT9" s="25">
        <v>0.33</v>
      </c>
      <c r="AU9" s="12" t="s">
        <v>94</v>
      </c>
      <c r="AV9" s="27">
        <v>1.571</v>
      </c>
      <c r="AW9" s="12" t="s">
        <v>94</v>
      </c>
      <c r="AX9" s="25" t="s">
        <v>112</v>
      </c>
      <c r="AY9" s="29">
        <v>-6.27</v>
      </c>
      <c r="AZ9" s="25" t="s">
        <v>164</v>
      </c>
      <c r="BA9" s="30">
        <v>-26.83</v>
      </c>
      <c r="BB9" s="25" t="s">
        <v>158</v>
      </c>
      <c r="BC9" s="30">
        <v>0.76</v>
      </c>
      <c r="BD9" s="30">
        <v>0.02</v>
      </c>
      <c r="BE9" s="25">
        <v>50</v>
      </c>
      <c r="BF9" s="25">
        <v>33.700000000000003</v>
      </c>
      <c r="BG9" s="25">
        <v>54.3</v>
      </c>
      <c r="BH9" s="25" t="s">
        <v>158</v>
      </c>
      <c r="BI9" s="25">
        <v>1</v>
      </c>
      <c r="BJ9" s="25" t="s">
        <v>158</v>
      </c>
      <c r="BK9" s="25" t="s">
        <v>96</v>
      </c>
      <c r="BL9" s="25" t="s">
        <v>165</v>
      </c>
      <c r="BM9" s="30">
        <v>18.5</v>
      </c>
      <c r="BN9" s="30">
        <v>17.7</v>
      </c>
      <c r="BO9" s="30">
        <v>22.4</v>
      </c>
      <c r="BP9" s="25" t="s">
        <v>166</v>
      </c>
      <c r="BQ9" s="25" t="s">
        <v>167</v>
      </c>
      <c r="BR9" s="30">
        <v>73.5</v>
      </c>
      <c r="BS9" s="30">
        <v>70</v>
      </c>
      <c r="BT9" s="30">
        <v>77</v>
      </c>
      <c r="BU9" s="28">
        <v>3</v>
      </c>
      <c r="BV9" s="40">
        <v>210000</v>
      </c>
      <c r="BW9" s="25" t="s">
        <v>158</v>
      </c>
      <c r="BX9" s="30">
        <v>656</v>
      </c>
      <c r="BY9" s="30">
        <v>284</v>
      </c>
      <c r="BZ9" s="30">
        <v>1028</v>
      </c>
    </row>
    <row r="10" spans="1:78" s="22" customFormat="1" ht="17" thickBot="1">
      <c r="A10" s="22" t="s">
        <v>82</v>
      </c>
      <c r="B10" s="22" t="s">
        <v>81</v>
      </c>
      <c r="C10" s="22">
        <v>2019</v>
      </c>
      <c r="D10" s="22" t="str">
        <f t="shared" si="0"/>
        <v>10.1127/palb/2019/0062</v>
      </c>
      <c r="E10" s="22">
        <f t="shared" si="1"/>
        <v>38250</v>
      </c>
      <c r="F10" s="22">
        <f t="shared" si="2"/>
        <v>250</v>
      </c>
      <c r="G10" s="22">
        <f t="shared" si="3"/>
        <v>250</v>
      </c>
      <c r="H10" s="22">
        <f t="shared" si="4"/>
        <v>451</v>
      </c>
      <c r="I10" s="22">
        <f t="shared" si="5"/>
        <v>164</v>
      </c>
      <c r="J10" s="22">
        <f t="shared" si="6"/>
        <v>164</v>
      </c>
      <c r="K10" s="23" t="s">
        <v>83</v>
      </c>
      <c r="L10" s="23" t="s">
        <v>84</v>
      </c>
      <c r="M10" s="35" t="s">
        <v>154</v>
      </c>
      <c r="N10" s="31" t="s">
        <v>155</v>
      </c>
      <c r="O10" s="25" t="s">
        <v>158</v>
      </c>
      <c r="P10" s="24" t="s">
        <v>85</v>
      </c>
      <c r="Q10" s="30" t="s">
        <v>113</v>
      </c>
      <c r="R10" s="29" t="s">
        <v>109</v>
      </c>
      <c r="S10" s="29" t="s">
        <v>105</v>
      </c>
      <c r="T10" s="30">
        <v>38.25</v>
      </c>
      <c r="U10" s="30">
        <v>38.5</v>
      </c>
      <c r="V10" s="30">
        <v>38</v>
      </c>
      <c r="W10" s="25" t="s">
        <v>158</v>
      </c>
      <c r="X10" s="25" t="s">
        <v>111</v>
      </c>
      <c r="Y10" s="25" t="s">
        <v>158</v>
      </c>
      <c r="Z10" s="25" t="s">
        <v>158</v>
      </c>
      <c r="AA10" s="39" t="s">
        <v>158</v>
      </c>
      <c r="AB10" s="39" t="s">
        <v>158</v>
      </c>
      <c r="AC10" s="25" t="s">
        <v>90</v>
      </c>
      <c r="AD10" s="25" t="s">
        <v>91</v>
      </c>
      <c r="AE10" s="25" t="s">
        <v>92</v>
      </c>
      <c r="AF10" s="25" t="s">
        <v>158</v>
      </c>
      <c r="AG10" s="26" t="s">
        <v>93</v>
      </c>
      <c r="AH10" s="29">
        <v>48</v>
      </c>
      <c r="AI10" s="30">
        <v>220</v>
      </c>
      <c r="AJ10" s="30">
        <v>42</v>
      </c>
      <c r="AK10" s="30">
        <v>7.6</v>
      </c>
      <c r="AL10" s="30">
        <v>1.57</v>
      </c>
      <c r="AM10" s="30">
        <v>12</v>
      </c>
      <c r="AN10" s="30">
        <v>1.41</v>
      </c>
      <c r="AO10" s="30">
        <v>3.8</v>
      </c>
      <c r="AP10" s="25" t="s">
        <v>158</v>
      </c>
      <c r="AQ10" s="25">
        <v>128.69999999999999</v>
      </c>
      <c r="AR10" s="25" t="s">
        <v>158</v>
      </c>
      <c r="AS10" s="25" t="s">
        <v>158</v>
      </c>
      <c r="AT10" s="25">
        <v>0.33</v>
      </c>
      <c r="AU10" s="12" t="s">
        <v>94</v>
      </c>
      <c r="AV10" s="27">
        <v>1.571</v>
      </c>
      <c r="AW10" s="12" t="s">
        <v>94</v>
      </c>
      <c r="AX10" s="25" t="s">
        <v>114</v>
      </c>
      <c r="AY10" s="29">
        <v>-6.27</v>
      </c>
      <c r="AZ10" s="25" t="s">
        <v>164</v>
      </c>
      <c r="BA10" s="30">
        <v>-26.69</v>
      </c>
      <c r="BB10" s="25" t="s">
        <v>158</v>
      </c>
      <c r="BC10" s="30">
        <v>0.73</v>
      </c>
      <c r="BD10" s="30">
        <v>0.02</v>
      </c>
      <c r="BE10" s="25">
        <v>50</v>
      </c>
      <c r="BF10" s="25">
        <v>33.700000000000003</v>
      </c>
      <c r="BG10" s="25">
        <v>54.3</v>
      </c>
      <c r="BH10" s="25" t="s">
        <v>158</v>
      </c>
      <c r="BI10" s="25">
        <v>1</v>
      </c>
      <c r="BJ10" s="25" t="s">
        <v>158</v>
      </c>
      <c r="BK10" s="25" t="s">
        <v>96</v>
      </c>
      <c r="BL10" s="25" t="s">
        <v>165</v>
      </c>
      <c r="BM10" s="30">
        <v>18.600000000000001</v>
      </c>
      <c r="BN10" s="30">
        <v>18.600000000000001</v>
      </c>
      <c r="BO10" s="30">
        <v>22.2</v>
      </c>
      <c r="BP10" s="25" t="s">
        <v>166</v>
      </c>
      <c r="BQ10" s="25" t="s">
        <v>167</v>
      </c>
      <c r="BR10" s="30">
        <v>75</v>
      </c>
      <c r="BS10" s="30">
        <v>75</v>
      </c>
      <c r="BT10" s="30">
        <v>75</v>
      </c>
      <c r="BU10" s="28">
        <v>3</v>
      </c>
      <c r="BV10" s="40">
        <v>210000</v>
      </c>
      <c r="BW10" s="25" t="s">
        <v>158</v>
      </c>
      <c r="BX10" s="30">
        <v>451</v>
      </c>
      <c r="BY10" s="30">
        <v>287</v>
      </c>
      <c r="BZ10" s="30">
        <v>615</v>
      </c>
    </row>
    <row r="11" spans="1:78" s="22" customFormat="1" ht="17" thickBot="1">
      <c r="A11" s="22" t="s">
        <v>82</v>
      </c>
      <c r="B11" s="22" t="s">
        <v>81</v>
      </c>
      <c r="C11" s="22">
        <v>2019</v>
      </c>
      <c r="D11" s="22" t="str">
        <f t="shared" si="0"/>
        <v>10.1127/palb/2019/0062</v>
      </c>
      <c r="E11" s="22">
        <f t="shared" si="1"/>
        <v>23750</v>
      </c>
      <c r="F11" s="22">
        <f t="shared" si="2"/>
        <v>750</v>
      </c>
      <c r="G11" s="22">
        <f t="shared" si="3"/>
        <v>750</v>
      </c>
      <c r="H11" s="22">
        <f t="shared" si="4"/>
        <v>565.5</v>
      </c>
      <c r="I11" s="22">
        <f t="shared" si="5"/>
        <v>313.5</v>
      </c>
      <c r="J11" s="22">
        <f t="shared" si="6"/>
        <v>313.5</v>
      </c>
      <c r="K11" s="23" t="s">
        <v>83</v>
      </c>
      <c r="L11" s="23" t="s">
        <v>84</v>
      </c>
      <c r="M11" s="35" t="s">
        <v>154</v>
      </c>
      <c r="N11" s="31" t="s">
        <v>155</v>
      </c>
      <c r="O11" s="25" t="s">
        <v>158</v>
      </c>
      <c r="P11" s="24" t="s">
        <v>85</v>
      </c>
      <c r="Q11" s="30" t="s">
        <v>115</v>
      </c>
      <c r="R11" s="29" t="s">
        <v>116</v>
      </c>
      <c r="S11" s="29" t="s">
        <v>117</v>
      </c>
      <c r="T11" s="30">
        <v>23.75</v>
      </c>
      <c r="U11" s="30">
        <v>24.5</v>
      </c>
      <c r="V11" s="30">
        <v>23</v>
      </c>
      <c r="W11" s="25" t="s">
        <v>158</v>
      </c>
      <c r="X11" s="25" t="s">
        <v>111</v>
      </c>
      <c r="Y11" s="25" t="s">
        <v>158</v>
      </c>
      <c r="Z11" s="25" t="s">
        <v>158</v>
      </c>
      <c r="AA11" s="39" t="s">
        <v>158</v>
      </c>
      <c r="AB11" s="39" t="s">
        <v>158</v>
      </c>
      <c r="AC11" s="25" t="s">
        <v>60</v>
      </c>
      <c r="AD11" s="25" t="s">
        <v>118</v>
      </c>
      <c r="AE11" s="25" t="s">
        <v>119</v>
      </c>
      <c r="AF11" s="25" t="s">
        <v>158</v>
      </c>
      <c r="AG11" s="25" t="s">
        <v>170</v>
      </c>
      <c r="AH11" s="29">
        <v>27</v>
      </c>
      <c r="AI11" s="30">
        <v>89</v>
      </c>
      <c r="AJ11" s="30">
        <v>28</v>
      </c>
      <c r="AK11" s="30">
        <v>13.76</v>
      </c>
      <c r="AL11" s="30">
        <v>3.18</v>
      </c>
      <c r="AM11" s="30">
        <v>17.54</v>
      </c>
      <c r="AN11" s="30">
        <v>1.94</v>
      </c>
      <c r="AO11" s="30">
        <v>6.88</v>
      </c>
      <c r="AP11" s="25" t="s">
        <v>158</v>
      </c>
      <c r="AQ11" s="25">
        <v>99.6</v>
      </c>
      <c r="AR11" s="25" t="s">
        <v>158</v>
      </c>
      <c r="AS11" s="25" t="s">
        <v>158</v>
      </c>
      <c r="AT11" s="25">
        <v>0.33</v>
      </c>
      <c r="AU11" s="12" t="s">
        <v>94</v>
      </c>
      <c r="AV11" s="27">
        <v>1.571</v>
      </c>
      <c r="AW11" s="12" t="s">
        <v>94</v>
      </c>
      <c r="AX11" s="25" t="s">
        <v>120</v>
      </c>
      <c r="AY11" s="29">
        <v>-6.1050000000000004</v>
      </c>
      <c r="AZ11" s="25" t="s">
        <v>164</v>
      </c>
      <c r="BA11" s="30">
        <v>-27.17</v>
      </c>
      <c r="BB11" s="30">
        <v>0.72</v>
      </c>
      <c r="BC11" s="30">
        <v>0.79</v>
      </c>
      <c r="BD11" s="30">
        <v>0.03</v>
      </c>
      <c r="BE11" s="25">
        <v>50</v>
      </c>
      <c r="BF11" s="25">
        <v>23.6</v>
      </c>
      <c r="BG11" s="25">
        <v>56.25</v>
      </c>
      <c r="BH11" s="25" t="s">
        <v>158</v>
      </c>
      <c r="BI11" s="25">
        <v>1</v>
      </c>
      <c r="BJ11" s="25" t="s">
        <v>158</v>
      </c>
      <c r="BK11" s="25" t="s">
        <v>96</v>
      </c>
      <c r="BL11" s="25" t="s">
        <v>165</v>
      </c>
      <c r="BM11" s="30">
        <v>19.8</v>
      </c>
      <c r="BN11" s="30">
        <v>19.8</v>
      </c>
      <c r="BO11" s="30">
        <v>23.9</v>
      </c>
      <c r="BP11" s="25" t="s">
        <v>166</v>
      </c>
      <c r="BQ11" s="25" t="s">
        <v>167</v>
      </c>
      <c r="BR11" s="30">
        <v>74.5</v>
      </c>
      <c r="BS11" s="30">
        <v>74</v>
      </c>
      <c r="BT11" s="30">
        <v>75</v>
      </c>
      <c r="BU11" s="28">
        <v>3</v>
      </c>
      <c r="BV11" s="40">
        <v>210000</v>
      </c>
      <c r="BW11" s="25" t="s">
        <v>158</v>
      </c>
      <c r="BX11" s="30">
        <v>565.5</v>
      </c>
      <c r="BY11" s="30">
        <v>252</v>
      </c>
      <c r="BZ11" s="30">
        <v>879</v>
      </c>
    </row>
    <row r="12" spans="1:78" s="22" customFormat="1" ht="17" thickBot="1">
      <c r="A12" s="22" t="s">
        <v>82</v>
      </c>
      <c r="B12" s="22" t="s">
        <v>81</v>
      </c>
      <c r="C12" s="22">
        <v>2019</v>
      </c>
      <c r="D12" s="22" t="str">
        <f t="shared" si="0"/>
        <v>10.1127/palb/2019/0062</v>
      </c>
      <c r="E12" s="22">
        <f t="shared" si="1"/>
        <v>25000</v>
      </c>
      <c r="F12" s="22">
        <f t="shared" si="2"/>
        <v>500</v>
      </c>
      <c r="G12" s="22">
        <f t="shared" si="3"/>
        <v>500</v>
      </c>
      <c r="H12" s="22">
        <f t="shared" si="4"/>
        <v>413</v>
      </c>
      <c r="I12" s="22">
        <f t="shared" si="5"/>
        <v>123</v>
      </c>
      <c r="J12" s="22">
        <f t="shared" si="6"/>
        <v>145</v>
      </c>
      <c r="K12" s="23" t="s">
        <v>83</v>
      </c>
      <c r="L12" s="23" t="s">
        <v>84</v>
      </c>
      <c r="M12" s="35" t="s">
        <v>154</v>
      </c>
      <c r="N12" s="31" t="s">
        <v>155</v>
      </c>
      <c r="O12" s="25" t="s">
        <v>158</v>
      </c>
      <c r="P12" s="24" t="s">
        <v>85</v>
      </c>
      <c r="Q12" s="30" t="s">
        <v>121</v>
      </c>
      <c r="R12" s="29" t="s">
        <v>122</v>
      </c>
      <c r="S12" s="29" t="s">
        <v>117</v>
      </c>
      <c r="T12" s="30">
        <v>25</v>
      </c>
      <c r="U12" s="30">
        <v>25.5</v>
      </c>
      <c r="V12" s="30">
        <v>24.5</v>
      </c>
      <c r="W12" s="25" t="s">
        <v>158</v>
      </c>
      <c r="X12" s="25" t="s">
        <v>111</v>
      </c>
      <c r="Y12" s="25" t="s">
        <v>158</v>
      </c>
      <c r="Z12" s="25" t="s">
        <v>158</v>
      </c>
      <c r="AA12" s="39" t="s">
        <v>158</v>
      </c>
      <c r="AB12" s="39" t="s">
        <v>158</v>
      </c>
      <c r="AC12" s="25" t="s">
        <v>60</v>
      </c>
      <c r="AD12" s="25" t="s">
        <v>118</v>
      </c>
      <c r="AE12" s="25" t="s">
        <v>119</v>
      </c>
      <c r="AF12" s="25" t="s">
        <v>158</v>
      </c>
      <c r="AG12" s="25" t="s">
        <v>170</v>
      </c>
      <c r="AH12" s="29">
        <v>36</v>
      </c>
      <c r="AI12" s="30">
        <v>105</v>
      </c>
      <c r="AJ12" s="30">
        <v>28</v>
      </c>
      <c r="AK12" s="30">
        <v>12.66</v>
      </c>
      <c r="AL12" s="30">
        <v>2.29</v>
      </c>
      <c r="AM12" s="30">
        <v>15.01</v>
      </c>
      <c r="AN12" s="30">
        <v>1.75</v>
      </c>
      <c r="AO12" s="30">
        <v>6.33</v>
      </c>
      <c r="AP12" s="25" t="s">
        <v>158</v>
      </c>
      <c r="AQ12" s="25">
        <v>99.6</v>
      </c>
      <c r="AR12" s="25" t="s">
        <v>158</v>
      </c>
      <c r="AS12" s="25" t="s">
        <v>158</v>
      </c>
      <c r="AT12" s="25">
        <v>0.33</v>
      </c>
      <c r="AU12" s="12" t="s">
        <v>94</v>
      </c>
      <c r="AV12" s="27">
        <v>1.571</v>
      </c>
      <c r="AW12" s="12" t="s">
        <v>94</v>
      </c>
      <c r="AX12" s="25" t="s">
        <v>123</v>
      </c>
      <c r="AY12" s="29">
        <v>-6.21</v>
      </c>
      <c r="AZ12" s="25" t="s">
        <v>164</v>
      </c>
      <c r="BA12" s="30">
        <v>-26.95</v>
      </c>
      <c r="BB12" s="30">
        <v>0.72</v>
      </c>
      <c r="BC12" s="30">
        <v>0.75</v>
      </c>
      <c r="BD12" s="30">
        <v>0.03</v>
      </c>
      <c r="BE12" s="25">
        <v>50</v>
      </c>
      <c r="BF12" s="25">
        <v>23.6</v>
      </c>
      <c r="BG12" s="25">
        <v>56.25</v>
      </c>
      <c r="BH12" s="25" t="s">
        <v>158</v>
      </c>
      <c r="BI12" s="25">
        <v>1</v>
      </c>
      <c r="BJ12" s="25" t="s">
        <v>158</v>
      </c>
      <c r="BK12" s="25" t="s">
        <v>96</v>
      </c>
      <c r="BL12" s="25" t="s">
        <v>165</v>
      </c>
      <c r="BM12" s="30">
        <v>18.899999999999999</v>
      </c>
      <c r="BN12" s="30">
        <v>15.9</v>
      </c>
      <c r="BO12" s="30">
        <v>21.2</v>
      </c>
      <c r="BP12" s="25" t="s">
        <v>166</v>
      </c>
      <c r="BQ12" s="25" t="s">
        <v>167</v>
      </c>
      <c r="BR12" s="30">
        <v>74</v>
      </c>
      <c r="BS12" s="30">
        <v>72</v>
      </c>
      <c r="BT12" s="30">
        <v>77</v>
      </c>
      <c r="BU12" s="28">
        <v>3</v>
      </c>
      <c r="BV12" s="40">
        <v>210000</v>
      </c>
      <c r="BW12" s="25" t="s">
        <v>158</v>
      </c>
      <c r="BX12" s="30">
        <v>413</v>
      </c>
      <c r="BY12" s="30">
        <v>268</v>
      </c>
      <c r="BZ12" s="30">
        <v>536</v>
      </c>
    </row>
    <row r="13" spans="1:78" s="22" customFormat="1" ht="17" thickBot="1">
      <c r="A13" s="22" t="s">
        <v>82</v>
      </c>
      <c r="B13" s="22" t="s">
        <v>81</v>
      </c>
      <c r="C13" s="22">
        <v>2019</v>
      </c>
      <c r="D13" s="22" t="str">
        <f t="shared" si="0"/>
        <v>10.1127/palb/2019/0062</v>
      </c>
      <c r="E13" s="22">
        <f t="shared" si="1"/>
        <v>25000</v>
      </c>
      <c r="F13" s="22">
        <f t="shared" si="2"/>
        <v>500</v>
      </c>
      <c r="G13" s="22">
        <f t="shared" si="3"/>
        <v>500</v>
      </c>
      <c r="H13" s="22">
        <f t="shared" si="4"/>
        <v>454</v>
      </c>
      <c r="I13" s="22">
        <f t="shared" si="5"/>
        <v>178</v>
      </c>
      <c r="J13" s="22">
        <f t="shared" si="6"/>
        <v>178</v>
      </c>
      <c r="K13" s="23" t="s">
        <v>83</v>
      </c>
      <c r="L13" s="23" t="s">
        <v>84</v>
      </c>
      <c r="M13" s="35" t="s">
        <v>154</v>
      </c>
      <c r="N13" s="31" t="s">
        <v>155</v>
      </c>
      <c r="O13" s="25" t="s">
        <v>158</v>
      </c>
      <c r="P13" s="24" t="s">
        <v>85</v>
      </c>
      <c r="Q13" s="30" t="s">
        <v>124</v>
      </c>
      <c r="R13" s="29" t="s">
        <v>122</v>
      </c>
      <c r="S13" s="29" t="s">
        <v>117</v>
      </c>
      <c r="T13" s="30">
        <v>25</v>
      </c>
      <c r="U13" s="30">
        <v>25.5</v>
      </c>
      <c r="V13" s="30">
        <v>24.5</v>
      </c>
      <c r="W13" s="25" t="s">
        <v>158</v>
      </c>
      <c r="X13" s="25" t="s">
        <v>111</v>
      </c>
      <c r="Y13" s="25" t="s">
        <v>158</v>
      </c>
      <c r="Z13" s="25" t="s">
        <v>158</v>
      </c>
      <c r="AA13" s="39" t="s">
        <v>158</v>
      </c>
      <c r="AB13" s="39" t="s">
        <v>158</v>
      </c>
      <c r="AC13" s="25" t="s">
        <v>60</v>
      </c>
      <c r="AD13" s="25" t="s">
        <v>118</v>
      </c>
      <c r="AE13" s="25" t="s">
        <v>119</v>
      </c>
      <c r="AF13" s="25" t="s">
        <v>158</v>
      </c>
      <c r="AG13" s="25" t="s">
        <v>170</v>
      </c>
      <c r="AH13" s="29">
        <v>27</v>
      </c>
      <c r="AI13" s="30">
        <v>104</v>
      </c>
      <c r="AJ13" s="30">
        <v>25</v>
      </c>
      <c r="AK13" s="30">
        <v>11.25</v>
      </c>
      <c r="AL13" s="30">
        <v>2.2799999999999998</v>
      </c>
      <c r="AM13" s="30">
        <v>15.38</v>
      </c>
      <c r="AN13" s="30">
        <v>1.67</v>
      </c>
      <c r="AO13" s="30">
        <v>5.625</v>
      </c>
      <c r="AP13" s="25" t="s">
        <v>158</v>
      </c>
      <c r="AQ13" s="25">
        <v>99.6</v>
      </c>
      <c r="AR13" s="25" t="s">
        <v>158</v>
      </c>
      <c r="AS13" s="25" t="s">
        <v>158</v>
      </c>
      <c r="AT13" s="25">
        <v>0.33</v>
      </c>
      <c r="AU13" s="12" t="s">
        <v>94</v>
      </c>
      <c r="AV13" s="27">
        <v>1.571</v>
      </c>
      <c r="AW13" s="12" t="s">
        <v>94</v>
      </c>
      <c r="AX13" s="25" t="s">
        <v>125</v>
      </c>
      <c r="AY13" s="29">
        <v>-6.21</v>
      </c>
      <c r="AZ13" s="25" t="s">
        <v>164</v>
      </c>
      <c r="BA13" s="30">
        <v>-26.68</v>
      </c>
      <c r="BB13" s="30">
        <v>0.42</v>
      </c>
      <c r="BC13" s="30">
        <v>0.75</v>
      </c>
      <c r="BD13" s="30">
        <v>0.03</v>
      </c>
      <c r="BE13" s="25">
        <v>50</v>
      </c>
      <c r="BF13" s="25">
        <v>23.6</v>
      </c>
      <c r="BG13" s="25">
        <v>56.25</v>
      </c>
      <c r="BH13" s="25" t="s">
        <v>158</v>
      </c>
      <c r="BI13" s="25">
        <v>1</v>
      </c>
      <c r="BJ13" s="25" t="s">
        <v>158</v>
      </c>
      <c r="BK13" s="25" t="s">
        <v>96</v>
      </c>
      <c r="BL13" s="25" t="s">
        <v>165</v>
      </c>
      <c r="BM13" s="30">
        <v>18.2</v>
      </c>
      <c r="BN13" s="30">
        <v>16.100000000000001</v>
      </c>
      <c r="BO13" s="30">
        <v>19.899999999999999</v>
      </c>
      <c r="BP13" s="25" t="s">
        <v>166</v>
      </c>
      <c r="BQ13" s="25" t="s">
        <v>167</v>
      </c>
      <c r="BR13" s="30">
        <v>74</v>
      </c>
      <c r="BS13" s="30">
        <v>72</v>
      </c>
      <c r="BT13" s="30">
        <v>76</v>
      </c>
      <c r="BU13" s="28">
        <v>3</v>
      </c>
      <c r="BV13" s="40">
        <v>210000</v>
      </c>
      <c r="BW13" s="25" t="s">
        <v>158</v>
      </c>
      <c r="BX13" s="30">
        <v>454</v>
      </c>
      <c r="BY13" s="30">
        <v>276</v>
      </c>
      <c r="BZ13" s="30">
        <v>632</v>
      </c>
    </row>
    <row r="14" spans="1:78" s="22" customFormat="1" ht="17" thickBot="1">
      <c r="A14" s="22" t="s">
        <v>82</v>
      </c>
      <c r="B14" s="22" t="s">
        <v>81</v>
      </c>
      <c r="C14" s="22">
        <v>2019</v>
      </c>
      <c r="D14" s="22" t="str">
        <f t="shared" si="0"/>
        <v>10.1127/palb/2019/0062</v>
      </c>
      <c r="E14" s="22">
        <f t="shared" si="1"/>
        <v>30450</v>
      </c>
      <c r="F14" s="22">
        <f t="shared" si="2"/>
        <v>550.00000000000068</v>
      </c>
      <c r="G14" s="22">
        <f t="shared" si="3"/>
        <v>550.00000000000068</v>
      </c>
      <c r="H14" s="22">
        <f t="shared" si="4"/>
        <v>515</v>
      </c>
      <c r="I14" s="22">
        <f t="shared" si="5"/>
        <v>216</v>
      </c>
      <c r="J14" s="22">
        <f t="shared" si="6"/>
        <v>216</v>
      </c>
      <c r="K14" s="23" t="s">
        <v>83</v>
      </c>
      <c r="L14" s="23" t="s">
        <v>84</v>
      </c>
      <c r="M14" s="35" t="s">
        <v>154</v>
      </c>
      <c r="N14" s="31" t="s">
        <v>155</v>
      </c>
      <c r="O14" s="25" t="s">
        <v>158</v>
      </c>
      <c r="P14" s="24" t="s">
        <v>85</v>
      </c>
      <c r="Q14" s="30" t="s">
        <v>126</v>
      </c>
      <c r="R14" s="29" t="s">
        <v>127</v>
      </c>
      <c r="S14" s="29" t="s">
        <v>128</v>
      </c>
      <c r="T14" s="30">
        <v>30.45</v>
      </c>
      <c r="U14" s="30">
        <v>31</v>
      </c>
      <c r="V14" s="30">
        <v>29.9</v>
      </c>
      <c r="W14" s="25" t="s">
        <v>158</v>
      </c>
      <c r="X14" s="25" t="s">
        <v>111</v>
      </c>
      <c r="Y14" s="25" t="s">
        <v>158</v>
      </c>
      <c r="Z14" s="25" t="s">
        <v>158</v>
      </c>
      <c r="AA14" s="39" t="s">
        <v>158</v>
      </c>
      <c r="AB14" s="39" t="s">
        <v>158</v>
      </c>
      <c r="AC14" s="25" t="s">
        <v>60</v>
      </c>
      <c r="AD14" s="25" t="s">
        <v>118</v>
      </c>
      <c r="AE14" s="25" t="s">
        <v>119</v>
      </c>
      <c r="AF14" s="25" t="s">
        <v>158</v>
      </c>
      <c r="AG14" s="25" t="s">
        <v>170</v>
      </c>
      <c r="AH14" s="29">
        <v>25</v>
      </c>
      <c r="AI14" s="30">
        <v>78</v>
      </c>
      <c r="AJ14" s="30">
        <v>9</v>
      </c>
      <c r="AK14" s="30">
        <v>12.87</v>
      </c>
      <c r="AL14" s="30">
        <v>2.63</v>
      </c>
      <c r="AM14" s="30">
        <v>17.97</v>
      </c>
      <c r="AN14" s="30">
        <v>2.17</v>
      </c>
      <c r="AO14" s="30">
        <v>6.4349999999999996</v>
      </c>
      <c r="AP14" s="25" t="s">
        <v>158</v>
      </c>
      <c r="AQ14" s="25">
        <v>99.6</v>
      </c>
      <c r="AR14" s="25" t="s">
        <v>158</v>
      </c>
      <c r="AS14" s="25" t="s">
        <v>158</v>
      </c>
      <c r="AT14" s="25">
        <v>0.33</v>
      </c>
      <c r="AU14" s="12" t="s">
        <v>94</v>
      </c>
      <c r="AV14" s="27">
        <v>1.571</v>
      </c>
      <c r="AW14" s="12" t="s">
        <v>94</v>
      </c>
      <c r="AX14" s="25" t="s">
        <v>129</v>
      </c>
      <c r="AY14" s="29">
        <v>-6.26</v>
      </c>
      <c r="AZ14" s="25" t="s">
        <v>164</v>
      </c>
      <c r="BA14" s="30">
        <v>-26.35</v>
      </c>
      <c r="BB14" s="30">
        <v>0.74</v>
      </c>
      <c r="BC14" s="30">
        <v>0.72</v>
      </c>
      <c r="BD14" s="30">
        <v>0.03</v>
      </c>
      <c r="BE14" s="25">
        <v>50</v>
      </c>
      <c r="BF14" s="25">
        <v>23.6</v>
      </c>
      <c r="BG14" s="25">
        <v>56.25</v>
      </c>
      <c r="BH14" s="25" t="s">
        <v>158</v>
      </c>
      <c r="BI14" s="25">
        <v>1</v>
      </c>
      <c r="BJ14" s="25" t="s">
        <v>158</v>
      </c>
      <c r="BK14" s="25" t="s">
        <v>96</v>
      </c>
      <c r="BL14" s="25" t="s">
        <v>165</v>
      </c>
      <c r="BM14" s="30">
        <v>18.600000000000001</v>
      </c>
      <c r="BN14" s="30">
        <v>18.600000000000001</v>
      </c>
      <c r="BO14" s="30">
        <v>22.2</v>
      </c>
      <c r="BP14" s="25" t="s">
        <v>166</v>
      </c>
      <c r="BQ14" s="25" t="s">
        <v>167</v>
      </c>
      <c r="BR14" s="30">
        <v>75.5</v>
      </c>
      <c r="BS14" s="30">
        <v>75</v>
      </c>
      <c r="BT14" s="30">
        <v>76</v>
      </c>
      <c r="BU14" s="28">
        <v>3</v>
      </c>
      <c r="BV14" s="40">
        <v>210000</v>
      </c>
      <c r="BW14" s="25" t="s">
        <v>158</v>
      </c>
      <c r="BX14" s="30">
        <v>515</v>
      </c>
      <c r="BY14" s="30">
        <v>299</v>
      </c>
      <c r="BZ14" s="30">
        <v>731</v>
      </c>
    </row>
    <row r="15" spans="1:78" s="22" customFormat="1" ht="20" thickBot="1">
      <c r="A15" s="22" t="s">
        <v>82</v>
      </c>
      <c r="B15" s="22" t="s">
        <v>81</v>
      </c>
      <c r="C15" s="22">
        <v>2019</v>
      </c>
      <c r="D15" s="22" t="str">
        <f t="shared" si="0"/>
        <v>10.1127/palb/2019/0062</v>
      </c>
      <c r="E15" s="22">
        <f t="shared" si="1"/>
        <v>30700</v>
      </c>
      <c r="F15" s="22">
        <f t="shared" si="2"/>
        <v>699.99999999999932</v>
      </c>
      <c r="G15" s="22">
        <f t="shared" si="3"/>
        <v>699.99999999999932</v>
      </c>
      <c r="H15" s="22">
        <f t="shared" si="4"/>
        <v>393</v>
      </c>
      <c r="I15" s="22">
        <f t="shared" si="5"/>
        <v>133</v>
      </c>
      <c r="J15" s="22">
        <f t="shared" si="6"/>
        <v>134</v>
      </c>
      <c r="K15" s="23" t="s">
        <v>83</v>
      </c>
      <c r="L15" s="23" t="s">
        <v>84</v>
      </c>
      <c r="M15" s="35" t="s">
        <v>154</v>
      </c>
      <c r="N15" s="31" t="s">
        <v>155</v>
      </c>
      <c r="O15" s="25" t="s">
        <v>158</v>
      </c>
      <c r="P15" s="24" t="s">
        <v>85</v>
      </c>
      <c r="Q15" s="30" t="s">
        <v>130</v>
      </c>
      <c r="R15" s="29" t="s">
        <v>127</v>
      </c>
      <c r="S15" s="29" t="s">
        <v>131</v>
      </c>
      <c r="T15" s="30">
        <v>30.7</v>
      </c>
      <c r="U15" s="30">
        <v>31.4</v>
      </c>
      <c r="V15" s="30">
        <v>30</v>
      </c>
      <c r="W15" s="25" t="s">
        <v>158</v>
      </c>
      <c r="X15" s="41" t="s">
        <v>171</v>
      </c>
      <c r="Y15" s="25" t="s">
        <v>158</v>
      </c>
      <c r="Z15" s="25" t="s">
        <v>158</v>
      </c>
      <c r="AA15" s="39" t="s">
        <v>158</v>
      </c>
      <c r="AB15" s="39" t="s">
        <v>158</v>
      </c>
      <c r="AC15" s="25" t="s">
        <v>60</v>
      </c>
      <c r="AD15" s="25" t="s">
        <v>118</v>
      </c>
      <c r="AE15" s="25" t="s">
        <v>119</v>
      </c>
      <c r="AF15" s="25" t="s">
        <v>158</v>
      </c>
      <c r="AG15" s="25" t="s">
        <v>170</v>
      </c>
      <c r="AH15" s="29">
        <v>25</v>
      </c>
      <c r="AI15" s="30">
        <v>112</v>
      </c>
      <c r="AJ15" s="30">
        <v>30</v>
      </c>
      <c r="AK15" s="30">
        <v>13.41</v>
      </c>
      <c r="AL15" s="30">
        <v>2.4700000000000002</v>
      </c>
      <c r="AM15" s="30">
        <v>16.37</v>
      </c>
      <c r="AN15" s="30">
        <v>1.94</v>
      </c>
      <c r="AO15" s="30">
        <v>6.7050000000000001</v>
      </c>
      <c r="AP15" s="25" t="s">
        <v>158</v>
      </c>
      <c r="AQ15" s="25">
        <v>99.6</v>
      </c>
      <c r="AR15" s="25" t="s">
        <v>158</v>
      </c>
      <c r="AS15" s="25" t="s">
        <v>158</v>
      </c>
      <c r="AT15" s="25">
        <v>0.33</v>
      </c>
      <c r="AU15" s="12" t="s">
        <v>94</v>
      </c>
      <c r="AV15" s="27">
        <v>1.571</v>
      </c>
      <c r="AW15" s="12" t="s">
        <v>94</v>
      </c>
      <c r="AX15" s="25" t="s">
        <v>132</v>
      </c>
      <c r="AY15" s="29">
        <v>-6.17</v>
      </c>
      <c r="AZ15" s="25" t="s">
        <v>164</v>
      </c>
      <c r="BA15" s="30">
        <v>-26.44</v>
      </c>
      <c r="BB15" s="30">
        <v>1.6</v>
      </c>
      <c r="BC15" s="30">
        <v>0.73</v>
      </c>
      <c r="BD15" s="30">
        <v>7.0000000000000007E-2</v>
      </c>
      <c r="BE15" s="25">
        <v>50</v>
      </c>
      <c r="BF15" s="25">
        <v>23.6</v>
      </c>
      <c r="BG15" s="25">
        <v>56.25</v>
      </c>
      <c r="BH15" s="25" t="s">
        <v>158</v>
      </c>
      <c r="BI15" s="25">
        <v>1</v>
      </c>
      <c r="BJ15" s="25" t="s">
        <v>158</v>
      </c>
      <c r="BK15" s="25" t="s">
        <v>96</v>
      </c>
      <c r="BL15" s="25" t="s">
        <v>165</v>
      </c>
      <c r="BM15" s="30">
        <v>18.100000000000001</v>
      </c>
      <c r="BN15" s="30">
        <v>17.399999999999999</v>
      </c>
      <c r="BO15" s="30">
        <v>21.6</v>
      </c>
      <c r="BP15" s="25" t="s">
        <v>166</v>
      </c>
      <c r="BQ15" s="25" t="s">
        <v>167</v>
      </c>
      <c r="BR15" s="30">
        <v>76</v>
      </c>
      <c r="BS15" s="30">
        <v>75</v>
      </c>
      <c r="BT15" s="30">
        <v>77</v>
      </c>
      <c r="BU15" s="28">
        <v>3</v>
      </c>
      <c r="BV15" s="40">
        <v>210000</v>
      </c>
      <c r="BW15" s="25" t="s">
        <v>158</v>
      </c>
      <c r="BX15" s="30">
        <v>393</v>
      </c>
      <c r="BY15" s="30">
        <v>259</v>
      </c>
      <c r="BZ15" s="30">
        <v>526</v>
      </c>
    </row>
    <row r="16" spans="1:78" s="22" customFormat="1" ht="17" thickBot="1">
      <c r="A16" s="22" t="s">
        <v>82</v>
      </c>
      <c r="B16" s="22" t="s">
        <v>81</v>
      </c>
      <c r="C16" s="22">
        <v>2019</v>
      </c>
      <c r="D16" s="22" t="str">
        <f t="shared" si="0"/>
        <v>10.1127/palb/2019/0062</v>
      </c>
      <c r="E16" s="22">
        <f t="shared" si="1"/>
        <v>31450</v>
      </c>
      <c r="F16" s="22">
        <f t="shared" si="2"/>
        <v>949.99999999999932</v>
      </c>
      <c r="G16" s="22">
        <f t="shared" si="3"/>
        <v>949.99999999999932</v>
      </c>
      <c r="H16" s="22">
        <f t="shared" si="4"/>
        <v>538</v>
      </c>
      <c r="I16" s="22">
        <f t="shared" si="5"/>
        <v>227</v>
      </c>
      <c r="J16" s="22">
        <f t="shared" si="6"/>
        <v>227</v>
      </c>
      <c r="K16" s="23" t="s">
        <v>83</v>
      </c>
      <c r="L16" s="23" t="s">
        <v>84</v>
      </c>
      <c r="M16" s="35" t="s">
        <v>154</v>
      </c>
      <c r="N16" s="31" t="s">
        <v>155</v>
      </c>
      <c r="O16" s="25" t="s">
        <v>158</v>
      </c>
      <c r="P16" s="24" t="s">
        <v>85</v>
      </c>
      <c r="Q16" s="30" t="s">
        <v>133</v>
      </c>
      <c r="R16" s="29" t="s">
        <v>127</v>
      </c>
      <c r="S16" s="29" t="s">
        <v>134</v>
      </c>
      <c r="T16" s="30">
        <v>31.45</v>
      </c>
      <c r="U16" s="30">
        <v>32.4</v>
      </c>
      <c r="V16" s="30">
        <v>30.5</v>
      </c>
      <c r="W16" s="25" t="s">
        <v>158</v>
      </c>
      <c r="X16" s="25" t="s">
        <v>111</v>
      </c>
      <c r="Y16" s="25" t="s">
        <v>158</v>
      </c>
      <c r="Z16" s="25" t="s">
        <v>158</v>
      </c>
      <c r="AA16" s="39" t="s">
        <v>158</v>
      </c>
      <c r="AB16" s="39" t="s">
        <v>158</v>
      </c>
      <c r="AC16" s="25" t="s">
        <v>60</v>
      </c>
      <c r="AD16" s="25" t="s">
        <v>118</v>
      </c>
      <c r="AE16" s="25" t="s">
        <v>119</v>
      </c>
      <c r="AF16" s="25" t="s">
        <v>158</v>
      </c>
      <c r="AG16" s="25" t="s">
        <v>170</v>
      </c>
      <c r="AH16" s="29">
        <v>21</v>
      </c>
      <c r="AI16" s="30">
        <v>69</v>
      </c>
      <c r="AJ16" s="30">
        <v>11</v>
      </c>
      <c r="AK16" s="30">
        <v>14.29</v>
      </c>
      <c r="AL16" s="30">
        <v>3.15</v>
      </c>
      <c r="AM16" s="30">
        <v>18.93</v>
      </c>
      <c r="AN16" s="30">
        <v>1.82</v>
      </c>
      <c r="AO16" s="30">
        <v>7.1449999999999996</v>
      </c>
      <c r="AP16" s="25" t="s">
        <v>158</v>
      </c>
      <c r="AQ16" s="25">
        <v>99.6</v>
      </c>
      <c r="AR16" s="25" t="s">
        <v>158</v>
      </c>
      <c r="AS16" s="25" t="s">
        <v>158</v>
      </c>
      <c r="AT16" s="25">
        <v>0.33</v>
      </c>
      <c r="AU16" s="12" t="s">
        <v>94</v>
      </c>
      <c r="AV16" s="27">
        <v>1.571</v>
      </c>
      <c r="AW16" s="12" t="s">
        <v>94</v>
      </c>
      <c r="AX16" s="25" t="s">
        <v>135</v>
      </c>
      <c r="AY16" s="29">
        <v>-6.02</v>
      </c>
      <c r="AZ16" s="25" t="s">
        <v>164</v>
      </c>
      <c r="BA16" s="30">
        <v>-25.33</v>
      </c>
      <c r="BB16" s="30">
        <v>0.69</v>
      </c>
      <c r="BC16" s="30">
        <v>0.72</v>
      </c>
      <c r="BD16" s="30">
        <v>0.05</v>
      </c>
      <c r="BE16" s="25">
        <v>50</v>
      </c>
      <c r="BF16" s="25">
        <v>23.6</v>
      </c>
      <c r="BG16" s="25">
        <v>56.25</v>
      </c>
      <c r="BH16" s="25" t="s">
        <v>158</v>
      </c>
      <c r="BI16" s="25">
        <v>1</v>
      </c>
      <c r="BJ16" s="25" t="s">
        <v>158</v>
      </c>
      <c r="BK16" s="25" t="s">
        <v>96</v>
      </c>
      <c r="BL16" s="25" t="s">
        <v>165</v>
      </c>
      <c r="BM16" s="30">
        <v>18.899999999999999</v>
      </c>
      <c r="BN16" s="30">
        <v>18.899999999999999</v>
      </c>
      <c r="BO16" s="30">
        <v>22.2</v>
      </c>
      <c r="BP16" s="25" t="s">
        <v>166</v>
      </c>
      <c r="BQ16" s="25" t="s">
        <v>167</v>
      </c>
      <c r="BR16" s="30">
        <v>76</v>
      </c>
      <c r="BS16" s="30">
        <v>75</v>
      </c>
      <c r="BT16" s="30">
        <v>77</v>
      </c>
      <c r="BU16" s="28">
        <v>3</v>
      </c>
      <c r="BV16" s="40">
        <v>210000</v>
      </c>
      <c r="BW16" s="25" t="s">
        <v>158</v>
      </c>
      <c r="BX16" s="30">
        <v>538</v>
      </c>
      <c r="BY16" s="30">
        <v>311</v>
      </c>
      <c r="BZ16" s="30">
        <v>765</v>
      </c>
    </row>
    <row r="17" spans="1:78" s="22" customFormat="1" ht="17" thickBot="1">
      <c r="A17" s="22" t="s">
        <v>82</v>
      </c>
      <c r="B17" s="22" t="s">
        <v>81</v>
      </c>
      <c r="C17" s="22">
        <v>2019</v>
      </c>
      <c r="D17" s="22" t="str">
        <f t="shared" si="0"/>
        <v>10.1127/palb/2019/0062</v>
      </c>
      <c r="E17" s="22">
        <f t="shared" si="1"/>
        <v>33450</v>
      </c>
      <c r="F17" s="22">
        <f t="shared" si="2"/>
        <v>449.99999999999574</v>
      </c>
      <c r="G17" s="22">
        <f t="shared" si="3"/>
        <v>450.00000000000284</v>
      </c>
      <c r="H17" s="22">
        <f t="shared" si="4"/>
        <v>407</v>
      </c>
      <c r="I17" s="22">
        <f t="shared" si="5"/>
        <v>105</v>
      </c>
      <c r="J17" s="22">
        <f t="shared" si="6"/>
        <v>106</v>
      </c>
      <c r="K17" s="23" t="s">
        <v>83</v>
      </c>
      <c r="L17" s="23" t="s">
        <v>84</v>
      </c>
      <c r="M17" s="35" t="s">
        <v>154</v>
      </c>
      <c r="N17" s="31" t="s">
        <v>155</v>
      </c>
      <c r="O17" s="25" t="s">
        <v>158</v>
      </c>
      <c r="P17" s="24" t="s">
        <v>85</v>
      </c>
      <c r="Q17" s="30" t="s">
        <v>136</v>
      </c>
      <c r="R17" s="29" t="s">
        <v>127</v>
      </c>
      <c r="S17" s="29" t="s">
        <v>137</v>
      </c>
      <c r="T17" s="30">
        <v>33.450000000000003</v>
      </c>
      <c r="U17" s="30">
        <v>33.9</v>
      </c>
      <c r="V17" s="30">
        <v>33</v>
      </c>
      <c r="W17" s="25" t="s">
        <v>158</v>
      </c>
      <c r="X17" s="25" t="s">
        <v>111</v>
      </c>
      <c r="Y17" s="25" t="s">
        <v>158</v>
      </c>
      <c r="Z17" s="25" t="s">
        <v>158</v>
      </c>
      <c r="AA17" s="39" t="s">
        <v>158</v>
      </c>
      <c r="AB17" s="39" t="s">
        <v>158</v>
      </c>
      <c r="AC17" s="25" t="s">
        <v>60</v>
      </c>
      <c r="AD17" s="25" t="s">
        <v>118</v>
      </c>
      <c r="AE17" s="25" t="s">
        <v>119</v>
      </c>
      <c r="AF17" s="25" t="s">
        <v>158</v>
      </c>
      <c r="AG17" s="25" t="s">
        <v>170</v>
      </c>
      <c r="AH17" s="29">
        <v>45</v>
      </c>
      <c r="AI17" s="30">
        <v>96</v>
      </c>
      <c r="AJ17" s="30">
        <v>26</v>
      </c>
      <c r="AK17" s="30">
        <v>13.16</v>
      </c>
      <c r="AL17" s="30">
        <v>2.68</v>
      </c>
      <c r="AM17" s="30">
        <v>17.190000000000001</v>
      </c>
      <c r="AN17" s="30">
        <v>1.6</v>
      </c>
      <c r="AO17" s="30">
        <v>6.58</v>
      </c>
      <c r="AP17" s="25" t="s">
        <v>158</v>
      </c>
      <c r="AQ17" s="25">
        <v>99.6</v>
      </c>
      <c r="AR17" s="25" t="s">
        <v>158</v>
      </c>
      <c r="AS17" s="25" t="s">
        <v>158</v>
      </c>
      <c r="AT17" s="25">
        <v>0.33</v>
      </c>
      <c r="AU17" s="12" t="s">
        <v>94</v>
      </c>
      <c r="AV17" s="27">
        <v>1.571</v>
      </c>
      <c r="AW17" s="12" t="s">
        <v>94</v>
      </c>
      <c r="AX17" s="25" t="s">
        <v>138</v>
      </c>
      <c r="AY17" s="29">
        <v>-6</v>
      </c>
      <c r="AZ17" s="25" t="s">
        <v>164</v>
      </c>
      <c r="BA17" s="30">
        <v>-25.78</v>
      </c>
      <c r="BB17" s="30">
        <v>0.9</v>
      </c>
      <c r="BC17" s="30">
        <v>0.71</v>
      </c>
      <c r="BD17" s="30">
        <v>0.04</v>
      </c>
      <c r="BE17" s="25">
        <v>50</v>
      </c>
      <c r="BF17" s="25">
        <v>23.6</v>
      </c>
      <c r="BG17" s="25">
        <v>56.25</v>
      </c>
      <c r="BH17" s="25" t="s">
        <v>158</v>
      </c>
      <c r="BI17" s="25">
        <v>1</v>
      </c>
      <c r="BJ17" s="25" t="s">
        <v>158</v>
      </c>
      <c r="BK17" s="25" t="s">
        <v>96</v>
      </c>
      <c r="BL17" s="25" t="s">
        <v>165</v>
      </c>
      <c r="BM17" s="30">
        <v>18.899999999999999</v>
      </c>
      <c r="BN17" s="30">
        <v>15.9</v>
      </c>
      <c r="BO17" s="30">
        <v>21.1</v>
      </c>
      <c r="BP17" s="25" t="s">
        <v>166</v>
      </c>
      <c r="BQ17" s="25" t="s">
        <v>167</v>
      </c>
      <c r="BR17" s="30">
        <v>77</v>
      </c>
      <c r="BS17" s="30">
        <v>77</v>
      </c>
      <c r="BT17" s="30">
        <v>77</v>
      </c>
      <c r="BU17" s="28">
        <v>3</v>
      </c>
      <c r="BV17" s="40">
        <v>210000</v>
      </c>
      <c r="BW17" s="25" t="s">
        <v>158</v>
      </c>
      <c r="BX17" s="30">
        <v>407</v>
      </c>
      <c r="BY17" s="30">
        <v>301</v>
      </c>
      <c r="BZ17" s="30">
        <v>512</v>
      </c>
    </row>
    <row r="18" spans="1:78" s="22" customFormat="1"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2"/>
      <c r="Z18" s="32"/>
      <c r="AA18" s="32"/>
      <c r="AB18" s="32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</row>
    <row r="19" spans="1:78" s="22" customFormat="1"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2"/>
      <c r="Z19" s="32"/>
      <c r="AA19" s="32"/>
      <c r="AB19" s="32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</row>
    <row r="20" spans="1:78" s="22" customFormat="1"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2"/>
      <c r="Z20" s="32"/>
      <c r="AA20" s="32"/>
      <c r="AB20" s="32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</row>
    <row r="21" spans="1:78" s="22" customFormat="1"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2"/>
      <c r="Z21" s="32"/>
      <c r="AA21" s="32"/>
      <c r="AB21" s="32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</row>
    <row r="22" spans="1:78" s="22" customFormat="1"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2"/>
      <c r="Z22" s="32"/>
      <c r="AA22" s="32"/>
      <c r="AB22" s="32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</row>
    <row r="23" spans="1:78" s="22" customFormat="1"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2"/>
      <c r="Z23" s="32"/>
      <c r="AA23" s="32"/>
      <c r="AB23" s="32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</row>
    <row r="24" spans="1:78" s="22" customFormat="1"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2"/>
      <c r="Z24" s="32"/>
      <c r="AA24" s="32"/>
      <c r="AB24" s="32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</row>
    <row r="25" spans="1:78" s="22" customFormat="1"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2"/>
      <c r="Z25" s="32"/>
      <c r="AA25" s="32"/>
      <c r="AB25" s="32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</row>
    <row r="26" spans="1:78" s="22" customFormat="1"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2"/>
      <c r="Z26" s="32"/>
      <c r="AA26" s="32"/>
      <c r="AB26" s="32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</row>
    <row r="27" spans="1:78" s="22" customFormat="1"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2"/>
      <c r="Z27" s="32"/>
      <c r="AA27" s="32"/>
      <c r="AB27" s="32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</row>
    <row r="28" spans="1:78"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4"/>
      <c r="Z28" s="34"/>
      <c r="AA28" s="34"/>
      <c r="AB28" s="34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</row>
    <row r="29" spans="1:78"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4"/>
      <c r="Z29" s="34"/>
      <c r="AA29" s="34"/>
      <c r="AB29" s="34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</row>
    <row r="30" spans="1:78"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4"/>
      <c r="Z30" s="34"/>
      <c r="AA30" s="34"/>
      <c r="AB30" s="34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</row>
    <row r="31" spans="1:78"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4"/>
      <c r="Z31" s="34"/>
      <c r="AA31" s="34"/>
      <c r="AB31" s="34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</row>
    <row r="32" spans="1:78"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4"/>
      <c r="Z32" s="34"/>
      <c r="AA32" s="34"/>
      <c r="AB32" s="34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</row>
    <row r="33" spans="15:78"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4"/>
      <c r="Z33" s="34"/>
      <c r="AA33" s="34"/>
      <c r="AB33" s="34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</row>
  </sheetData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A2B88-B1F6-DC45-B537-5EF4A562BAAB}">
  <dimension ref="A1:A21"/>
  <sheetViews>
    <sheetView workbookViewId="0">
      <selection sqref="A1:A21"/>
    </sheetView>
  </sheetViews>
  <sheetFormatPr baseColWidth="10" defaultRowHeight="16"/>
  <sheetData>
    <row r="1" spans="1:1">
      <c r="A1" s="12" t="s">
        <v>0</v>
      </c>
    </row>
    <row r="2" spans="1:1" ht="19">
      <c r="A2" s="12" t="s">
        <v>139</v>
      </c>
    </row>
    <row r="3" spans="1:1" ht="19">
      <c r="A3" s="12" t="s">
        <v>140</v>
      </c>
    </row>
    <row r="4" spans="1:1">
      <c r="A4" s="12"/>
    </row>
    <row r="5" spans="1:1">
      <c r="A5" s="24" t="s">
        <v>61</v>
      </c>
    </row>
    <row r="6" spans="1:1">
      <c r="A6" s="24" t="s">
        <v>64</v>
      </c>
    </row>
    <row r="7" spans="1:1">
      <c r="A7" s="24" t="s">
        <v>73</v>
      </c>
    </row>
    <row r="8" spans="1:1">
      <c r="A8" s="24" t="s">
        <v>68</v>
      </c>
    </row>
    <row r="9" spans="1:1">
      <c r="A9" s="24" t="s">
        <v>69</v>
      </c>
    </row>
    <row r="10" spans="1:1">
      <c r="A10" s="24" t="s">
        <v>65</v>
      </c>
    </row>
    <row r="11" spans="1:1">
      <c r="A11" s="24" t="s">
        <v>66</v>
      </c>
    </row>
    <row r="12" spans="1:1">
      <c r="A12" s="24" t="s">
        <v>67</v>
      </c>
    </row>
    <row r="13" spans="1:1">
      <c r="A13" s="24" t="s">
        <v>62</v>
      </c>
    </row>
    <row r="14" spans="1:1">
      <c r="A14" s="24" t="s">
        <v>70</v>
      </c>
    </row>
    <row r="15" spans="1:1">
      <c r="A15" s="24" t="s">
        <v>63</v>
      </c>
    </row>
    <row r="16" spans="1:1">
      <c r="A16" s="24" t="s">
        <v>71</v>
      </c>
    </row>
    <row r="17" spans="1:1">
      <c r="A17" s="12" t="s">
        <v>72</v>
      </c>
    </row>
    <row r="19" spans="1:1">
      <c r="A19" s="14" t="s">
        <v>1</v>
      </c>
    </row>
    <row r="20" spans="1:1">
      <c r="A20" s="14" t="s">
        <v>2</v>
      </c>
    </row>
    <row r="21" spans="1:1">
      <c r="A21" s="1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leaf gas-exchange_FOM</vt:lpstr>
      <vt:lpstr>Specifications and 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Bärbel Hönisch</cp:lastModifiedBy>
  <dcterms:created xsi:type="dcterms:W3CDTF">2017-12-08T17:20:22Z</dcterms:created>
  <dcterms:modified xsi:type="dcterms:W3CDTF">2020-09-23T12:54:21Z</dcterms:modified>
</cp:coreProperties>
</file>