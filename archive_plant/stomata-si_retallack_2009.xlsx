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6A5812D8-4FB6-E24B-A67C-0ECFA2A166FB}" xr6:coauthVersionLast="36" xr6:coauthVersionMax="36" xr10:uidLastSave="{00000000-0000-0000-0000-000000000000}"/>
  <bookViews>
    <workbookView xWindow="240" yWindow="1620" windowWidth="28180" windowHeight="1628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1" l="1"/>
  <c r="I17" i="1"/>
  <c r="H17" i="1"/>
  <c r="G17" i="1"/>
  <c r="F17" i="1"/>
  <c r="E17" i="1"/>
  <c r="D17" i="1"/>
  <c r="J16" i="1"/>
  <c r="I16" i="1"/>
  <c r="H16" i="1"/>
  <c r="G16" i="1"/>
  <c r="F16" i="1"/>
  <c r="E16" i="1"/>
  <c r="D16" i="1"/>
  <c r="J15" i="1"/>
  <c r="I15" i="1"/>
  <c r="H15" i="1"/>
  <c r="G15" i="1"/>
  <c r="F15" i="1"/>
  <c r="E15" i="1"/>
  <c r="D15" i="1"/>
  <c r="J14" i="1"/>
  <c r="I14" i="1"/>
  <c r="H14" i="1"/>
  <c r="G14" i="1"/>
  <c r="F14" i="1"/>
  <c r="E14" i="1"/>
  <c r="D14" i="1"/>
  <c r="J13" i="1"/>
  <c r="I13" i="1"/>
  <c r="H13" i="1"/>
  <c r="G13" i="1"/>
  <c r="F13" i="1"/>
  <c r="E13" i="1"/>
  <c r="D13" i="1"/>
  <c r="J12" i="1"/>
  <c r="I12" i="1"/>
  <c r="H12" i="1"/>
  <c r="G12" i="1"/>
  <c r="F12" i="1"/>
  <c r="E12" i="1"/>
  <c r="D12" i="1"/>
  <c r="J11" i="1"/>
  <c r="I11" i="1"/>
  <c r="H11" i="1"/>
  <c r="G11" i="1"/>
  <c r="F11" i="1"/>
  <c r="E11" i="1"/>
  <c r="D11" i="1"/>
  <c r="J10" i="1"/>
  <c r="I10" i="1"/>
  <c r="H10" i="1"/>
  <c r="G10" i="1"/>
  <c r="F10" i="1"/>
  <c r="E10" i="1"/>
  <c r="D10" i="1"/>
  <c r="J9" i="1"/>
  <c r="I9" i="1"/>
  <c r="H9" i="1"/>
  <c r="G9" i="1"/>
  <c r="F9" i="1"/>
  <c r="E9" i="1"/>
  <c r="D9" i="1"/>
  <c r="J8" i="1"/>
  <c r="I8" i="1"/>
  <c r="H8" i="1"/>
  <c r="G8" i="1"/>
  <c r="F8" i="1"/>
  <c r="E8" i="1"/>
  <c r="D8" i="1"/>
  <c r="J7" i="1"/>
  <c r="I7" i="1"/>
  <c r="H7" i="1"/>
  <c r="G7" i="1"/>
  <c r="F7" i="1"/>
  <c r="E7" i="1"/>
  <c r="D7" i="1"/>
  <c r="J6" i="1"/>
  <c r="I6" i="1"/>
  <c r="H6" i="1"/>
  <c r="G6" i="1"/>
  <c r="F6" i="1"/>
  <c r="E6" i="1"/>
  <c r="D6" i="1"/>
  <c r="J5" i="1"/>
  <c r="I5" i="1"/>
  <c r="H5" i="1"/>
  <c r="G5" i="1"/>
  <c r="F5" i="1"/>
  <c r="E5" i="1"/>
  <c r="D5" i="1"/>
  <c r="H4" i="1" l="1"/>
  <c r="G4" i="1"/>
  <c r="F4" i="1"/>
  <c r="E4" i="1"/>
  <c r="D4" i="1"/>
</calcChain>
</file>

<file path=xl/sharedStrings.xml><?xml version="1.0" encoding="utf-8"?>
<sst xmlns="http://schemas.openxmlformats.org/spreadsheetml/2006/main" count="488" uniqueCount="108">
  <si>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</si>
  <si>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</si>
  <si>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</si>
  <si>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</si>
  <si>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</si>
  <si>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</si>
  <si>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</si>
  <si>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</si>
  <si>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</si>
  <si>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</si>
  <si>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</si>
  <si>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</si>
  <si>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</si>
  <si>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</si>
  <si>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</si>
  <si>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</si>
  <si>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</si>
  <si>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</si>
  <si>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</si>
  <si>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</si>
  <si>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</si>
  <si>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</si>
  <si>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</si>
  <si>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</si>
  <si>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</si>
  <si>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</si>
  <si>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</si>
  <si>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</si>
  <si>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</si>
  <si>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</si>
  <si>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</si>
  <si>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</si>
  <si>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</si>
  <si>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</si>
  <si>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Dana L. Royer</t>
  </si>
  <si>
    <t>Ginkgoaceae</t>
  </si>
  <si>
    <t>Ginkgo</t>
  </si>
  <si>
    <t>adiantoides</t>
  </si>
  <si>
    <t>Ginkgo biloba</t>
  </si>
  <si>
    <t>occidentalis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</si>
  <si>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</si>
  <si>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</si>
  <si>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</si>
  <si>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</si>
  <si>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</si>
  <si>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</si>
  <si>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</si>
  <si>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right skewed</t>
  </si>
  <si>
    <t>Retallack</t>
  </si>
  <si>
    <t>Retallack, G. J., 2009, Greenhouse crises of the past 300 million years: Geological Society of America Bulletin, v. 121, p. 1441-1455.</t>
  </si>
  <si>
    <t>wyomingensis</t>
  </si>
  <si>
    <t>spitzbergensis</t>
  </si>
  <si>
    <t>tzagajanica</t>
  </si>
  <si>
    <t>orientalis</t>
  </si>
  <si>
    <t>"Ginkgoites"</t>
  </si>
  <si>
    <t>samylinae</t>
  </si>
  <si>
    <t>cf. G. adiantoides</t>
  </si>
  <si>
    <t>Measurements come from figures published in Manum 1966</t>
  </si>
  <si>
    <t>Measurements come from figures published in Manum 1966, Royer 2003</t>
  </si>
  <si>
    <t>Measurements come from figures published in Collinson et al. 1998</t>
  </si>
  <si>
    <t>Measurements come from figures published in Horiuchi &amp; Kimura 1986</t>
  </si>
  <si>
    <t>Measurements come from figures published in Polyshchuk 1975</t>
  </si>
  <si>
    <t>Measurements come from figures published in Samylina 1967</t>
  </si>
  <si>
    <t>Measurements come from figures published in Medyulyanov 1969</t>
  </si>
  <si>
    <t>Measurements come from figures published in Oishi 1938</t>
  </si>
  <si>
    <t>Measurements come from figures published in Retallack 2002</t>
  </si>
  <si>
    <t>Measurements come from figures published in Samylina 1967a</t>
  </si>
  <si>
    <t>Measurements come from figures published in Denk &amp; Velitzelos 2002</t>
  </si>
  <si>
    <t>Measurements come from figures published in Lancucka-Srodoniova 1966</t>
  </si>
  <si>
    <t>Measurements come from figures published in Szafer 1961</t>
  </si>
  <si>
    <t>Measurements come from figures published in Florin 1937, Tralau 1968; Denk &amp; Velitzelos 2002</t>
  </si>
  <si>
    <t>Wyoming, USA</t>
  </si>
  <si>
    <t>Mt Basilika, Spitsbergen</t>
  </si>
  <si>
    <t>Johnson County, Wyoming. USA</t>
  </si>
  <si>
    <t>Noda, Japan</t>
  </si>
  <si>
    <t>Tavrichanka, Primorie</t>
  </si>
  <si>
    <t>Krilion, Sakhalin</t>
  </si>
  <si>
    <t>Zagorsk, Sakhalin</t>
  </si>
  <si>
    <t>Kuzi, Japan</t>
  </si>
  <si>
    <t>49 Camp, Nevada</t>
  </si>
  <si>
    <t>Zakarpatskie, Russia</t>
  </si>
  <si>
    <t>Vegora, Greece</t>
  </si>
  <si>
    <t>Klaj, Poland</t>
  </si>
  <si>
    <t>Stare Gliwice, Poland</t>
  </si>
  <si>
    <t>Klarbecken, Germany</t>
  </si>
  <si>
    <t>Paleocene</t>
  </si>
  <si>
    <t xml:space="preserve">Paleocene- </t>
  </si>
  <si>
    <t>Eocene</t>
  </si>
  <si>
    <t>Oligocene</t>
  </si>
  <si>
    <t>Miocene</t>
  </si>
  <si>
    <t>Pliocene</t>
  </si>
  <si>
    <t>published images</t>
  </si>
  <si>
    <t>Retallack (2009): CO2 = 294.1 + [1/(4.84x10^-10)xSI^7.93]</t>
  </si>
  <si>
    <t>Uncertainties in the fossil SI measurement are included (but not the calibration function)</t>
  </si>
  <si>
    <t>mean</t>
  </si>
  <si>
    <t>+/- 1 s.e.m. of the measured SI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</si>
  <si>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</si>
  <si>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</si>
  <si>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</si>
  <si>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</si>
  <si>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</si>
  <si>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</si>
  <si>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10.1130/B26341.1</t>
  </si>
  <si>
    <t>email of individual entering the data</t>
  </si>
  <si>
    <t>droyer@wesleyan.edu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</si>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</sst>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0" fillId="0" borderId="0" xfId="0" applyFill="1" applyBorder="1" applyAlignment="1"/>
    <xf numFmtId="0" fontId="0" fillId="0" borderId="0" xfId="0" applyFill="1"/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0" fillId="0" borderId="0" xfId="0" applyFont="1" applyFill="1" applyBorder="1" applyAlignment="1"/>
    <xf numFmtId="1" fontId="0" fillId="0" borderId="0" xfId="0" applyNumberFormat="1"/>
    <xf numFmtId="1" fontId="0" fillId="0" borderId="0" xfId="0" applyNumberFormat="1" applyFill="1" applyBorder="1" applyAlignment="1">
      <alignment horizontal="right"/>
    </xf>
    <xf numFmtId="1" fontId="0" fillId="0" borderId="0" xfId="0" applyNumberFormat="1" applyFill="1" applyBorder="1" applyAlignment="1"/>
    <xf numFmtId="0" fontId="0" fillId="0" borderId="0" xfId="0" quotePrefix="1" applyFill="1" applyBorder="1" applyAlignment="1"/>
    <xf numFmtId="0" fontId="2" fillId="2" borderId="0" xfId="0" applyFont="1" applyFill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17" fontId="0" fillId="0" borderId="0" xfId="0" applyNumberForma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6" fillId="0" borderId="0" xfId="0" applyFont="1" applyBorder="1" applyAlignme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37"/>
  <sheetViews>
    <sheetView tabSelected="1" topLeftCell="S1" workbookViewId="0">
      <pane ySplit="3" topLeftCell="A4" activePane="bottomLeft" state="frozen"/>
      <selection pane="bottomLeft" activeCell="AC4" sqref="AC4:AD17"/>
    </sheetView>
  </sheetViews>
  <sheetFormatPr baseColWidth="10" defaultColWidth="11" defaultRowHeight="16"/>
  <cols>
    <col min="1" max="20" width="11" style="2"/>
    <col min="21" max="21" width="12.1640625" style="2" customWidth="1"/>
    <col min="22" max="22" width="8.6640625" style="2" bestFit="1" customWidth="1"/>
    <col min="23" max="23" width="11.33203125" style="2" bestFit="1" customWidth="1"/>
    <col min="24" max="24" width="12.1640625" style="2" customWidth="1"/>
    <col min="25" max="25" width="11" style="2"/>
    <col min="26" max="26" width="12.6640625" style="2" customWidth="1"/>
    <col min="27" max="30" width="11" style="2"/>
    <col min="31" max="31" width="12.1640625" style="2" customWidth="1"/>
    <col min="32" max="32" width="12.5" style="2" customWidth="1"/>
    <col min="33" max="37" width="11" style="2"/>
    <col min="38" max="38" width="13.6640625" style="2" customWidth="1"/>
    <col min="39" max="48" width="11" style="2"/>
    <col min="49" max="49" width="16.1640625" style="2" customWidth="1"/>
    <col min="50" max="16384" width="11" style="2"/>
  </cols>
  <sheetData>
    <row r="3" spans="1:50" s="5" customFormat="1" ht="63" customHeight="1">
      <c r="A3" s="11" t="s">
        <v>40</v>
      </c>
      <c r="B3" s="11" t="s">
        <v>41</v>
      </c>
      <c r="C3" s="11" t="s">
        <v>42</v>
      </c>
      <c r="D3" s="11" t="s">
        <v>2</v>
      </c>
      <c r="E3" s="11" t="s">
        <v>43</v>
      </c>
      <c r="F3" s="11" t="s">
        <v>44</v>
      </c>
      <c r="G3" s="11" t="s">
        <v>45</v>
      </c>
      <c r="H3" s="11" t="s">
        <v>96</v>
      </c>
      <c r="I3" s="11" t="s">
        <v>97</v>
      </c>
      <c r="J3" s="11" t="s">
        <v>99</v>
      </c>
      <c r="K3" s="12" t="s">
        <v>0</v>
      </c>
      <c r="L3" s="12" t="s">
        <v>103</v>
      </c>
      <c r="M3" s="12" t="s">
        <v>105</v>
      </c>
      <c r="N3" s="12" t="s">
        <v>2</v>
      </c>
      <c r="O3" s="12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3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14</v>
      </c>
      <c r="AA3" s="12" t="s">
        <v>100</v>
      </c>
      <c r="AB3" s="12" t="s">
        <v>101</v>
      </c>
      <c r="AC3" s="15" t="s">
        <v>106</v>
      </c>
      <c r="AD3" s="15" t="s">
        <v>107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  <c r="AO3" s="4" t="s">
        <v>25</v>
      </c>
      <c r="AP3" s="4" t="s">
        <v>26</v>
      </c>
      <c r="AQ3" s="4" t="s">
        <v>27</v>
      </c>
      <c r="AR3" s="4" t="s">
        <v>28</v>
      </c>
      <c r="AS3" s="3" t="s">
        <v>29</v>
      </c>
      <c r="AT3" s="4" t="s">
        <v>30</v>
      </c>
      <c r="AU3" s="4" t="s">
        <v>31</v>
      </c>
      <c r="AV3" s="3" t="s">
        <v>32</v>
      </c>
      <c r="AW3" s="3" t="s">
        <v>33</v>
      </c>
      <c r="AX3" s="3" t="s">
        <v>1</v>
      </c>
    </row>
    <row r="4" spans="1:50">
      <c r="A4" s="2" t="s">
        <v>46</v>
      </c>
      <c r="B4" s="2" t="s">
        <v>48</v>
      </c>
      <c r="C4" s="2">
        <v>2009</v>
      </c>
      <c r="D4" s="2" t="str">
        <f t="shared" ref="D4" si="0">N4</f>
        <v>10.1130/B26341.1</v>
      </c>
      <c r="E4" s="2">
        <f t="shared" ref="E4" si="1">V4*1000</f>
        <v>65000</v>
      </c>
      <c r="F4" s="2">
        <f t="shared" ref="F4:F17" si="2">(W4-V4)*1000</f>
        <v>1000</v>
      </c>
      <c r="G4" s="2">
        <f t="shared" ref="G4:G17" si="3">(V4-X4)*1000</f>
        <v>1000</v>
      </c>
      <c r="H4" s="2">
        <f t="shared" ref="H4" si="4">AR4</f>
        <v>1688.5894174109985</v>
      </c>
      <c r="I4" s="2" t="s">
        <v>98</v>
      </c>
      <c r="J4" s="2" t="s">
        <v>98</v>
      </c>
      <c r="K4" s="1" t="s">
        <v>34</v>
      </c>
      <c r="L4" s="14" t="s">
        <v>104</v>
      </c>
      <c r="M4" s="1" t="s">
        <v>49</v>
      </c>
      <c r="N4" s="1" t="s">
        <v>102</v>
      </c>
      <c r="O4" t="s">
        <v>71</v>
      </c>
      <c r="P4" s="1" t="s">
        <v>35</v>
      </c>
      <c r="Q4" t="s">
        <v>36</v>
      </c>
      <c r="R4" t="s">
        <v>50</v>
      </c>
      <c r="S4" s="1" t="s">
        <v>98</v>
      </c>
      <c r="T4" s="1" t="s">
        <v>98</v>
      </c>
      <c r="U4" t="s">
        <v>85</v>
      </c>
      <c r="V4" s="7">
        <v>65</v>
      </c>
      <c r="W4" s="8">
        <v>66</v>
      </c>
      <c r="X4" s="8">
        <v>64</v>
      </c>
      <c r="Y4" s="1" t="s">
        <v>98</v>
      </c>
      <c r="Z4" s="1" t="s">
        <v>98</v>
      </c>
      <c r="AA4" s="1" t="s">
        <v>98</v>
      </c>
      <c r="AB4" s="1" t="s">
        <v>98</v>
      </c>
      <c r="AC4" s="16" t="s">
        <v>98</v>
      </c>
      <c r="AD4" s="16" t="s">
        <v>98</v>
      </c>
      <c r="AE4" s="1" t="s">
        <v>98</v>
      </c>
      <c r="AF4">
        <v>2</v>
      </c>
      <c r="AG4" s="1" t="s">
        <v>91</v>
      </c>
      <c r="AH4" s="1" t="s">
        <v>98</v>
      </c>
      <c r="AI4">
        <v>36</v>
      </c>
      <c r="AJ4">
        <v>563</v>
      </c>
      <c r="AK4" s="1" t="s">
        <v>98</v>
      </c>
      <c r="AL4">
        <v>6</v>
      </c>
      <c r="AM4" s="1" t="s">
        <v>98</v>
      </c>
      <c r="AN4" s="1">
        <v>0</v>
      </c>
      <c r="AO4" s="1" t="s">
        <v>38</v>
      </c>
      <c r="AP4" s="1" t="s">
        <v>92</v>
      </c>
      <c r="AQ4" s="1" t="s">
        <v>93</v>
      </c>
      <c r="AR4" s="7">
        <v>1688.5894174109985</v>
      </c>
      <c r="AS4" s="1" t="s">
        <v>94</v>
      </c>
      <c r="AT4" s="8" t="s">
        <v>98</v>
      </c>
      <c r="AU4" s="8" t="s">
        <v>98</v>
      </c>
      <c r="AV4" s="10" t="s">
        <v>95</v>
      </c>
      <c r="AW4" s="1" t="s">
        <v>47</v>
      </c>
      <c r="AX4" s="6" t="s">
        <v>57</v>
      </c>
    </row>
    <row r="5" spans="1:50">
      <c r="A5" s="2" t="s">
        <v>46</v>
      </c>
      <c r="B5" s="2" t="s">
        <v>48</v>
      </c>
      <c r="C5" s="2">
        <v>2009</v>
      </c>
      <c r="D5" s="2" t="str">
        <f t="shared" ref="D5:D17" si="5">N5</f>
        <v>10.1130/B26341.1</v>
      </c>
      <c r="E5" s="2">
        <f t="shared" ref="E5:E17" si="6">V5*1000</f>
        <v>64000</v>
      </c>
      <c r="F5" s="2">
        <f t="shared" si="2"/>
        <v>5000</v>
      </c>
      <c r="G5" s="2">
        <f t="shared" si="3"/>
        <v>5000</v>
      </c>
      <c r="H5" s="2">
        <f t="shared" ref="H5:H17" si="7">AR5</f>
        <v>333.08800195844367</v>
      </c>
      <c r="I5" s="2">
        <f t="shared" ref="I5:I17" si="8">AU5-AR5</f>
        <v>47.462725453218752</v>
      </c>
      <c r="J5" s="2">
        <f t="shared" ref="J5:J17" si="9">AR5-AT5</f>
        <v>20.078737366940743</v>
      </c>
      <c r="K5" s="1" t="s">
        <v>34</v>
      </c>
      <c r="L5" s="14" t="s">
        <v>104</v>
      </c>
      <c r="M5" s="1" t="s">
        <v>49</v>
      </c>
      <c r="N5" s="1" t="s">
        <v>102</v>
      </c>
      <c r="O5" t="s">
        <v>72</v>
      </c>
      <c r="P5" s="1" t="s">
        <v>35</v>
      </c>
      <c r="Q5" t="s">
        <v>36</v>
      </c>
      <c r="R5" t="s">
        <v>51</v>
      </c>
      <c r="S5" s="1" t="s">
        <v>98</v>
      </c>
      <c r="T5" s="1" t="s">
        <v>98</v>
      </c>
      <c r="U5" t="s">
        <v>86</v>
      </c>
      <c r="V5" s="7">
        <v>64</v>
      </c>
      <c r="W5" s="9">
        <v>69</v>
      </c>
      <c r="X5" s="9">
        <v>59</v>
      </c>
      <c r="Y5" s="1" t="s">
        <v>98</v>
      </c>
      <c r="Z5" s="1" t="s">
        <v>98</v>
      </c>
      <c r="AA5" s="1" t="s">
        <v>98</v>
      </c>
      <c r="AB5" s="1" t="s">
        <v>98</v>
      </c>
      <c r="AC5" s="16" t="s">
        <v>98</v>
      </c>
      <c r="AD5" s="16" t="s">
        <v>98</v>
      </c>
      <c r="AE5" s="1" t="s">
        <v>98</v>
      </c>
      <c r="AF5">
        <v>5</v>
      </c>
      <c r="AG5" s="1" t="s">
        <v>91</v>
      </c>
      <c r="AH5" s="1" t="s">
        <v>98</v>
      </c>
      <c r="AI5">
        <v>65</v>
      </c>
      <c r="AJ5">
        <v>950</v>
      </c>
      <c r="AK5" s="1" t="s">
        <v>98</v>
      </c>
      <c r="AL5">
        <v>9.42</v>
      </c>
      <c r="AM5" s="1" t="s">
        <v>98</v>
      </c>
      <c r="AN5">
        <v>0.9</v>
      </c>
      <c r="AO5" s="1" t="s">
        <v>38</v>
      </c>
      <c r="AP5" s="1" t="s">
        <v>92</v>
      </c>
      <c r="AQ5" s="1" t="s">
        <v>93</v>
      </c>
      <c r="AR5" s="7">
        <v>333.08800195844367</v>
      </c>
      <c r="AS5" s="1" t="s">
        <v>94</v>
      </c>
      <c r="AT5" s="9">
        <v>313.00926459150293</v>
      </c>
      <c r="AU5" s="9">
        <v>380.55072741166242</v>
      </c>
      <c r="AV5" s="10" t="s">
        <v>95</v>
      </c>
      <c r="AW5" s="1" t="s">
        <v>47</v>
      </c>
      <c r="AX5" s="1" t="s">
        <v>58</v>
      </c>
    </row>
    <row r="6" spans="1:50">
      <c r="A6" s="2" t="s">
        <v>46</v>
      </c>
      <c r="B6" s="2" t="s">
        <v>48</v>
      </c>
      <c r="C6" s="2">
        <v>2009</v>
      </c>
      <c r="D6" s="2" t="str">
        <f t="shared" si="5"/>
        <v>10.1130/B26341.1</v>
      </c>
      <c r="E6" s="2">
        <f t="shared" si="6"/>
        <v>63000</v>
      </c>
      <c r="F6" s="2">
        <f t="shared" si="2"/>
        <v>2000</v>
      </c>
      <c r="G6" s="2">
        <f t="shared" si="3"/>
        <v>2000</v>
      </c>
      <c r="H6" s="2">
        <f t="shared" si="7"/>
        <v>875.37474316661519</v>
      </c>
      <c r="I6" s="2">
        <f t="shared" si="8"/>
        <v>365.79962120803793</v>
      </c>
      <c r="J6" s="2">
        <f t="shared" si="9"/>
        <v>214.26640348772492</v>
      </c>
      <c r="K6" s="1" t="s">
        <v>34</v>
      </c>
      <c r="L6" s="14" t="s">
        <v>104</v>
      </c>
      <c r="M6" s="1" t="s">
        <v>49</v>
      </c>
      <c r="N6" s="1" t="s">
        <v>102</v>
      </c>
      <c r="O6" t="s">
        <v>73</v>
      </c>
      <c r="P6" s="1" t="s">
        <v>35</v>
      </c>
      <c r="Q6" t="s">
        <v>36</v>
      </c>
      <c r="R6" t="s">
        <v>37</v>
      </c>
      <c r="S6" s="1" t="s">
        <v>98</v>
      </c>
      <c r="T6" s="1" t="s">
        <v>98</v>
      </c>
      <c r="U6" t="s">
        <v>85</v>
      </c>
      <c r="V6" s="7">
        <v>63</v>
      </c>
      <c r="W6" s="9">
        <v>65</v>
      </c>
      <c r="X6" s="9">
        <v>61</v>
      </c>
      <c r="Y6" s="1" t="s">
        <v>98</v>
      </c>
      <c r="Z6" s="1" t="s">
        <v>98</v>
      </c>
      <c r="AA6" s="1" t="s">
        <v>98</v>
      </c>
      <c r="AB6" s="1" t="s">
        <v>98</v>
      </c>
      <c r="AC6" s="16" t="s">
        <v>98</v>
      </c>
      <c r="AD6" s="16" t="s">
        <v>98</v>
      </c>
      <c r="AE6" s="1" t="s">
        <v>98</v>
      </c>
      <c r="AF6">
        <v>2</v>
      </c>
      <c r="AG6" s="1" t="s">
        <v>91</v>
      </c>
      <c r="AH6" s="1" t="s">
        <v>98</v>
      </c>
      <c r="AI6">
        <v>50</v>
      </c>
      <c r="AJ6">
        <v>723</v>
      </c>
      <c r="AK6" s="1" t="s">
        <v>98</v>
      </c>
      <c r="AL6">
        <v>6.7</v>
      </c>
      <c r="AM6" s="1" t="s">
        <v>98</v>
      </c>
      <c r="AN6">
        <v>0.4</v>
      </c>
      <c r="AO6" s="1" t="s">
        <v>38</v>
      </c>
      <c r="AP6" s="1" t="s">
        <v>92</v>
      </c>
      <c r="AQ6" s="1" t="s">
        <v>93</v>
      </c>
      <c r="AR6" s="7">
        <v>875.37474316661519</v>
      </c>
      <c r="AS6" s="1" t="s">
        <v>94</v>
      </c>
      <c r="AT6" s="9">
        <v>661.10833967889027</v>
      </c>
      <c r="AU6" s="9">
        <v>1241.1743643746531</v>
      </c>
      <c r="AV6" s="10" t="s">
        <v>95</v>
      </c>
      <c r="AW6" s="1" t="s">
        <v>47</v>
      </c>
      <c r="AX6" s="1" t="s">
        <v>59</v>
      </c>
    </row>
    <row r="7" spans="1:50">
      <c r="A7" s="2" t="s">
        <v>46</v>
      </c>
      <c r="B7" s="2" t="s">
        <v>48</v>
      </c>
      <c r="C7" s="2">
        <v>2009</v>
      </c>
      <c r="D7" s="2" t="str">
        <f t="shared" si="5"/>
        <v>10.1130/B26341.1</v>
      </c>
      <c r="E7" s="2">
        <f t="shared" si="6"/>
        <v>45000</v>
      </c>
      <c r="F7" s="2">
        <f t="shared" si="2"/>
        <v>5000</v>
      </c>
      <c r="G7" s="2">
        <f t="shared" si="3"/>
        <v>5000</v>
      </c>
      <c r="H7" s="2">
        <f t="shared" si="7"/>
        <v>1688.5894174109985</v>
      </c>
      <c r="I7" s="2">
        <f t="shared" si="8"/>
        <v>6788.4931497713842</v>
      </c>
      <c r="J7" s="2">
        <f t="shared" si="9"/>
        <v>1066.0101664802867</v>
      </c>
      <c r="K7" s="1" t="s">
        <v>34</v>
      </c>
      <c r="L7" s="14" t="s">
        <v>104</v>
      </c>
      <c r="M7" s="1" t="s">
        <v>49</v>
      </c>
      <c r="N7" s="1" t="s">
        <v>102</v>
      </c>
      <c r="O7" t="s">
        <v>74</v>
      </c>
      <c r="P7" s="1" t="s">
        <v>35</v>
      </c>
      <c r="Q7" t="s">
        <v>36</v>
      </c>
      <c r="R7" t="s">
        <v>52</v>
      </c>
      <c r="S7" s="1" t="s">
        <v>98</v>
      </c>
      <c r="T7" s="1" t="s">
        <v>98</v>
      </c>
      <c r="U7" t="s">
        <v>87</v>
      </c>
      <c r="V7" s="7">
        <v>45</v>
      </c>
      <c r="W7" s="9">
        <v>50</v>
      </c>
      <c r="X7" s="9">
        <v>40</v>
      </c>
      <c r="Y7" s="1" t="s">
        <v>98</v>
      </c>
      <c r="Z7" s="1" t="s">
        <v>98</v>
      </c>
      <c r="AA7" s="1" t="s">
        <v>98</v>
      </c>
      <c r="AB7" s="1" t="s">
        <v>98</v>
      </c>
      <c r="AC7" s="16" t="s">
        <v>98</v>
      </c>
      <c r="AD7" s="16" t="s">
        <v>98</v>
      </c>
      <c r="AE7" s="1" t="s">
        <v>98</v>
      </c>
      <c r="AF7">
        <v>6</v>
      </c>
      <c r="AG7" s="1" t="s">
        <v>91</v>
      </c>
      <c r="AH7" s="1" t="s">
        <v>98</v>
      </c>
      <c r="AI7">
        <v>50</v>
      </c>
      <c r="AJ7">
        <v>792</v>
      </c>
      <c r="AK7" s="1" t="s">
        <v>98</v>
      </c>
      <c r="AL7">
        <v>6</v>
      </c>
      <c r="AM7" s="1" t="s">
        <v>98</v>
      </c>
      <c r="AN7">
        <v>1.2</v>
      </c>
      <c r="AO7" s="1" t="s">
        <v>38</v>
      </c>
      <c r="AP7" s="1" t="s">
        <v>92</v>
      </c>
      <c r="AQ7" s="1" t="s">
        <v>93</v>
      </c>
      <c r="AR7" s="7">
        <v>1688.5894174109985</v>
      </c>
      <c r="AS7" s="1" t="s">
        <v>94</v>
      </c>
      <c r="AT7" s="9">
        <v>622.57925093071185</v>
      </c>
      <c r="AU7" s="9">
        <v>8477.0825671823823</v>
      </c>
      <c r="AV7" s="10" t="s">
        <v>95</v>
      </c>
      <c r="AW7" s="1" t="s">
        <v>47</v>
      </c>
      <c r="AX7" s="1" t="s">
        <v>60</v>
      </c>
    </row>
    <row r="8" spans="1:50">
      <c r="A8" s="2" t="s">
        <v>46</v>
      </c>
      <c r="B8" s="2" t="s">
        <v>48</v>
      </c>
      <c r="C8" s="2">
        <v>2009</v>
      </c>
      <c r="D8" s="2" t="str">
        <f t="shared" si="5"/>
        <v>10.1130/B26341.1</v>
      </c>
      <c r="E8" s="2">
        <f t="shared" si="6"/>
        <v>36000</v>
      </c>
      <c r="F8" s="2">
        <f t="shared" si="2"/>
        <v>3000</v>
      </c>
      <c r="G8" s="2">
        <f t="shared" si="3"/>
        <v>3000</v>
      </c>
      <c r="H8" s="2">
        <f t="shared" si="7"/>
        <v>875.37474316661519</v>
      </c>
      <c r="I8" s="2">
        <f t="shared" si="8"/>
        <v>2634.4000620332658</v>
      </c>
      <c r="J8" s="2">
        <f t="shared" si="9"/>
        <v>438.82848631213909</v>
      </c>
      <c r="K8" s="1" t="s">
        <v>34</v>
      </c>
      <c r="L8" s="14" t="s">
        <v>104</v>
      </c>
      <c r="M8" s="1" t="s">
        <v>49</v>
      </c>
      <c r="N8" s="1" t="s">
        <v>102</v>
      </c>
      <c r="O8" t="s">
        <v>75</v>
      </c>
      <c r="P8" s="1" t="s">
        <v>35</v>
      </c>
      <c r="Q8" t="s">
        <v>36</v>
      </c>
      <c r="R8" t="s">
        <v>53</v>
      </c>
      <c r="S8" s="1" t="s">
        <v>98</v>
      </c>
      <c r="T8" s="1" t="s">
        <v>98</v>
      </c>
      <c r="U8" t="s">
        <v>87</v>
      </c>
      <c r="V8" s="7">
        <v>36</v>
      </c>
      <c r="W8" s="9">
        <v>39</v>
      </c>
      <c r="X8" s="9">
        <v>33</v>
      </c>
      <c r="Y8" s="1" t="s">
        <v>98</v>
      </c>
      <c r="Z8" s="1" t="s">
        <v>98</v>
      </c>
      <c r="AA8" s="1" t="s">
        <v>98</v>
      </c>
      <c r="AB8" s="1" t="s">
        <v>98</v>
      </c>
      <c r="AC8" s="16" t="s">
        <v>98</v>
      </c>
      <c r="AD8" s="16" t="s">
        <v>98</v>
      </c>
      <c r="AE8" s="1" t="s">
        <v>98</v>
      </c>
      <c r="AF8">
        <v>3</v>
      </c>
      <c r="AG8" s="1" t="s">
        <v>91</v>
      </c>
      <c r="AH8" s="1" t="s">
        <v>98</v>
      </c>
      <c r="AI8">
        <v>114</v>
      </c>
      <c r="AJ8">
        <v>1341</v>
      </c>
      <c r="AK8" s="1" t="s">
        <v>98</v>
      </c>
      <c r="AL8">
        <v>6.7</v>
      </c>
      <c r="AM8" s="1" t="s">
        <v>98</v>
      </c>
      <c r="AN8">
        <v>1.3</v>
      </c>
      <c r="AO8" s="1" t="s">
        <v>38</v>
      </c>
      <c r="AP8" s="1" t="s">
        <v>92</v>
      </c>
      <c r="AQ8" s="1" t="s">
        <v>93</v>
      </c>
      <c r="AR8" s="7">
        <v>875.37474316661519</v>
      </c>
      <c r="AS8" s="1" t="s">
        <v>94</v>
      </c>
      <c r="AT8" s="9">
        <v>436.5462568544761</v>
      </c>
      <c r="AU8" s="9">
        <v>3509.774805199881</v>
      </c>
      <c r="AV8" s="10" t="s">
        <v>95</v>
      </c>
      <c r="AW8" s="1" t="s">
        <v>47</v>
      </c>
      <c r="AX8" s="1" t="s">
        <v>61</v>
      </c>
    </row>
    <row r="9" spans="1:50">
      <c r="A9" s="2" t="s">
        <v>46</v>
      </c>
      <c r="B9" s="2" t="s">
        <v>48</v>
      </c>
      <c r="C9" s="2">
        <v>2009</v>
      </c>
      <c r="D9" s="2" t="str">
        <f t="shared" si="5"/>
        <v>10.1130/B26341.1</v>
      </c>
      <c r="E9" s="2">
        <f t="shared" si="6"/>
        <v>35000</v>
      </c>
      <c r="F9" s="2">
        <f t="shared" si="2"/>
        <v>5000</v>
      </c>
      <c r="G9" s="2">
        <f t="shared" si="3"/>
        <v>5000</v>
      </c>
      <c r="H9" s="2">
        <f t="shared" si="7"/>
        <v>588.54511775247636</v>
      </c>
      <c r="I9" s="2">
        <f t="shared" si="8"/>
        <v>444.73745659264625</v>
      </c>
      <c r="J9" s="2">
        <f t="shared" si="9"/>
        <v>165.36229952859173</v>
      </c>
      <c r="K9" s="1" t="s">
        <v>34</v>
      </c>
      <c r="L9" s="14" t="s">
        <v>104</v>
      </c>
      <c r="M9" s="1" t="s">
        <v>49</v>
      </c>
      <c r="N9" s="1" t="s">
        <v>102</v>
      </c>
      <c r="O9" t="s">
        <v>76</v>
      </c>
      <c r="P9" s="1" t="s">
        <v>35</v>
      </c>
      <c r="Q9" t="s">
        <v>36</v>
      </c>
      <c r="R9" t="s">
        <v>53</v>
      </c>
      <c r="S9" s="1" t="s">
        <v>98</v>
      </c>
      <c r="T9" s="1" t="s">
        <v>98</v>
      </c>
      <c r="U9" t="s">
        <v>87</v>
      </c>
      <c r="V9" s="7">
        <v>35</v>
      </c>
      <c r="W9" s="9">
        <v>40</v>
      </c>
      <c r="X9" s="9">
        <v>30</v>
      </c>
      <c r="Y9" s="1" t="s">
        <v>98</v>
      </c>
      <c r="Z9" s="1" t="s">
        <v>98</v>
      </c>
      <c r="AA9" s="1" t="s">
        <v>98</v>
      </c>
      <c r="AB9" s="1" t="s">
        <v>98</v>
      </c>
      <c r="AC9" s="16" t="s">
        <v>98</v>
      </c>
      <c r="AD9" s="16" t="s">
        <v>98</v>
      </c>
      <c r="AE9" s="1" t="s">
        <v>98</v>
      </c>
      <c r="AF9">
        <v>5</v>
      </c>
      <c r="AG9" s="1" t="s">
        <v>91</v>
      </c>
      <c r="AH9" s="1" t="s">
        <v>98</v>
      </c>
      <c r="AI9">
        <v>134</v>
      </c>
      <c r="AJ9">
        <v>1628</v>
      </c>
      <c r="AK9" s="1" t="s">
        <v>98</v>
      </c>
      <c r="AL9">
        <v>7.3</v>
      </c>
      <c r="AM9" s="1" t="s">
        <v>98</v>
      </c>
      <c r="AN9">
        <v>0.8</v>
      </c>
      <c r="AO9" s="1" t="s">
        <v>38</v>
      </c>
      <c r="AP9" s="1" t="s">
        <v>92</v>
      </c>
      <c r="AQ9" s="1" t="s">
        <v>93</v>
      </c>
      <c r="AR9" s="7">
        <v>588.54511775247636</v>
      </c>
      <c r="AS9" s="1" t="s">
        <v>94</v>
      </c>
      <c r="AT9" s="9">
        <v>423.18281822388462</v>
      </c>
      <c r="AU9" s="9">
        <v>1033.2825743451226</v>
      </c>
      <c r="AV9" s="10" t="s">
        <v>95</v>
      </c>
      <c r="AW9" s="1" t="s">
        <v>47</v>
      </c>
      <c r="AX9" s="1" t="s">
        <v>62</v>
      </c>
    </row>
    <row r="10" spans="1:50">
      <c r="A10" s="2" t="s">
        <v>46</v>
      </c>
      <c r="B10" s="2" t="s">
        <v>48</v>
      </c>
      <c r="C10" s="2">
        <v>2009</v>
      </c>
      <c r="D10" s="2" t="str">
        <f t="shared" si="5"/>
        <v>10.1130/B26341.1</v>
      </c>
      <c r="E10" s="2">
        <f t="shared" si="6"/>
        <v>34000</v>
      </c>
      <c r="F10" s="2">
        <f t="shared" si="2"/>
        <v>2000</v>
      </c>
      <c r="G10" s="2">
        <f t="shared" si="3"/>
        <v>2000</v>
      </c>
      <c r="H10" s="2">
        <f t="shared" si="7"/>
        <v>423.18281822388462</v>
      </c>
      <c r="I10" s="2">
        <f t="shared" si="8"/>
        <v>281.61952533588646</v>
      </c>
      <c r="J10" s="2">
        <f t="shared" si="9"/>
        <v>82.059078219837716</v>
      </c>
      <c r="K10" s="1" t="s">
        <v>34</v>
      </c>
      <c r="L10" s="14" t="s">
        <v>104</v>
      </c>
      <c r="M10" s="1" t="s">
        <v>49</v>
      </c>
      <c r="N10" s="1" t="s">
        <v>102</v>
      </c>
      <c r="O10" t="s">
        <v>77</v>
      </c>
      <c r="P10" s="1" t="s">
        <v>35</v>
      </c>
      <c r="Q10" t="s">
        <v>54</v>
      </c>
      <c r="R10" t="s">
        <v>55</v>
      </c>
      <c r="S10" s="1" t="s">
        <v>98</v>
      </c>
      <c r="T10" s="1" t="s">
        <v>98</v>
      </c>
      <c r="U10" t="s">
        <v>87</v>
      </c>
      <c r="V10" s="7">
        <v>34</v>
      </c>
      <c r="W10" s="9">
        <v>36</v>
      </c>
      <c r="X10" s="9">
        <v>32</v>
      </c>
      <c r="Y10" s="1" t="s">
        <v>98</v>
      </c>
      <c r="Z10" s="1" t="s">
        <v>98</v>
      </c>
      <c r="AA10" s="1" t="s">
        <v>98</v>
      </c>
      <c r="AB10" s="1" t="s">
        <v>98</v>
      </c>
      <c r="AC10" s="16" t="s">
        <v>98</v>
      </c>
      <c r="AD10" s="16" t="s">
        <v>98</v>
      </c>
      <c r="AE10" s="1" t="s">
        <v>98</v>
      </c>
      <c r="AF10">
        <v>6</v>
      </c>
      <c r="AG10" s="1" t="s">
        <v>91</v>
      </c>
      <c r="AH10" s="1" t="s">
        <v>98</v>
      </c>
      <c r="AI10">
        <v>148</v>
      </c>
      <c r="AJ10">
        <v>1639</v>
      </c>
      <c r="AK10" s="1" t="s">
        <v>98</v>
      </c>
      <c r="AL10">
        <v>8.1</v>
      </c>
      <c r="AM10" s="1" t="s">
        <v>98</v>
      </c>
      <c r="AN10">
        <v>1.1000000000000001</v>
      </c>
      <c r="AO10" s="1" t="s">
        <v>38</v>
      </c>
      <c r="AP10" s="1" t="s">
        <v>92</v>
      </c>
      <c r="AQ10" s="1" t="s">
        <v>93</v>
      </c>
      <c r="AR10" s="7">
        <v>423.18281822388462</v>
      </c>
      <c r="AS10" s="1" t="s">
        <v>94</v>
      </c>
      <c r="AT10" s="9">
        <v>341.12374000404691</v>
      </c>
      <c r="AU10" s="9">
        <v>704.80234355977109</v>
      </c>
      <c r="AV10" s="10" t="s">
        <v>95</v>
      </c>
      <c r="AW10" s="1" t="s">
        <v>47</v>
      </c>
      <c r="AX10" s="1" t="s">
        <v>63</v>
      </c>
    </row>
    <row r="11" spans="1:50">
      <c r="A11" s="2" t="s">
        <v>46</v>
      </c>
      <c r="B11" s="2" t="s">
        <v>48</v>
      </c>
      <c r="C11" s="2">
        <v>2009</v>
      </c>
      <c r="D11" s="2" t="str">
        <f t="shared" si="5"/>
        <v>10.1130/B26341.1</v>
      </c>
      <c r="E11" s="2">
        <f t="shared" si="6"/>
        <v>30000</v>
      </c>
      <c r="F11" s="2">
        <f t="shared" si="2"/>
        <v>3000</v>
      </c>
      <c r="G11" s="2">
        <f t="shared" si="3"/>
        <v>3000</v>
      </c>
      <c r="H11" s="2">
        <f t="shared" si="7"/>
        <v>374.37529680843517</v>
      </c>
      <c r="I11" s="2">
        <f t="shared" si="8"/>
        <v>214.16982094404119</v>
      </c>
      <c r="J11" s="2">
        <f t="shared" si="9"/>
        <v>53.986691552010655</v>
      </c>
      <c r="K11" s="1" t="s">
        <v>34</v>
      </c>
      <c r="L11" s="14" t="s">
        <v>104</v>
      </c>
      <c r="M11" s="1" t="s">
        <v>49</v>
      </c>
      <c r="N11" s="1" t="s">
        <v>102</v>
      </c>
      <c r="O11" t="s">
        <v>78</v>
      </c>
      <c r="P11" s="1" t="s">
        <v>35</v>
      </c>
      <c r="Q11" t="s">
        <v>54</v>
      </c>
      <c r="R11" t="s">
        <v>56</v>
      </c>
      <c r="S11" s="1" t="s">
        <v>98</v>
      </c>
      <c r="T11" s="1" t="s">
        <v>98</v>
      </c>
      <c r="U11" t="s">
        <v>88</v>
      </c>
      <c r="V11" s="7">
        <v>30</v>
      </c>
      <c r="W11" s="9">
        <v>33</v>
      </c>
      <c r="X11" s="9">
        <v>27</v>
      </c>
      <c r="Y11" s="1" t="s">
        <v>98</v>
      </c>
      <c r="Z11" s="1" t="s">
        <v>98</v>
      </c>
      <c r="AA11" s="1" t="s">
        <v>98</v>
      </c>
      <c r="AB11" s="1" t="s">
        <v>98</v>
      </c>
      <c r="AC11" s="16" t="s">
        <v>98</v>
      </c>
      <c r="AD11" s="16" t="s">
        <v>98</v>
      </c>
      <c r="AE11" s="1" t="s">
        <v>98</v>
      </c>
      <c r="AF11">
        <v>4</v>
      </c>
      <c r="AG11" s="1" t="s">
        <v>91</v>
      </c>
      <c r="AH11" s="1" t="s">
        <v>98</v>
      </c>
      <c r="AI11">
        <v>105</v>
      </c>
      <c r="AJ11">
        <v>980</v>
      </c>
      <c r="AK11" s="1" t="s">
        <v>98</v>
      </c>
      <c r="AL11">
        <v>8.6</v>
      </c>
      <c r="AM11" s="1" t="s">
        <v>98</v>
      </c>
      <c r="AN11">
        <v>1.3</v>
      </c>
      <c r="AO11" s="1" t="s">
        <v>38</v>
      </c>
      <c r="AP11" s="1" t="s">
        <v>92</v>
      </c>
      <c r="AQ11" s="1" t="s">
        <v>93</v>
      </c>
      <c r="AR11" s="7">
        <v>374.37529680843517</v>
      </c>
      <c r="AS11" s="1" t="s">
        <v>94</v>
      </c>
      <c r="AT11" s="9">
        <v>320.38860525642451</v>
      </c>
      <c r="AU11" s="9">
        <v>588.54511775247636</v>
      </c>
      <c r="AV11" s="10" t="s">
        <v>95</v>
      </c>
      <c r="AW11" s="1" t="s">
        <v>47</v>
      </c>
      <c r="AX11" s="1" t="s">
        <v>64</v>
      </c>
    </row>
    <row r="12" spans="1:50">
      <c r="A12" s="2" t="s">
        <v>46</v>
      </c>
      <c r="B12" s="2" t="s">
        <v>48</v>
      </c>
      <c r="C12" s="2">
        <v>2009</v>
      </c>
      <c r="D12" s="2" t="str">
        <f t="shared" si="5"/>
        <v>10.1130/B26341.1</v>
      </c>
      <c r="E12" s="2">
        <f t="shared" si="6"/>
        <v>16000</v>
      </c>
      <c r="F12" s="2">
        <f t="shared" si="2"/>
        <v>300.00000000000068</v>
      </c>
      <c r="G12" s="2">
        <f t="shared" si="3"/>
        <v>300.00000000000068</v>
      </c>
      <c r="H12" s="2">
        <f t="shared" si="7"/>
        <v>508.04534991601997</v>
      </c>
      <c r="I12" s="2">
        <f t="shared" si="8"/>
        <v>733.12901445863315</v>
      </c>
      <c r="J12" s="2">
        <f t="shared" si="9"/>
        <v>152.78191240614564</v>
      </c>
      <c r="K12" s="1" t="s">
        <v>34</v>
      </c>
      <c r="L12" s="14" t="s">
        <v>104</v>
      </c>
      <c r="M12" s="1" t="s">
        <v>49</v>
      </c>
      <c r="N12" s="1" t="s">
        <v>102</v>
      </c>
      <c r="O12" t="s">
        <v>79</v>
      </c>
      <c r="P12" s="1" t="s">
        <v>35</v>
      </c>
      <c r="Q12" t="s">
        <v>36</v>
      </c>
      <c r="R12" t="s">
        <v>37</v>
      </c>
      <c r="S12" s="1" t="s">
        <v>98</v>
      </c>
      <c r="T12" s="1" t="s">
        <v>98</v>
      </c>
      <c r="U12" t="s">
        <v>89</v>
      </c>
      <c r="V12" s="7">
        <v>16</v>
      </c>
      <c r="W12" s="9">
        <v>16.3</v>
      </c>
      <c r="X12" s="9">
        <v>15.7</v>
      </c>
      <c r="Y12" s="1" t="s">
        <v>98</v>
      </c>
      <c r="Z12" s="1" t="s">
        <v>98</v>
      </c>
      <c r="AA12" s="1" t="s">
        <v>98</v>
      </c>
      <c r="AB12" s="1" t="s">
        <v>98</v>
      </c>
      <c r="AC12" s="16" t="s">
        <v>98</v>
      </c>
      <c r="AD12" s="16" t="s">
        <v>98</v>
      </c>
      <c r="AE12" s="1" t="s">
        <v>98</v>
      </c>
      <c r="AF12">
        <v>1</v>
      </c>
      <c r="AG12" s="1" t="s">
        <v>91</v>
      </c>
      <c r="AH12" s="1" t="s">
        <v>98</v>
      </c>
      <c r="AI12">
        <v>945</v>
      </c>
      <c r="AJ12">
        <v>11623</v>
      </c>
      <c r="AK12" s="1" t="s">
        <v>98</v>
      </c>
      <c r="AL12">
        <v>7.6</v>
      </c>
      <c r="AM12" s="1" t="s">
        <v>98</v>
      </c>
      <c r="AN12">
        <v>1.3</v>
      </c>
      <c r="AO12" s="1" t="s">
        <v>38</v>
      </c>
      <c r="AP12" s="1" t="s">
        <v>92</v>
      </c>
      <c r="AQ12" s="1" t="s">
        <v>93</v>
      </c>
      <c r="AR12" s="7">
        <v>508.04534991601997</v>
      </c>
      <c r="AS12" s="1" t="s">
        <v>94</v>
      </c>
      <c r="AT12" s="9">
        <v>355.26343750987434</v>
      </c>
      <c r="AU12" s="9">
        <v>1241.1743643746531</v>
      </c>
      <c r="AV12" s="10" t="s">
        <v>95</v>
      </c>
      <c r="AW12" s="1" t="s">
        <v>47</v>
      </c>
      <c r="AX12" s="1" t="s">
        <v>65</v>
      </c>
    </row>
    <row r="13" spans="1:50">
      <c r="A13" s="2" t="s">
        <v>46</v>
      </c>
      <c r="B13" s="2" t="s">
        <v>48</v>
      </c>
      <c r="C13" s="2">
        <v>2009</v>
      </c>
      <c r="D13" s="2" t="str">
        <f t="shared" si="5"/>
        <v>10.1130/B26341.1</v>
      </c>
      <c r="E13" s="2">
        <f t="shared" si="6"/>
        <v>14000</v>
      </c>
      <c r="F13" s="2">
        <f t="shared" si="2"/>
        <v>4000</v>
      </c>
      <c r="G13" s="2">
        <f t="shared" si="3"/>
        <v>4000</v>
      </c>
      <c r="H13" s="2">
        <f t="shared" si="7"/>
        <v>1129.9867568637947</v>
      </c>
      <c r="I13" s="2">
        <f t="shared" si="8"/>
        <v>239.31147279746347</v>
      </c>
      <c r="J13" s="2">
        <f t="shared" si="9"/>
        <v>180.99242816771005</v>
      </c>
      <c r="K13" s="1" t="s">
        <v>34</v>
      </c>
      <c r="L13" s="14" t="s">
        <v>104</v>
      </c>
      <c r="M13" s="1" t="s">
        <v>49</v>
      </c>
      <c r="N13" s="1" t="s">
        <v>102</v>
      </c>
      <c r="O13" t="s">
        <v>80</v>
      </c>
      <c r="P13" s="1" t="s">
        <v>35</v>
      </c>
      <c r="Q13" t="s">
        <v>36</v>
      </c>
      <c r="R13" t="s">
        <v>39</v>
      </c>
      <c r="S13" s="1" t="s">
        <v>98</v>
      </c>
      <c r="T13" s="1" t="s">
        <v>98</v>
      </c>
      <c r="U13" t="s">
        <v>89</v>
      </c>
      <c r="V13" s="7">
        <v>14</v>
      </c>
      <c r="W13" s="9">
        <v>18</v>
      </c>
      <c r="X13" s="9">
        <v>10</v>
      </c>
      <c r="Y13" s="1" t="s">
        <v>98</v>
      </c>
      <c r="Z13" s="1" t="s">
        <v>98</v>
      </c>
      <c r="AA13" s="1" t="s">
        <v>98</v>
      </c>
      <c r="AB13" s="1" t="s">
        <v>98</v>
      </c>
      <c r="AC13" s="16" t="s">
        <v>98</v>
      </c>
      <c r="AD13" s="16" t="s">
        <v>98</v>
      </c>
      <c r="AE13" s="1" t="s">
        <v>98</v>
      </c>
      <c r="AF13">
        <v>4</v>
      </c>
      <c r="AG13" s="1" t="s">
        <v>91</v>
      </c>
      <c r="AH13" s="1" t="s">
        <v>98</v>
      </c>
      <c r="AI13">
        <v>43</v>
      </c>
      <c r="AJ13">
        <v>674</v>
      </c>
      <c r="AK13" s="1" t="s">
        <v>98</v>
      </c>
      <c r="AL13">
        <v>6.4</v>
      </c>
      <c r="AM13" s="1" t="s">
        <v>98</v>
      </c>
      <c r="AN13">
        <v>0.2</v>
      </c>
      <c r="AO13" s="1" t="s">
        <v>38</v>
      </c>
      <c r="AP13" s="1" t="s">
        <v>92</v>
      </c>
      <c r="AQ13" s="1" t="s">
        <v>93</v>
      </c>
      <c r="AR13" s="7">
        <v>1129.9867568637947</v>
      </c>
      <c r="AS13" s="1" t="s">
        <v>94</v>
      </c>
      <c r="AT13" s="9">
        <v>948.99432869608461</v>
      </c>
      <c r="AU13" s="9">
        <v>1369.2982296612581</v>
      </c>
      <c r="AV13" s="10" t="s">
        <v>95</v>
      </c>
      <c r="AW13" s="1" t="s">
        <v>47</v>
      </c>
      <c r="AX13" s="1" t="s">
        <v>66</v>
      </c>
    </row>
    <row r="14" spans="1:50">
      <c r="A14" s="2" t="s">
        <v>46</v>
      </c>
      <c r="B14" s="2" t="s">
        <v>48</v>
      </c>
      <c r="C14" s="2">
        <v>2009</v>
      </c>
      <c r="D14" s="2" t="str">
        <f t="shared" si="5"/>
        <v>10.1130/B26341.1</v>
      </c>
      <c r="E14" s="2">
        <f t="shared" si="6"/>
        <v>12000</v>
      </c>
      <c r="F14" s="2">
        <f t="shared" si="2"/>
        <v>3000</v>
      </c>
      <c r="G14" s="2">
        <f t="shared" si="3"/>
        <v>3000</v>
      </c>
      <c r="H14" s="2">
        <f t="shared" si="7"/>
        <v>468.21830831438854</v>
      </c>
      <c r="I14" s="2">
        <f t="shared" si="8"/>
        <v>192.89003136450174</v>
      </c>
      <c r="J14" s="2">
        <f t="shared" si="9"/>
        <v>86.04129943643602</v>
      </c>
      <c r="K14" s="1" t="s">
        <v>34</v>
      </c>
      <c r="L14" s="14" t="s">
        <v>104</v>
      </c>
      <c r="M14" s="1" t="s">
        <v>49</v>
      </c>
      <c r="N14" s="1" t="s">
        <v>102</v>
      </c>
      <c r="O14" t="s">
        <v>81</v>
      </c>
      <c r="P14" s="1" t="s">
        <v>35</v>
      </c>
      <c r="Q14" t="s">
        <v>36</v>
      </c>
      <c r="R14" t="s">
        <v>37</v>
      </c>
      <c r="S14" s="1" t="s">
        <v>98</v>
      </c>
      <c r="T14" s="1" t="s">
        <v>98</v>
      </c>
      <c r="U14" t="s">
        <v>89</v>
      </c>
      <c r="V14" s="7">
        <v>12</v>
      </c>
      <c r="W14" s="9">
        <v>15</v>
      </c>
      <c r="X14" s="9">
        <v>9</v>
      </c>
      <c r="Y14" s="1" t="s">
        <v>98</v>
      </c>
      <c r="Z14" s="1" t="s">
        <v>98</v>
      </c>
      <c r="AA14" s="1" t="s">
        <v>98</v>
      </c>
      <c r="AB14" s="1" t="s">
        <v>98</v>
      </c>
      <c r="AC14" s="16" t="s">
        <v>98</v>
      </c>
      <c r="AD14" s="16" t="s">
        <v>98</v>
      </c>
      <c r="AE14" s="1" t="s">
        <v>98</v>
      </c>
      <c r="AF14">
        <v>5</v>
      </c>
      <c r="AG14" s="1" t="s">
        <v>91</v>
      </c>
      <c r="AH14" s="1" t="s">
        <v>98</v>
      </c>
      <c r="AI14">
        <v>107</v>
      </c>
      <c r="AJ14">
        <v>1201</v>
      </c>
      <c r="AK14" s="1" t="s">
        <v>98</v>
      </c>
      <c r="AL14">
        <v>7.8</v>
      </c>
      <c r="AM14" s="1" t="s">
        <v>98</v>
      </c>
      <c r="AN14">
        <v>0.7</v>
      </c>
      <c r="AO14" s="1" t="s">
        <v>38</v>
      </c>
      <c r="AP14" s="1" t="s">
        <v>92</v>
      </c>
      <c r="AQ14" s="1" t="s">
        <v>93</v>
      </c>
      <c r="AR14" s="7">
        <v>468.21830831438854</v>
      </c>
      <c r="AS14" s="1" t="s">
        <v>94</v>
      </c>
      <c r="AT14" s="9">
        <v>382.17700887795252</v>
      </c>
      <c r="AU14" s="9">
        <v>661.10833967889027</v>
      </c>
      <c r="AV14" s="10" t="s">
        <v>95</v>
      </c>
      <c r="AW14" s="1" t="s">
        <v>47</v>
      </c>
      <c r="AX14" s="1" t="s">
        <v>67</v>
      </c>
    </row>
    <row r="15" spans="1:50">
      <c r="A15" s="2" t="s">
        <v>46</v>
      </c>
      <c r="B15" s="2" t="s">
        <v>48</v>
      </c>
      <c r="C15" s="2">
        <v>2009</v>
      </c>
      <c r="D15" s="2" t="str">
        <f t="shared" si="5"/>
        <v>10.1130/B26341.1</v>
      </c>
      <c r="E15" s="2">
        <f t="shared" si="6"/>
        <v>7800</v>
      </c>
      <c r="F15" s="2">
        <f t="shared" si="2"/>
        <v>500.00000000000091</v>
      </c>
      <c r="G15" s="2">
        <f t="shared" si="3"/>
        <v>500</v>
      </c>
      <c r="H15" s="2">
        <f t="shared" si="7"/>
        <v>411.21453245493365</v>
      </c>
      <c r="I15" s="2">
        <f t="shared" si="8"/>
        <v>464.16021071168257</v>
      </c>
      <c r="J15" s="2">
        <f t="shared" si="9"/>
        <v>86.207679520658985</v>
      </c>
      <c r="K15" s="1" t="s">
        <v>34</v>
      </c>
      <c r="L15" s="14" t="s">
        <v>104</v>
      </c>
      <c r="M15" s="1" t="s">
        <v>49</v>
      </c>
      <c r="N15" s="1" t="s">
        <v>102</v>
      </c>
      <c r="O15" t="s">
        <v>82</v>
      </c>
      <c r="P15" s="1" t="s">
        <v>35</v>
      </c>
      <c r="Q15" t="s">
        <v>36</v>
      </c>
      <c r="R15" t="s">
        <v>37</v>
      </c>
      <c r="S15" s="1" t="s">
        <v>98</v>
      </c>
      <c r="T15" s="1" t="s">
        <v>98</v>
      </c>
      <c r="U15" t="s">
        <v>89</v>
      </c>
      <c r="V15" s="7">
        <v>7.8</v>
      </c>
      <c r="W15" s="9">
        <v>8.3000000000000007</v>
      </c>
      <c r="X15" s="9">
        <v>7.3</v>
      </c>
      <c r="Y15" s="1" t="s">
        <v>98</v>
      </c>
      <c r="Z15" s="1" t="s">
        <v>98</v>
      </c>
      <c r="AA15" s="1" t="s">
        <v>98</v>
      </c>
      <c r="AB15" s="1" t="s">
        <v>98</v>
      </c>
      <c r="AC15" s="16" t="s">
        <v>98</v>
      </c>
      <c r="AD15" s="16" t="s">
        <v>98</v>
      </c>
      <c r="AE15" s="1" t="s">
        <v>98</v>
      </c>
      <c r="AF15">
        <v>2</v>
      </c>
      <c r="AG15" s="1" t="s">
        <v>91</v>
      </c>
      <c r="AH15" s="1" t="s">
        <v>98</v>
      </c>
      <c r="AI15">
        <v>93</v>
      </c>
      <c r="AJ15">
        <v>880</v>
      </c>
      <c r="AK15" s="1" t="s">
        <v>98</v>
      </c>
      <c r="AL15">
        <v>8.1999999999999993</v>
      </c>
      <c r="AM15" s="1" t="s">
        <v>98</v>
      </c>
      <c r="AN15">
        <v>1.5</v>
      </c>
      <c r="AO15" s="1" t="s">
        <v>38</v>
      </c>
      <c r="AP15" s="1" t="s">
        <v>92</v>
      </c>
      <c r="AQ15" s="1" t="s">
        <v>93</v>
      </c>
      <c r="AR15" s="7">
        <v>411.21453245493365</v>
      </c>
      <c r="AS15" s="1" t="s">
        <v>94</v>
      </c>
      <c r="AT15" s="9">
        <v>325.00685293427466</v>
      </c>
      <c r="AU15" s="9">
        <v>875.37474316661621</v>
      </c>
      <c r="AV15" s="10" t="s">
        <v>95</v>
      </c>
      <c r="AW15" s="1" t="s">
        <v>47</v>
      </c>
      <c r="AX15" s="1" t="s">
        <v>68</v>
      </c>
    </row>
    <row r="16" spans="1:50">
      <c r="A16" s="2" t="s">
        <v>46</v>
      </c>
      <c r="B16" s="2" t="s">
        <v>48</v>
      </c>
      <c r="C16" s="2">
        <v>2009</v>
      </c>
      <c r="D16" s="2" t="str">
        <f t="shared" si="5"/>
        <v>10.1130/B26341.1</v>
      </c>
      <c r="E16" s="2">
        <f t="shared" si="6"/>
        <v>6300</v>
      </c>
      <c r="F16" s="2">
        <f t="shared" si="2"/>
        <v>500</v>
      </c>
      <c r="G16" s="2">
        <f t="shared" si="3"/>
        <v>500</v>
      </c>
      <c r="H16" s="2">
        <f t="shared" si="7"/>
        <v>327.65395829128147</v>
      </c>
      <c r="I16" s="2">
        <f t="shared" si="8"/>
        <v>33.343104241598098</v>
      </c>
      <c r="J16" s="2">
        <f t="shared" si="9"/>
        <v>15.767877622941569</v>
      </c>
      <c r="K16" s="1" t="s">
        <v>34</v>
      </c>
      <c r="L16" s="14" t="s">
        <v>104</v>
      </c>
      <c r="M16" s="1" t="s">
        <v>49</v>
      </c>
      <c r="N16" s="1" t="s">
        <v>102</v>
      </c>
      <c r="O16" t="s">
        <v>83</v>
      </c>
      <c r="P16" s="1" t="s">
        <v>35</v>
      </c>
      <c r="Q16" t="s">
        <v>36</v>
      </c>
      <c r="R16" t="s">
        <v>37</v>
      </c>
      <c r="S16" s="1" t="s">
        <v>98</v>
      </c>
      <c r="T16" s="1" t="s">
        <v>98</v>
      </c>
      <c r="U16" t="s">
        <v>89</v>
      </c>
      <c r="V16" s="7">
        <v>6.3</v>
      </c>
      <c r="W16" s="9">
        <v>6.8</v>
      </c>
      <c r="X16" s="9">
        <v>5.8</v>
      </c>
      <c r="Y16" s="1" t="s">
        <v>98</v>
      </c>
      <c r="Z16" s="1" t="s">
        <v>98</v>
      </c>
      <c r="AA16" s="1" t="s">
        <v>98</v>
      </c>
      <c r="AB16" s="1" t="s">
        <v>98</v>
      </c>
      <c r="AC16" s="16" t="s">
        <v>98</v>
      </c>
      <c r="AD16" s="16" t="s">
        <v>98</v>
      </c>
      <c r="AE16" s="1" t="s">
        <v>98</v>
      </c>
      <c r="AF16">
        <v>2</v>
      </c>
      <c r="AG16" s="1" t="s">
        <v>91</v>
      </c>
      <c r="AH16" s="1" t="s">
        <v>98</v>
      </c>
      <c r="AI16">
        <v>91</v>
      </c>
      <c r="AJ16">
        <v>782</v>
      </c>
      <c r="AK16" s="1" t="s">
        <v>98</v>
      </c>
      <c r="AL16">
        <v>9.6</v>
      </c>
      <c r="AM16" s="1" t="s">
        <v>98</v>
      </c>
      <c r="AN16">
        <v>0.8</v>
      </c>
      <c r="AO16" s="1" t="s">
        <v>38</v>
      </c>
      <c r="AP16" s="1" t="s">
        <v>92</v>
      </c>
      <c r="AQ16" s="1" t="s">
        <v>93</v>
      </c>
      <c r="AR16" s="7">
        <v>327.65395829128147</v>
      </c>
      <c r="AS16" s="1" t="s">
        <v>94</v>
      </c>
      <c r="AT16" s="9">
        <v>311.8860806683399</v>
      </c>
      <c r="AU16" s="9">
        <v>360.99706253287957</v>
      </c>
      <c r="AV16" s="10" t="s">
        <v>95</v>
      </c>
      <c r="AW16" s="1" t="s">
        <v>47</v>
      </c>
      <c r="AX16" s="1" t="s">
        <v>69</v>
      </c>
    </row>
    <row r="17" spans="1:50">
      <c r="A17" s="2" t="s">
        <v>46</v>
      </c>
      <c r="B17" s="2" t="s">
        <v>48</v>
      </c>
      <c r="C17" s="2">
        <v>2009</v>
      </c>
      <c r="D17" s="2" t="str">
        <f t="shared" si="5"/>
        <v>10.1130/B26341.1</v>
      </c>
      <c r="E17" s="2">
        <f t="shared" si="6"/>
        <v>4000</v>
      </c>
      <c r="F17" s="2">
        <f t="shared" si="2"/>
        <v>2000</v>
      </c>
      <c r="G17" s="2">
        <f t="shared" si="3"/>
        <v>2000</v>
      </c>
      <c r="H17" s="2">
        <f t="shared" si="7"/>
        <v>355.26343750987434</v>
      </c>
      <c r="I17" s="2">
        <f t="shared" si="8"/>
        <v>455.67994560877497</v>
      </c>
      <c r="J17" s="2">
        <f t="shared" si="9"/>
        <v>49.763285426927439</v>
      </c>
      <c r="K17" s="1" t="s">
        <v>34</v>
      </c>
      <c r="L17" s="14" t="s">
        <v>104</v>
      </c>
      <c r="M17" s="1" t="s">
        <v>49</v>
      </c>
      <c r="N17" s="1" t="s">
        <v>102</v>
      </c>
      <c r="O17" t="s">
        <v>84</v>
      </c>
      <c r="P17" s="1" t="s">
        <v>35</v>
      </c>
      <c r="Q17" t="s">
        <v>36</v>
      </c>
      <c r="R17" t="s">
        <v>37</v>
      </c>
      <c r="S17" s="1" t="s">
        <v>98</v>
      </c>
      <c r="T17" s="1" t="s">
        <v>98</v>
      </c>
      <c r="U17" t="s">
        <v>90</v>
      </c>
      <c r="V17" s="7">
        <v>4</v>
      </c>
      <c r="W17" s="9">
        <v>6</v>
      </c>
      <c r="X17" s="9">
        <v>2</v>
      </c>
      <c r="Y17" s="1" t="s">
        <v>98</v>
      </c>
      <c r="Z17" s="1" t="s">
        <v>98</v>
      </c>
      <c r="AA17" s="1" t="s">
        <v>98</v>
      </c>
      <c r="AB17" s="1" t="s">
        <v>98</v>
      </c>
      <c r="AC17" s="16" t="s">
        <v>98</v>
      </c>
      <c r="AD17" s="16" t="s">
        <v>98</v>
      </c>
      <c r="AE17" s="1" t="s">
        <v>98</v>
      </c>
      <c r="AF17">
        <v>6</v>
      </c>
      <c r="AG17" s="1" t="s">
        <v>91</v>
      </c>
      <c r="AH17" s="1" t="s">
        <v>98</v>
      </c>
      <c r="AI17">
        <v>120</v>
      </c>
      <c r="AJ17">
        <v>1143</v>
      </c>
      <c r="AK17" s="1" t="s">
        <v>98</v>
      </c>
      <c r="AL17">
        <v>8.9</v>
      </c>
      <c r="AM17" s="1" t="s">
        <v>98</v>
      </c>
      <c r="AN17">
        <v>2.1</v>
      </c>
      <c r="AO17" s="1" t="s">
        <v>38</v>
      </c>
      <c r="AP17" s="1" t="s">
        <v>92</v>
      </c>
      <c r="AQ17" s="1" t="s">
        <v>93</v>
      </c>
      <c r="AR17" s="7">
        <v>355.26343750987434</v>
      </c>
      <c r="AS17" s="1" t="s">
        <v>94</v>
      </c>
      <c r="AT17" s="9">
        <v>305.5001520829469</v>
      </c>
      <c r="AU17" s="9">
        <v>810.94338311864931</v>
      </c>
      <c r="AV17" s="10" t="s">
        <v>95</v>
      </c>
      <c r="AW17" s="1" t="s">
        <v>47</v>
      </c>
      <c r="AX17" s="1" t="s">
        <v>70</v>
      </c>
    </row>
    <row r="18" spans="1:50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50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50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50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50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50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50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50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50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50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50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50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50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50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50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2020-08-04T17:43:13Z</dcterms:modified>
</cp:coreProperties>
</file>