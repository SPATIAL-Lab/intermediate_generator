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08"/>
  <workbookPr/>
  <mc:AlternateContent xmlns:mc="http://schemas.openxmlformats.org/markup-compatibility/2006">
    <mc:Choice Requires="x15">
      <x15ac:absPath xmlns:x15ac="http://schemas.microsoft.com/office/spreadsheetml/2010/11/ac" url="/Users/Daphnia/Desktop/paleo-CO2 data base/archive/archive data files June 2021/"/>
    </mc:Choice>
  </mc:AlternateContent>
  <xr:revisionPtr revIDLastSave="0" documentId="13_ncr:1_{C45A37D5-EF9C-0543-A7CF-BB745CF73F47}" xr6:coauthVersionLast="47" xr6:coauthVersionMax="47" xr10:uidLastSave="{00000000-0000-0000-0000-000000000000}"/>
  <bookViews>
    <workbookView xWindow="0" yWindow="2660" windowWidth="28800" windowHeight="12460" xr2:uid="{00000000-000D-0000-FFFF-FFFF00000000}"/>
  </bookViews>
  <sheets>
    <sheet name="leaf gas-exchange_Franks" sheetId="1" r:id="rId1"/>
    <sheet name="Input parameters and References" sheetId="2" r:id="rId2"/>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6" i="1" l="1"/>
  <c r="I6" i="1"/>
  <c r="H6" i="1"/>
  <c r="D6" i="1"/>
  <c r="J5" i="1"/>
  <c r="I5" i="1"/>
  <c r="H5" i="1"/>
  <c r="D5" i="1"/>
  <c r="J4" i="1"/>
  <c r="I4" i="1"/>
  <c r="H4" i="1"/>
  <c r="D4" i="1"/>
  <c r="V6" i="1" l="1"/>
  <c r="V5" i="1"/>
  <c r="V4" i="1"/>
  <c r="G4" i="1" l="1"/>
  <c r="F4" i="1"/>
  <c r="E4" i="1"/>
  <c r="G5" i="1"/>
  <c r="F5" i="1"/>
  <c r="E5" i="1"/>
  <c r="E6" i="1"/>
  <c r="G6" i="1"/>
  <c r="F6" i="1"/>
</calcChain>
</file>

<file path=xl/sharedStrings.xml><?xml version="1.0" encoding="utf-8"?>
<sst xmlns="http://schemas.openxmlformats.org/spreadsheetml/2006/main" count="268" uniqueCount="182">
  <si>
    <t>INPUT PARAMETERS (see Franks et al., 2014 and Kowalczyk et al., 2018 for details): The "_err" input should be +/-1 standard error of the mean. If this value is unknown, the error can be estimated as some fraction of the mean (e.g., 5%).</t>
  </si>
  <si>
    <t>References:</t>
  </si>
  <si>
    <t>Franks, P. J., Royer, D. L., Beerling, D. J., Van de Water, P. K., Cantrill, D. J., Barbour, M. M., Berry, J. A. 2014. New constraints on atmospheric CO2 concentration for the Phanerozoic. Geophysical Research Letters, 41: 4685-4694.</t>
  </si>
  <si>
    <t>Kowalczyk, J. B., Royer, D. L., Miller, I. M., Anderson, C. W., Beerling, D. J., Franks, P. J., Grein, M., Konrad, W., Roth-Nebelsick, A., Bowring, S. A., Johnson, K. R., and Ramezani, J., 2018, Multiple proxy estimates of atmospheric CO2 from an early Paleocene rainforest: Paleoceanography and Paleoclimatology, v. 33, p. 1427-1438.</t>
  </si>
  <si>
    <t>person who entered data</t>
  </si>
  <si>
    <t>doi</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</si>
  <si>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</si>
  <si>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</si>
  <si>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</si>
  <si>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</si>
  <si>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</si>
  <si>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</si>
  <si>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</si>
  <si>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</si>
  <si>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</si>
  <si>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</si>
  <si>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</si>
  <si>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</si>
  <si>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Estimated atmospheric CO2 concentration (ppm)</t>
  </si>
  <si>
    <t>CO2 type</t>
  </si>
  <si>
    <t>CO2 low (ppm)</t>
  </si>
  <si>
    <t>CO2 high (ppm)</t>
  </si>
  <si>
    <t>What is the CO2 range ("low" and "high")?</t>
  </si>
  <si>
    <t>What is the distribution of the uncertainties?</t>
  </si>
  <si>
    <t>Counting Method
(Image, microscope)</t>
  </si>
  <si>
    <t>Counting box dimensions
(µm × µm)</t>
  </si>
  <si>
    <t>Dab</t>
  </si>
  <si>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</si>
  <si>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</si>
  <si>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</si>
  <si>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</si>
  <si>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</si>
  <si>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</si>
  <si>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</si>
  <si>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</si>
  <si>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</si>
  <si>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</si>
  <si>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</si>
  <si>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</si>
  <si>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</si>
  <si>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</si>
  <si>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</si>
  <si>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</si>
  <si>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</si>
  <si>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</si>
  <si>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</si>
  <si>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</si>
  <si>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d13Ca</t>
  </si>
  <si>
    <t>ed13Ca</t>
  </si>
  <si>
    <t>N_ed13Ca</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</si>
  <si>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</si>
  <si>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</si>
  <si>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</si>
  <si>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</si>
  <si>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</si>
  <si>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</si>
  <si>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</si>
  <si>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</si>
  <si>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</si>
  <si>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</si>
  <si>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</si>
  <si>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</si>
  <si>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</si>
  <si>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</si>
  <si>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</si>
  <si>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</si>
  <si>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</si>
  <si>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</si>
  <si>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</si>
  <si>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</si>
  <si>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</si>
  <si>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</si>
  <si>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</si>
  <si>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</si>
  <si>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</si>
  <si>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fixed_A</t>
  </si>
  <si>
    <t>b</t>
  </si>
  <si>
    <t>d.v.</t>
  </si>
  <si>
    <t>gamma</t>
  </si>
  <si>
    <t>temp</t>
  </si>
  <si>
    <t>Lauraceae</t>
  </si>
  <si>
    <t>microscope</t>
  </si>
  <si>
    <t>4 leaves</t>
  </si>
  <si>
    <t>age model of Tipple et al. (2010; 10.1029/2009PA001851)</t>
  </si>
  <si>
    <t>generic value from Franks et al. (2014); 1 sigma error is 5% of mean</t>
  </si>
  <si>
    <t>pore length was measured directly, so this scalar has no error</t>
  </si>
  <si>
    <t>no</t>
  </si>
  <si>
    <t>Tammo Reichgelt</t>
  </si>
  <si>
    <t>10.1016/j.epsl.2016.09.026</t>
  </si>
  <si>
    <t>C2-78, FM13, 81, 101</t>
  </si>
  <si>
    <t>Litsea</t>
  </si>
  <si>
    <t>calicarioides</t>
  </si>
  <si>
    <t>Lamont-Doherty Earth Observatory</t>
  </si>
  <si>
    <t>Waipiata Volcanic Group</t>
  </si>
  <si>
    <t>Foulden Maar Diatomite</t>
  </si>
  <si>
    <t>Ar/Ar, Paleomag, varve counts</t>
  </si>
  <si>
    <t>mode</t>
  </si>
  <si>
    <r>
      <t>1</t>
    </r>
    <r>
      <rPr>
        <sz val="12"/>
        <color rgb="FF000000"/>
        <rFont val="Calibri"/>
        <family val="2"/>
      </rPr>
      <t>σ</t>
    </r>
  </si>
  <si>
    <t>right-skewed</t>
  </si>
  <si>
    <t>400 × 400</t>
  </si>
  <si>
    <t>leaf wax</t>
  </si>
  <si>
    <t>calculated from 27 modern living Litsea calicaris</t>
  </si>
  <si>
    <t>recalculated from other Lauraceae (Laurus nobilis and Cinnamomum camphorum, listed in Niinemets et al. 2009; DOI:10.1093/jxb/erp037)</t>
  </si>
  <si>
    <t>FHC2-54, FM12, 8, 6, 40-93</t>
  </si>
  <si>
    <t>8 leaves</t>
  </si>
  <si>
    <t>44 leaves</t>
  </si>
  <si>
    <t>proxy</t>
  </si>
  <si>
    <t>first_author_last_name</t>
  </si>
  <si>
    <t>publication_year</t>
  </si>
  <si>
    <t>age_ka</t>
  </si>
  <si>
    <t>Age_uncertainty_pos_ka</t>
  </si>
  <si>
    <t>Age_uncertainty_neg_ka</t>
  </si>
  <si>
    <t>stomata-franks</t>
  </si>
  <si>
    <t>Reichgelt</t>
  </si>
  <si>
    <t>Reichgelt, T., D'Andrea, W. J., and Fox, B. R. S., 2016, Abrupt plant physiological changes in southern New Zealand at the termination of the Mi-1 event reflect shifts in hydroclimate and pCO2: Earth and Planetary Science Letters, v. 455, p. 115-124.</t>
  </si>
  <si>
    <t>CO2_ppm</t>
  </si>
  <si>
    <t>CO2_uncertainty_pos_ppm</t>
  </si>
  <si>
    <t>NA</t>
  </si>
  <si>
    <t>CO2_uncertainty_neg_ppm</t>
  </si>
  <si>
    <t>reference of the data product</t>
  </si>
  <si>
    <t>Modern Latitude (decimal degree, south negative)</t>
  </si>
  <si>
    <t>Modern Longitude (decimal degree, west negative)</t>
  </si>
  <si>
    <t>*columns in purple are measured directly from fossils</t>
  </si>
  <si>
    <t>*columns in orange are measured or inferred from nearest living relatives</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</si>
  <si>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</si>
  <si>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</si>
  <si>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</si>
  <si>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</si>
  <si>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</si>
  <si>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</si>
  <si>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</si>
  <si>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</si>
  <si>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</si>
  <si>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</si>
  <si>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</si>
  <si>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</si>
  <si>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</si>
  <si>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</si>
  <si>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</si>
  <si>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</si>
  <si>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</si>
  <si>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</si>
  <si>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</si>
  <si>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</si>
  <si>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</si>
  <si>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deviation in the molar abundance ratio of carbon isotopes (13C/12C) in (paleo-)atmosphere air relative to that in the PDB standard (per mil). For Cenozoic material, the analysis of Tipple et al. (2010; 10.1029/2009PA001851) is helpful.</t>
  </si>
  <si>
    <t>error in d13Ca. For Cenozoic material, the analysis of Tipple et al. (2010; 10.1029/2009PA001851) is helpful.</t>
  </si>
  <si>
    <t>sample size and/or description for calculating d13Ca.</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</si>
  <si>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</si>
  <si>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</si>
  <si>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</si>
  <si>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</si>
  <si>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</si>
  <si>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</si>
  <si>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</si>
  <si>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</si>
  <si>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</si>
  <si>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</si>
  <si>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</si>
  <si>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</si>
  <si>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</si>
  <si>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</si>
  <si>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</si>
  <si>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</si>
  <si>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</si>
  <si>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</si>
  <si>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</si>
  <si>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</si>
  <si>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</si>
  <si>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</si>
  <si>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</si>
  <si>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</si>
  <si>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</si>
  <si>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If set to 'yes', the code assumes a fixed photosynthetic rate equal to A0 and solves only for CO2, using the first main equation (i.e. Eq. 1 in Franks et al., 2014). That is, An is set equal to A0. This option can be used if An is known independently, for example measured in living plants to run the model for present-day or growth-chamber conditions. Otherwise, the code jointly solves for CO2 and An by iteratively solving the two main equations given in Franks et al. (2014) and Kowalczyk et al. (in prep.).</t>
  </si>
  <si>
    <t>discrimination against 13C due to carboxylation, mainly due to Rubisco (per mil); no error is assumed</t>
  </si>
  <si>
    <t>ratio of diffusivity of water vapor in air to the molar volume of air at the leaf temperature (mol m-1 s-1); see "temp" column for leaf temperature; no error is assumed</t>
  </si>
  <si>
    <t>CO2 compensation point at leaf temperature (ppm); see "temp" column for leaf temperature; no error is assumed. If unknown, Franks et al. (2014) recommend a nominal value of 40 ppm.</t>
  </si>
  <si>
    <t>mean or typical leaf temperature during the growing season (oC). This is effectively fixed in version 1 of the model, i.e., the leaf temperature for A0 and An are the same.  No adjustment is made for possible feedback effects of changes in atmospheric temperature on leaf temperature and photosynthetic rate associated with changes in global atmospheric CO2 concentration.  This follows observations that across a broad environmental temperature range leaf temperature during photosynthesis converges on a narrow band of values (Helliker and Richter, 2008, doi:10.1038/nature07031; Song et al. 2011, doi:10.1111/j.1469-8137.2011.03851.x). If unknown, for temperate to tropical environments (where many fossils originate) Franks et al. (2014) recommend a nominal value of 25 oC. Assignment of A0 should correspond with this temperature.</t>
  </si>
  <si>
    <t>email of individual entering the data</t>
  </si>
  <si>
    <t>tammor@ldeo.columbia.edu</t>
  </si>
  <si>
    <t>Paleo Latitude (decimal degree, south negative)</t>
  </si>
  <si>
    <t>Paleo Longitude (decimal degree, west negative)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</si>
</sst>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0000"/>
    <numFmt numFmtId="166" formatCode="0.0000000"/>
  </numFmts>
  <fonts count="6" x14ac:knownFonts="1">
    <font>
      <sz val="12"/>
      <color theme="1"/>
      <name val="Calibri"/>
      <family val="2"/>
      <scheme val="minor"/>
    </font>
    <font>
      <sz val="12"/>
      <color rgb="FF000000"/>
      <name val="Calibri"/>
      <family val="2"/>
      <scheme val="minor"/>
    </font>
    <font>
      <b/>
      <sz val="12"/>
      <color rgb="FF000000"/>
      <name val="Calibri"/>
      <family val="2"/>
      <scheme val="minor"/>
    </font>
    <font>
      <b/>
      <sz val="12"/>
      <color theme="1"/>
      <name val="Calibri"/>
      <family val="2"/>
      <scheme val="minor"/>
    </font>
    <font>
      <sz val="12"/>
      <color rgb="FF000000"/>
      <name val="Calibri"/>
      <family val="2"/>
    </font>
    <font>
      <b/>
      <sz val="12"/>
      <name val="Calibri"/>
      <family val="2"/>
      <scheme val="minor"/>
    </font>
  </fonts>
  <fills count="7">
    <fill>
      <patternFill patternType="none"/>
    </fill>
    <fill>
      <patternFill patternType="gray125"/>
    </fill>
    <fill>
      <patternFill patternType="solid">
        <fgColor rgb="FFE2EFD9"/>
        <bgColor indexed="64"/>
      </patternFill>
    </fill>
    <fill>
      <patternFill patternType="solid">
        <fgColor rgb="FFCC99FF"/>
        <bgColor indexed="64"/>
      </patternFill>
    </fill>
    <fill>
      <patternFill patternType="solid">
        <fgColor theme="9" tint="0.79998168889431442"/>
        <bgColor indexed="64"/>
      </patternFill>
    </fill>
    <fill>
      <patternFill patternType="solid">
        <fgColor rgb="FFFFCC66"/>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34">
    <xf numFmtId="0" fontId="0" fillId="0" borderId="0" xfId="0"/>
    <xf numFmtId="0" fontId="0" fillId="0" borderId="0" xfId="0" applyBorder="1"/>
    <xf numFmtId="0" fontId="0" fillId="0" borderId="0" xfId="0" applyBorder="1" applyAlignment="1"/>
    <xf numFmtId="0" fontId="2" fillId="2" borderId="0" xfId="0" applyFont="1" applyFill="1" applyBorder="1" applyAlignment="1">
      <alignment vertical="top" wrapText="1"/>
    </xf>
    <xf numFmtId="0" fontId="3" fillId="2" borderId="0" xfId="0" applyFont="1" applyFill="1" applyBorder="1" applyAlignment="1">
      <alignment horizontal="center" vertical="top" wrapText="1"/>
    </xf>
    <xf numFmtId="0" fontId="2" fillId="3" borderId="0" xfId="0" applyFont="1" applyFill="1" applyBorder="1" applyAlignment="1">
      <alignment vertical="top" wrapText="1"/>
    </xf>
    <xf numFmtId="0" fontId="2" fillId="4" borderId="0" xfId="0" applyFont="1" applyFill="1" applyBorder="1" applyAlignment="1">
      <alignment vertical="top" wrapText="1"/>
    </xf>
    <xf numFmtId="0" fontId="2" fillId="5" borderId="0" xfId="0" applyFont="1" applyFill="1" applyBorder="1" applyAlignment="1">
      <alignment vertical="top" wrapText="1"/>
    </xf>
    <xf numFmtId="0" fontId="3" fillId="0" borderId="0" xfId="0" applyFont="1" applyBorder="1"/>
    <xf numFmtId="0" fontId="1" fillId="0" borderId="0" xfId="0" applyFont="1" applyBorder="1" applyAlignment="1"/>
    <xf numFmtId="17" fontId="1" fillId="0" borderId="0" xfId="0" applyNumberFormat="1" applyFont="1" applyBorder="1" applyAlignment="1">
      <alignment horizontal="right"/>
    </xf>
    <xf numFmtId="0" fontId="1" fillId="0" borderId="0" xfId="0" applyFont="1" applyFill="1" applyBorder="1" applyAlignment="1"/>
    <xf numFmtId="0" fontId="1" fillId="0" borderId="0" xfId="0" applyFont="1" applyFill="1" applyBorder="1" applyAlignment="1">
      <alignment vertical="top"/>
    </xf>
    <xf numFmtId="0" fontId="1" fillId="0" borderId="0" xfId="0" applyFont="1" applyFill="1" applyBorder="1" applyAlignment="1">
      <alignment horizontal="right"/>
    </xf>
    <xf numFmtId="11" fontId="0" fillId="0" borderId="0" xfId="0" applyNumberFormat="1" applyBorder="1" applyAlignment="1"/>
    <xf numFmtId="2" fontId="0" fillId="0" borderId="0" xfId="0" applyNumberFormat="1" applyBorder="1" applyAlignment="1"/>
    <xf numFmtId="0" fontId="0" fillId="0" borderId="0" xfId="0" applyFill="1" applyBorder="1" applyAlignment="1"/>
    <xf numFmtId="2" fontId="1" fillId="0" borderId="0" xfId="0" applyNumberFormat="1" applyFont="1" applyFill="1" applyBorder="1" applyAlignment="1">
      <alignment horizontal="right" vertical="top"/>
    </xf>
    <xf numFmtId="11" fontId="1" fillId="0" borderId="0" xfId="0" applyNumberFormat="1" applyFont="1" applyFill="1" applyBorder="1" applyAlignment="1">
      <alignment horizontal="right"/>
    </xf>
    <xf numFmtId="164" fontId="0" fillId="0" borderId="0" xfId="0" applyNumberFormat="1" applyBorder="1" applyAlignment="1"/>
    <xf numFmtId="165" fontId="0" fillId="0" borderId="0" xfId="0" applyNumberFormat="1" applyBorder="1" applyAlignment="1"/>
    <xf numFmtId="166" fontId="0" fillId="0" borderId="0" xfId="0" applyNumberFormat="1" applyBorder="1" applyAlignment="1"/>
    <xf numFmtId="1" fontId="0" fillId="0" borderId="0" xfId="0" applyNumberFormat="1" applyBorder="1" applyAlignment="1"/>
    <xf numFmtId="0" fontId="3" fillId="4" borderId="0" xfId="0" applyFont="1" applyFill="1" applyAlignment="1">
      <alignment vertical="top" wrapText="1"/>
    </xf>
    <xf numFmtId="0" fontId="1" fillId="0" borderId="0" xfId="0" applyFont="1" applyFill="1" applyBorder="1" applyAlignment="1">
      <alignment vertical="center"/>
    </xf>
    <xf numFmtId="0" fontId="1" fillId="0" borderId="0" xfId="0" applyFont="1" applyFill="1" applyBorder="1" applyAlignment="1">
      <alignment wrapText="1"/>
    </xf>
    <xf numFmtId="0" fontId="0" fillId="2" borderId="0" xfId="0" applyFill="1" applyBorder="1" applyAlignment="1"/>
    <xf numFmtId="0" fontId="0" fillId="2" borderId="0" xfId="0" applyFill="1" applyBorder="1" applyAlignment="1">
      <alignment wrapText="1"/>
    </xf>
    <xf numFmtId="0" fontId="1" fillId="3" borderId="0" xfId="0" applyFont="1" applyFill="1" applyBorder="1" applyAlignment="1"/>
    <xf numFmtId="0" fontId="1" fillId="4" borderId="0" xfId="0" applyFont="1" applyFill="1" applyBorder="1" applyAlignment="1"/>
    <xf numFmtId="0" fontId="1" fillId="5" borderId="0" xfId="0" applyFont="1" applyFill="1" applyBorder="1" applyAlignment="1"/>
    <xf numFmtId="0" fontId="1" fillId="2" borderId="0" xfId="0" applyFont="1" applyFill="1" applyBorder="1" applyAlignment="1"/>
    <xf numFmtId="0" fontId="5" fillId="4" borderId="0" xfId="0" applyFont="1" applyFill="1" applyBorder="1" applyAlignment="1">
      <alignment horizontal="center" vertical="center" wrapText="1"/>
    </xf>
    <xf numFmtId="0" fontId="0" fillId="6" borderId="0" xfId="0" applyFill="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N42"/>
  <sheetViews>
    <sheetView tabSelected="1" workbookViewId="0">
      <pane ySplit="3" topLeftCell="A4" activePane="bottomLeft" state="frozen"/>
      <selection pane="bottomLeft" activeCell="M8" sqref="M8"/>
    </sheetView>
  </sheetViews>
  <sheetFormatPr baseColWidth="10" defaultColWidth="11" defaultRowHeight="16" x14ac:dyDescent="0.2"/>
  <cols>
    <col min="1" max="10" width="11" style="1"/>
    <col min="11" max="11" width="12.1640625" style="1" customWidth="1"/>
    <col min="12" max="20" width="11" style="1"/>
    <col min="21" max="21" width="11.6640625" style="1" customWidth="1"/>
    <col min="22" max="22" width="11" style="1"/>
    <col min="23" max="23" width="11.83203125" style="1" customWidth="1"/>
    <col min="24" max="24" width="12.33203125" style="1" customWidth="1"/>
    <col min="25" max="25" width="11" style="1"/>
    <col min="26" max="26" width="11.83203125" style="1" customWidth="1"/>
    <col min="27" max="30" width="11" style="1"/>
    <col min="31" max="31" width="15.33203125" style="1" customWidth="1"/>
    <col min="32" max="35" width="11" style="1"/>
    <col min="36" max="36" width="13.1640625" style="1" customWidth="1"/>
    <col min="37" max="16384" width="11" style="1"/>
  </cols>
  <sheetData>
    <row r="1" spans="1:92" x14ac:dyDescent="0.2">
      <c r="AM1" s="26" t="s">
        <v>122</v>
      </c>
      <c r="AN1" s="27"/>
      <c r="AO1" s="27"/>
      <c r="AP1" s="27"/>
      <c r="AQ1" s="27"/>
      <c r="AR1" s="27"/>
      <c r="AS1" s="27"/>
      <c r="AT1" s="27"/>
      <c r="AU1" s="27"/>
      <c r="AV1" s="27"/>
      <c r="AW1" s="27"/>
      <c r="AX1" s="27"/>
      <c r="AY1" s="27"/>
      <c r="AZ1" s="27"/>
      <c r="BA1" s="27"/>
      <c r="BB1" s="27"/>
      <c r="BC1" s="27"/>
      <c r="BD1" s="27"/>
      <c r="BE1" s="27"/>
      <c r="BF1" s="27"/>
      <c r="BG1" s="27"/>
      <c r="BH1" s="26"/>
      <c r="BI1" s="27"/>
      <c r="BJ1" s="27"/>
      <c r="BK1" s="27"/>
      <c r="BL1" s="26" t="s">
        <v>123</v>
      </c>
      <c r="BM1" s="27"/>
      <c r="BN1" s="27"/>
      <c r="BO1" s="27"/>
      <c r="BP1" s="27"/>
      <c r="BQ1" s="27"/>
      <c r="BR1" s="27"/>
      <c r="BS1" s="27"/>
      <c r="BT1" s="27"/>
      <c r="BU1" s="27"/>
      <c r="BV1" s="27"/>
      <c r="BW1" s="27"/>
      <c r="BX1" s="27"/>
      <c r="BY1" s="27"/>
      <c r="BZ1" s="27"/>
      <c r="CA1" s="27"/>
      <c r="CB1" s="27"/>
      <c r="CC1" s="27"/>
      <c r="CD1" s="27"/>
      <c r="CE1" s="27"/>
      <c r="CF1" s="27"/>
      <c r="CG1" s="27"/>
      <c r="CH1" s="27"/>
      <c r="CI1" s="27"/>
      <c r="CJ1" s="27"/>
      <c r="CK1" s="27"/>
      <c r="CL1" s="27"/>
      <c r="CM1" s="27"/>
      <c r="CN1" s="27"/>
    </row>
    <row r="2" spans="1:92" x14ac:dyDescent="0.2">
      <c r="AM2" s="28" t="s">
        <v>124</v>
      </c>
      <c r="AN2" s="28" t="s">
        <v>125</v>
      </c>
      <c r="AO2" s="28" t="s">
        <v>126</v>
      </c>
      <c r="AP2" s="28" t="s">
        <v>127</v>
      </c>
      <c r="AQ2" s="28" t="s">
        <v>128</v>
      </c>
      <c r="AR2" s="28" t="s">
        <v>129</v>
      </c>
      <c r="AS2" s="28" t="s">
        <v>130</v>
      </c>
      <c r="AT2" s="28" t="s">
        <v>131</v>
      </c>
      <c r="AU2" s="28" t="s">
        <v>132</v>
      </c>
      <c r="AV2" s="28" t="s">
        <v>133</v>
      </c>
      <c r="AW2" s="28" t="s">
        <v>134</v>
      </c>
      <c r="AX2" s="28" t="s">
        <v>135</v>
      </c>
      <c r="AY2" s="28" t="s">
        <v>136</v>
      </c>
      <c r="AZ2" s="28" t="s">
        <v>137</v>
      </c>
      <c r="BA2" s="28" t="s">
        <v>138</v>
      </c>
      <c r="BB2" s="28" t="s">
        <v>139</v>
      </c>
      <c r="BC2" s="28" t="s">
        <v>140</v>
      </c>
      <c r="BD2" s="28" t="s">
        <v>141</v>
      </c>
      <c r="BE2" s="28" t="s">
        <v>142</v>
      </c>
      <c r="BF2" s="28" t="s">
        <v>143</v>
      </c>
      <c r="BG2" s="28" t="s">
        <v>144</v>
      </c>
      <c r="BH2" s="29" t="s">
        <v>145</v>
      </c>
      <c r="BI2" s="29" t="s">
        <v>146</v>
      </c>
      <c r="BJ2" s="29" t="s">
        <v>147</v>
      </c>
      <c r="BK2" s="29" t="s">
        <v>148</v>
      </c>
      <c r="BL2" s="30" t="s">
        <v>149</v>
      </c>
      <c r="BM2" s="30" t="s">
        <v>150</v>
      </c>
      <c r="BN2" s="30" t="s">
        <v>151</v>
      </c>
      <c r="BO2" s="30" t="s">
        <v>152</v>
      </c>
      <c r="BP2" s="30" t="s">
        <v>153</v>
      </c>
      <c r="BQ2" s="30" t="s">
        <v>154</v>
      </c>
      <c r="BR2" s="30" t="s">
        <v>155</v>
      </c>
      <c r="BS2" s="30" t="s">
        <v>156</v>
      </c>
      <c r="BT2" s="30" t="s">
        <v>157</v>
      </c>
      <c r="BU2" s="30" t="s">
        <v>158</v>
      </c>
      <c r="BV2" s="30" t="s">
        <v>159</v>
      </c>
      <c r="BW2" s="30" t="s">
        <v>160</v>
      </c>
      <c r="BX2" s="30" t="s">
        <v>161</v>
      </c>
      <c r="BY2" s="30" t="s">
        <v>162</v>
      </c>
      <c r="BZ2" s="30" t="s">
        <v>163</v>
      </c>
      <c r="CA2" s="30" t="s">
        <v>164</v>
      </c>
      <c r="CB2" s="30" t="s">
        <v>165</v>
      </c>
      <c r="CC2" s="30" t="s">
        <v>166</v>
      </c>
      <c r="CD2" s="30" t="s">
        <v>167</v>
      </c>
      <c r="CE2" s="30" t="s">
        <v>168</v>
      </c>
      <c r="CF2" s="30" t="s">
        <v>169</v>
      </c>
      <c r="CG2" s="30" t="s">
        <v>170</v>
      </c>
      <c r="CH2" s="30" t="s">
        <v>171</v>
      </c>
      <c r="CI2" s="30" t="s">
        <v>172</v>
      </c>
      <c r="CJ2" s="31" t="s">
        <v>173</v>
      </c>
      <c r="CK2" s="31" t="s">
        <v>174</v>
      </c>
      <c r="CL2" s="31" t="s">
        <v>175</v>
      </c>
      <c r="CM2" s="30" t="s">
        <v>176</v>
      </c>
      <c r="CN2" s="31" t="s">
        <v>177</v>
      </c>
    </row>
    <row r="3" spans="1:92" s="8" customFormat="1" ht="66.75" customHeight="1" x14ac:dyDescent="0.2">
      <c r="A3" s="23" t="s">
        <v>106</v>
      </c>
      <c r="B3" s="23" t="s">
        <v>107</v>
      </c>
      <c r="C3" s="23" t="s">
        <v>108</v>
      </c>
      <c r="D3" s="23" t="s">
        <v>5</v>
      </c>
      <c r="E3" s="23" t="s">
        <v>109</v>
      </c>
      <c r="F3" s="23" t="s">
        <v>110</v>
      </c>
      <c r="G3" s="23" t="s">
        <v>111</v>
      </c>
      <c r="H3" s="23" t="s">
        <v>115</v>
      </c>
      <c r="I3" s="23" t="s">
        <v>116</v>
      </c>
      <c r="J3" s="23" t="s">
        <v>118</v>
      </c>
      <c r="K3" s="3" t="s">
        <v>4</v>
      </c>
      <c r="L3" s="3" t="s">
        <v>178</v>
      </c>
      <c r="M3" s="3" t="s">
        <v>119</v>
      </c>
      <c r="N3" s="3" t="s">
        <v>5</v>
      </c>
      <c r="O3" s="3" t="s">
        <v>6</v>
      </c>
      <c r="P3" s="3" t="s">
        <v>7</v>
      </c>
      <c r="Q3" s="3" t="s">
        <v>8</v>
      </c>
      <c r="R3" s="3" t="s">
        <v>9</v>
      </c>
      <c r="S3" s="3" t="s">
        <v>10</v>
      </c>
      <c r="T3" s="3" t="s">
        <v>11</v>
      </c>
      <c r="U3" s="3" t="s">
        <v>12</v>
      </c>
      <c r="V3" s="3" t="s">
        <v>13</v>
      </c>
      <c r="W3" s="3" t="s">
        <v>14</v>
      </c>
      <c r="X3" s="3" t="s">
        <v>15</v>
      </c>
      <c r="Y3" s="3" t="s">
        <v>16</v>
      </c>
      <c r="Z3" s="3" t="s">
        <v>17</v>
      </c>
      <c r="AA3" s="3" t="s">
        <v>120</v>
      </c>
      <c r="AB3" s="3" t="s">
        <v>121</v>
      </c>
      <c r="AC3" s="32" t="s">
        <v>180</v>
      </c>
      <c r="AD3" s="32" t="s">
        <v>181</v>
      </c>
      <c r="AE3" s="3" t="s">
        <v>18</v>
      </c>
      <c r="AF3" s="3" t="s">
        <v>19</v>
      </c>
      <c r="AG3" s="3" t="s">
        <v>20</v>
      </c>
      <c r="AH3" s="3" t="s">
        <v>21</v>
      </c>
      <c r="AI3" s="3" t="s">
        <v>22</v>
      </c>
      <c r="AJ3" s="3" t="s">
        <v>23</v>
      </c>
      <c r="AK3" s="4" t="s">
        <v>24</v>
      </c>
      <c r="AL3" s="4" t="s">
        <v>25</v>
      </c>
      <c r="AM3" s="5" t="s">
        <v>26</v>
      </c>
      <c r="AN3" s="5" t="s">
        <v>27</v>
      </c>
      <c r="AO3" s="5" t="s">
        <v>28</v>
      </c>
      <c r="AP3" s="5" t="s">
        <v>29</v>
      </c>
      <c r="AQ3" s="5" t="s">
        <v>30</v>
      </c>
      <c r="AR3" s="5" t="s">
        <v>31</v>
      </c>
      <c r="AS3" s="5" t="s">
        <v>32</v>
      </c>
      <c r="AT3" s="5" t="s">
        <v>33</v>
      </c>
      <c r="AU3" s="5" t="s">
        <v>34</v>
      </c>
      <c r="AV3" s="5" t="s">
        <v>35</v>
      </c>
      <c r="AW3" s="5" t="s">
        <v>36</v>
      </c>
      <c r="AX3" s="5" t="s">
        <v>37</v>
      </c>
      <c r="AY3" s="5" t="s">
        <v>38</v>
      </c>
      <c r="AZ3" s="5" t="s">
        <v>39</v>
      </c>
      <c r="BA3" s="5" t="s">
        <v>40</v>
      </c>
      <c r="BB3" s="5" t="s">
        <v>41</v>
      </c>
      <c r="BC3" s="5" t="s">
        <v>42</v>
      </c>
      <c r="BD3" s="5" t="s">
        <v>43</v>
      </c>
      <c r="BE3" s="5" t="s">
        <v>44</v>
      </c>
      <c r="BF3" s="5" t="s">
        <v>45</v>
      </c>
      <c r="BG3" s="5" t="s">
        <v>46</v>
      </c>
      <c r="BH3" s="6" t="s">
        <v>47</v>
      </c>
      <c r="BI3" s="6" t="s">
        <v>48</v>
      </c>
      <c r="BJ3" s="6" t="s">
        <v>49</v>
      </c>
      <c r="BK3" s="6" t="s">
        <v>50</v>
      </c>
      <c r="BL3" s="7" t="s">
        <v>51</v>
      </c>
      <c r="BM3" s="7" t="s">
        <v>52</v>
      </c>
      <c r="BN3" s="7" t="s">
        <v>53</v>
      </c>
      <c r="BO3" s="7" t="s">
        <v>54</v>
      </c>
      <c r="BP3" s="7" t="s">
        <v>55</v>
      </c>
      <c r="BQ3" s="7" t="s">
        <v>56</v>
      </c>
      <c r="BR3" s="7" t="s">
        <v>57</v>
      </c>
      <c r="BS3" s="7" t="s">
        <v>58</v>
      </c>
      <c r="BT3" s="7" t="s">
        <v>59</v>
      </c>
      <c r="BU3" s="7" t="s">
        <v>60</v>
      </c>
      <c r="BV3" s="7" t="s">
        <v>61</v>
      </c>
      <c r="BW3" s="7" t="s">
        <v>62</v>
      </c>
      <c r="BX3" s="7" t="s">
        <v>63</v>
      </c>
      <c r="BY3" s="7" t="s">
        <v>64</v>
      </c>
      <c r="BZ3" s="7" t="s">
        <v>65</v>
      </c>
      <c r="CA3" s="7" t="s">
        <v>66</v>
      </c>
      <c r="CB3" s="7" t="s">
        <v>67</v>
      </c>
      <c r="CC3" s="7" t="s">
        <v>68</v>
      </c>
      <c r="CD3" s="7" t="s">
        <v>69</v>
      </c>
      <c r="CE3" s="7" t="s">
        <v>70</v>
      </c>
      <c r="CF3" s="7" t="s">
        <v>71</v>
      </c>
      <c r="CG3" s="7" t="s">
        <v>72</v>
      </c>
      <c r="CH3" s="7" t="s">
        <v>73</v>
      </c>
      <c r="CI3" s="7" t="s">
        <v>74</v>
      </c>
      <c r="CJ3" s="3" t="s">
        <v>75</v>
      </c>
      <c r="CK3" s="3" t="s">
        <v>76</v>
      </c>
      <c r="CL3" s="3" t="s">
        <v>77</v>
      </c>
      <c r="CM3" s="7" t="s">
        <v>78</v>
      </c>
      <c r="CN3" s="3" t="s">
        <v>79</v>
      </c>
    </row>
    <row r="4" spans="1:92" s="2" customFormat="1" x14ac:dyDescent="0.2">
      <c r="A4" s="2" t="s">
        <v>112</v>
      </c>
      <c r="B4" s="2" t="s">
        <v>113</v>
      </c>
      <c r="C4" s="2">
        <v>2016</v>
      </c>
      <c r="D4" s="2" t="str">
        <f>N4</f>
        <v>10.1016/j.epsl.2016.09.026</v>
      </c>
      <c r="E4" s="2">
        <f>V4*1000</f>
        <v>23023</v>
      </c>
      <c r="F4" s="2">
        <f>(W4-V4)*1000</f>
        <v>7.0000000000014495</v>
      </c>
      <c r="G4" s="2">
        <f>(V4-X4)*1000</f>
        <v>7.0000000000014495</v>
      </c>
      <c r="H4" s="22">
        <f>AE4</f>
        <v>516</v>
      </c>
      <c r="I4" s="22">
        <f>AH4-AE4</f>
        <v>276</v>
      </c>
      <c r="J4" s="22">
        <f>AE4-AG4</f>
        <v>188</v>
      </c>
      <c r="K4" s="11" t="s">
        <v>87</v>
      </c>
      <c r="L4" s="10" t="s">
        <v>179</v>
      </c>
      <c r="M4" s="12" t="s">
        <v>114</v>
      </c>
      <c r="N4" s="2" t="s">
        <v>88</v>
      </c>
      <c r="O4" s="12" t="s">
        <v>89</v>
      </c>
      <c r="P4" s="2" t="s">
        <v>80</v>
      </c>
      <c r="Q4" s="12" t="s">
        <v>90</v>
      </c>
      <c r="R4" s="16" t="s">
        <v>91</v>
      </c>
      <c r="S4" s="12" t="s">
        <v>92</v>
      </c>
      <c r="T4" s="12" t="s">
        <v>93</v>
      </c>
      <c r="U4" s="12" t="s">
        <v>94</v>
      </c>
      <c r="V4" s="17">
        <f>AVERAGE(W4:X4)</f>
        <v>23.023</v>
      </c>
      <c r="W4" s="17">
        <v>23.03</v>
      </c>
      <c r="X4" s="17">
        <v>23.015999999999998</v>
      </c>
      <c r="Y4" s="2" t="s">
        <v>117</v>
      </c>
      <c r="Z4" s="11" t="s">
        <v>95</v>
      </c>
      <c r="AA4" s="13">
        <v>-45.53</v>
      </c>
      <c r="AB4" s="13">
        <v>170.22</v>
      </c>
      <c r="AC4" s="9" t="s">
        <v>117</v>
      </c>
      <c r="AD4" s="9" t="s">
        <v>117</v>
      </c>
      <c r="AE4" s="13">
        <v>516</v>
      </c>
      <c r="AF4" s="11" t="s">
        <v>96</v>
      </c>
      <c r="AG4" s="13">
        <v>328</v>
      </c>
      <c r="AH4" s="13">
        <v>792</v>
      </c>
      <c r="AI4" s="11" t="s">
        <v>97</v>
      </c>
      <c r="AJ4" s="11" t="s">
        <v>98</v>
      </c>
      <c r="AK4" s="11" t="s">
        <v>81</v>
      </c>
      <c r="AL4" s="11" t="s">
        <v>99</v>
      </c>
      <c r="AM4" s="14">
        <v>195425287.35632181</v>
      </c>
      <c r="AN4" s="14">
        <v>48333310.016100481</v>
      </c>
      <c r="AO4" s="11" t="s">
        <v>82</v>
      </c>
      <c r="AP4" s="18">
        <v>0</v>
      </c>
      <c r="AQ4" s="18">
        <v>0</v>
      </c>
      <c r="AR4" s="11" t="s">
        <v>82</v>
      </c>
      <c r="AS4" s="2">
        <v>1.054500862068965E-5</v>
      </c>
      <c r="AT4" s="2">
        <v>1.5618687552482411E-6</v>
      </c>
      <c r="AU4" s="11" t="s">
        <v>82</v>
      </c>
      <c r="AV4" s="18">
        <v>0</v>
      </c>
      <c r="AW4" s="18">
        <v>0</v>
      </c>
      <c r="AX4" s="2" t="s">
        <v>82</v>
      </c>
      <c r="AY4" s="2">
        <v>5.0527370689655186E-6</v>
      </c>
      <c r="AZ4" s="2">
        <v>1.177366131876602E-6</v>
      </c>
      <c r="BA4" s="11" t="s">
        <v>82</v>
      </c>
      <c r="BB4" s="18">
        <v>0</v>
      </c>
      <c r="BC4" s="18">
        <v>0</v>
      </c>
      <c r="BD4" s="11" t="s">
        <v>82</v>
      </c>
      <c r="BE4" s="15">
        <v>-28.852999999999998</v>
      </c>
      <c r="BF4" s="15">
        <v>0.318</v>
      </c>
      <c r="BG4" s="11" t="s">
        <v>100</v>
      </c>
      <c r="BH4" s="2">
        <v>-6</v>
      </c>
      <c r="BI4" s="2">
        <v>0.7</v>
      </c>
      <c r="BJ4" s="9" t="s">
        <v>83</v>
      </c>
      <c r="BK4" s="2">
        <v>353.2</v>
      </c>
      <c r="BL4" s="2">
        <v>4.13</v>
      </c>
      <c r="BM4" s="2">
        <v>1.03</v>
      </c>
      <c r="BN4" s="11" t="s">
        <v>101</v>
      </c>
      <c r="BO4" s="15">
        <v>0.70050995441889274</v>
      </c>
      <c r="BP4" s="19">
        <v>6.376316688666378E-2</v>
      </c>
      <c r="BQ4" s="11" t="s">
        <v>101</v>
      </c>
      <c r="BR4" s="13">
        <v>2</v>
      </c>
      <c r="BS4" s="13">
        <v>0.1</v>
      </c>
      <c r="BT4" s="9" t="s">
        <v>84</v>
      </c>
      <c r="BU4" s="13">
        <v>1</v>
      </c>
      <c r="BV4" s="13">
        <v>0</v>
      </c>
      <c r="BW4" s="9" t="s">
        <v>85</v>
      </c>
      <c r="BX4" s="2">
        <v>1</v>
      </c>
      <c r="BY4" s="2">
        <v>0.05</v>
      </c>
      <c r="BZ4" s="9" t="s">
        <v>84</v>
      </c>
      <c r="CA4" s="2">
        <v>1</v>
      </c>
      <c r="CB4" s="2">
        <v>0.05</v>
      </c>
      <c r="CC4" s="9" t="s">
        <v>84</v>
      </c>
      <c r="CD4" s="2">
        <v>0.2</v>
      </c>
      <c r="CE4" s="2">
        <v>0.01</v>
      </c>
      <c r="CF4" s="9" t="s">
        <v>84</v>
      </c>
      <c r="CG4" s="19">
        <v>1.4541929E-2</v>
      </c>
      <c r="CH4" s="20">
        <v>4.3030209999999998E-3</v>
      </c>
      <c r="CI4" s="11" t="s">
        <v>102</v>
      </c>
      <c r="CJ4" s="11" t="s">
        <v>86</v>
      </c>
      <c r="CK4" s="13">
        <v>29</v>
      </c>
      <c r="CL4" s="21">
        <v>7.1428571428571429E-4</v>
      </c>
      <c r="CM4" s="13">
        <v>40</v>
      </c>
      <c r="CN4" s="13">
        <v>20</v>
      </c>
    </row>
    <row r="5" spans="1:92" s="2" customFormat="1" x14ac:dyDescent="0.2">
      <c r="A5" s="2" t="s">
        <v>112</v>
      </c>
      <c r="B5" s="2" t="s">
        <v>113</v>
      </c>
      <c r="C5" s="2">
        <v>2016</v>
      </c>
      <c r="D5" s="2" t="str">
        <f>N5</f>
        <v>10.1016/j.epsl.2016.09.026</v>
      </c>
      <c r="E5" s="2">
        <f>V5*1000</f>
        <v>23001.5</v>
      </c>
      <c r="F5" s="2">
        <f>(W5-V5)*1000</f>
        <v>10.500000000000398</v>
      </c>
      <c r="G5" s="2">
        <f>(V5-X5)*1000</f>
        <v>10.500000000000398</v>
      </c>
      <c r="H5" s="22">
        <f>AE5</f>
        <v>1144</v>
      </c>
      <c r="I5" s="22">
        <f>AH5-AE5</f>
        <v>606</v>
      </c>
      <c r="J5" s="22">
        <f>AE5-AG5</f>
        <v>462</v>
      </c>
      <c r="K5" s="11" t="s">
        <v>87</v>
      </c>
      <c r="L5" s="10" t="s">
        <v>179</v>
      </c>
      <c r="M5" s="12" t="s">
        <v>114</v>
      </c>
      <c r="N5" s="2" t="s">
        <v>88</v>
      </c>
      <c r="O5" s="12" t="s">
        <v>103</v>
      </c>
      <c r="P5" s="2" t="s">
        <v>80</v>
      </c>
      <c r="Q5" s="12" t="s">
        <v>90</v>
      </c>
      <c r="R5" s="16" t="s">
        <v>91</v>
      </c>
      <c r="S5" s="12" t="s">
        <v>92</v>
      </c>
      <c r="T5" s="12" t="s">
        <v>93</v>
      </c>
      <c r="U5" s="12" t="s">
        <v>94</v>
      </c>
      <c r="V5" s="17">
        <f t="shared" ref="V5:V6" si="0">AVERAGE(W5:X5)</f>
        <v>23.0015</v>
      </c>
      <c r="W5" s="17">
        <v>23.012</v>
      </c>
      <c r="X5" s="17">
        <v>22.991</v>
      </c>
      <c r="Y5" s="2" t="s">
        <v>117</v>
      </c>
      <c r="Z5" s="11" t="s">
        <v>95</v>
      </c>
      <c r="AA5" s="13">
        <v>-45.53</v>
      </c>
      <c r="AB5" s="13">
        <v>170.22</v>
      </c>
      <c r="AC5" s="9" t="s">
        <v>117</v>
      </c>
      <c r="AD5" s="9" t="s">
        <v>117</v>
      </c>
      <c r="AE5" s="2">
        <v>1144</v>
      </c>
      <c r="AF5" s="11" t="s">
        <v>96</v>
      </c>
      <c r="AG5" s="13">
        <v>682</v>
      </c>
      <c r="AH5" s="13">
        <v>1750</v>
      </c>
      <c r="AI5" s="11" t="s">
        <v>97</v>
      </c>
      <c r="AJ5" s="11" t="s">
        <v>98</v>
      </c>
      <c r="AK5" s="11" t="s">
        <v>81</v>
      </c>
      <c r="AL5" s="11" t="s">
        <v>99</v>
      </c>
      <c r="AM5" s="14">
        <v>139567264.52263147</v>
      </c>
      <c r="AN5" s="14">
        <v>77631779.62792109</v>
      </c>
      <c r="AO5" s="11" t="s">
        <v>104</v>
      </c>
      <c r="AP5" s="18">
        <v>0</v>
      </c>
      <c r="AQ5" s="18">
        <v>0</v>
      </c>
      <c r="AR5" s="11" t="s">
        <v>104</v>
      </c>
      <c r="AS5" s="2">
        <v>1.1285493749999998E-5</v>
      </c>
      <c r="AT5" s="2">
        <v>1.8581016924086155E-6</v>
      </c>
      <c r="AU5" s="11" t="s">
        <v>104</v>
      </c>
      <c r="AV5" s="18">
        <v>0</v>
      </c>
      <c r="AW5" s="18">
        <v>0</v>
      </c>
      <c r="AX5" s="11" t="s">
        <v>104</v>
      </c>
      <c r="AY5" s="2">
        <v>4.9153406250000005E-6</v>
      </c>
      <c r="AZ5" s="2">
        <v>1.2996764172543125E-6</v>
      </c>
      <c r="BA5" s="11" t="s">
        <v>104</v>
      </c>
      <c r="BB5" s="18">
        <v>0</v>
      </c>
      <c r="BC5" s="18">
        <v>0</v>
      </c>
      <c r="BD5" s="11" t="s">
        <v>104</v>
      </c>
      <c r="BE5" s="15">
        <v>-31.856999999999992</v>
      </c>
      <c r="BF5" s="15">
        <v>0.87099999999999977</v>
      </c>
      <c r="BG5" s="11" t="s">
        <v>100</v>
      </c>
      <c r="BH5" s="2">
        <v>-6</v>
      </c>
      <c r="BI5" s="2">
        <v>0.7</v>
      </c>
      <c r="BJ5" s="9" t="s">
        <v>83</v>
      </c>
      <c r="BK5" s="2">
        <v>353.2</v>
      </c>
      <c r="BL5" s="2">
        <v>4.13</v>
      </c>
      <c r="BM5" s="2">
        <v>1.03</v>
      </c>
      <c r="BN5" s="11" t="s">
        <v>101</v>
      </c>
      <c r="BO5" s="15">
        <v>0.70050995441889274</v>
      </c>
      <c r="BP5" s="19">
        <v>6.376316688666378E-2</v>
      </c>
      <c r="BQ5" s="11" t="s">
        <v>101</v>
      </c>
      <c r="BR5" s="13">
        <v>2</v>
      </c>
      <c r="BS5" s="13">
        <v>0.1</v>
      </c>
      <c r="BT5" s="9" t="s">
        <v>84</v>
      </c>
      <c r="BU5" s="13">
        <v>1</v>
      </c>
      <c r="BV5" s="13">
        <v>0</v>
      </c>
      <c r="BW5" s="9" t="s">
        <v>85</v>
      </c>
      <c r="BX5" s="2">
        <v>1</v>
      </c>
      <c r="BY5" s="2">
        <v>0.05</v>
      </c>
      <c r="BZ5" s="9" t="s">
        <v>84</v>
      </c>
      <c r="CA5" s="2">
        <v>1</v>
      </c>
      <c r="CB5" s="2">
        <v>0.05</v>
      </c>
      <c r="CC5" s="9" t="s">
        <v>84</v>
      </c>
      <c r="CD5" s="2">
        <v>0.2</v>
      </c>
      <c r="CE5" s="2">
        <v>0.01</v>
      </c>
      <c r="CF5" s="9" t="s">
        <v>84</v>
      </c>
      <c r="CG5" s="19">
        <v>1.4541929E-2</v>
      </c>
      <c r="CH5" s="20">
        <v>4.3030209999999998E-3</v>
      </c>
      <c r="CI5" s="11" t="s">
        <v>102</v>
      </c>
      <c r="CJ5" s="11" t="s">
        <v>86</v>
      </c>
      <c r="CK5" s="13">
        <v>29</v>
      </c>
      <c r="CL5" s="21">
        <v>7.1428571428571429E-4</v>
      </c>
      <c r="CM5" s="13">
        <v>40</v>
      </c>
      <c r="CN5" s="13">
        <v>20</v>
      </c>
    </row>
    <row r="6" spans="1:92" s="2" customFormat="1" x14ac:dyDescent="0.2">
      <c r="A6" s="2" t="s">
        <v>112</v>
      </c>
      <c r="B6" s="2" t="s">
        <v>113</v>
      </c>
      <c r="C6" s="2">
        <v>2016</v>
      </c>
      <c r="D6" s="2" t="str">
        <f>N6</f>
        <v>10.1016/j.epsl.2016.09.026</v>
      </c>
      <c r="E6" s="2">
        <f>V6*1000</f>
        <v>22960.500000000004</v>
      </c>
      <c r="F6" s="2">
        <f>(W6-V6)*1000</f>
        <v>23.499999999998522</v>
      </c>
      <c r="G6" s="2">
        <f>(V6-X6)*1000</f>
        <v>23.500000000002075</v>
      </c>
      <c r="H6" s="22">
        <f>AE6</f>
        <v>425.90909090909093</v>
      </c>
      <c r="I6" s="22">
        <f>AH6-AE6</f>
        <v>334.09090909090907</v>
      </c>
      <c r="J6" s="22">
        <f>AE6-AG6</f>
        <v>155.90909090909093</v>
      </c>
      <c r="K6" s="11" t="s">
        <v>87</v>
      </c>
      <c r="L6" s="10" t="s">
        <v>179</v>
      </c>
      <c r="M6" s="12" t="s">
        <v>114</v>
      </c>
      <c r="N6" s="2" t="s">
        <v>88</v>
      </c>
      <c r="O6" s="33"/>
      <c r="P6" s="2" t="s">
        <v>80</v>
      </c>
      <c r="Q6" s="12" t="s">
        <v>90</v>
      </c>
      <c r="R6" s="16" t="s">
        <v>91</v>
      </c>
      <c r="S6" s="12" t="s">
        <v>92</v>
      </c>
      <c r="T6" s="12" t="s">
        <v>93</v>
      </c>
      <c r="U6" s="12" t="s">
        <v>94</v>
      </c>
      <c r="V6" s="17">
        <f t="shared" si="0"/>
        <v>22.960500000000003</v>
      </c>
      <c r="W6" s="17">
        <v>22.984000000000002</v>
      </c>
      <c r="X6" s="17">
        <v>22.937000000000001</v>
      </c>
      <c r="Y6" s="2" t="s">
        <v>117</v>
      </c>
      <c r="Z6" s="11" t="s">
        <v>95</v>
      </c>
      <c r="AA6" s="13">
        <v>-45.53</v>
      </c>
      <c r="AB6" s="13">
        <v>170.22</v>
      </c>
      <c r="AC6" s="9" t="s">
        <v>117</v>
      </c>
      <c r="AD6" s="9" t="s">
        <v>117</v>
      </c>
      <c r="AE6" s="22">
        <v>425.90909090909093</v>
      </c>
      <c r="AF6" s="11" t="s">
        <v>96</v>
      </c>
      <c r="AG6" s="13">
        <v>270</v>
      </c>
      <c r="AH6" s="13">
        <v>760</v>
      </c>
      <c r="AI6" s="11" t="s">
        <v>97</v>
      </c>
      <c r="AJ6" s="11" t="s">
        <v>98</v>
      </c>
      <c r="AK6" s="11" t="s">
        <v>81</v>
      </c>
      <c r="AL6" s="11" t="s">
        <v>99</v>
      </c>
      <c r="AM6" s="14">
        <v>245222341.44015262</v>
      </c>
      <c r="AN6" s="14">
        <v>71849496.581138045</v>
      </c>
      <c r="AO6" s="11" t="s">
        <v>105</v>
      </c>
      <c r="AP6" s="18">
        <v>0</v>
      </c>
      <c r="AQ6" s="18">
        <v>0</v>
      </c>
      <c r="AR6" s="11" t="s">
        <v>105</v>
      </c>
      <c r="AS6" s="2">
        <v>1.0563674892703855E-5</v>
      </c>
      <c r="AT6" s="2">
        <v>1.6083137464021946E-6</v>
      </c>
      <c r="AU6" s="11" t="s">
        <v>105</v>
      </c>
      <c r="AV6" s="18">
        <v>0</v>
      </c>
      <c r="AW6" s="18">
        <v>0</v>
      </c>
      <c r="AX6" s="11" t="s">
        <v>105</v>
      </c>
      <c r="AY6" s="2">
        <v>5.0179763948497881E-6</v>
      </c>
      <c r="AZ6" s="2">
        <v>1.8121044362569102E-6</v>
      </c>
      <c r="BA6" s="11" t="s">
        <v>105</v>
      </c>
      <c r="BB6" s="18">
        <v>0</v>
      </c>
      <c r="BC6" s="18">
        <v>0</v>
      </c>
      <c r="BD6" s="11" t="s">
        <v>105</v>
      </c>
      <c r="BE6" s="15">
        <v>-29.012954545454537</v>
      </c>
      <c r="BF6" s="15">
        <v>0.91181818181818175</v>
      </c>
      <c r="BG6" s="11" t="s">
        <v>100</v>
      </c>
      <c r="BH6" s="2">
        <v>-6</v>
      </c>
      <c r="BI6" s="2">
        <v>0.7</v>
      </c>
      <c r="BJ6" s="9" t="s">
        <v>83</v>
      </c>
      <c r="BK6" s="2">
        <v>353.2</v>
      </c>
      <c r="BL6" s="2">
        <v>4.13</v>
      </c>
      <c r="BM6" s="2">
        <v>1.03</v>
      </c>
      <c r="BN6" s="11" t="s">
        <v>101</v>
      </c>
      <c r="BO6" s="15">
        <v>0.70050995441889274</v>
      </c>
      <c r="BP6" s="19">
        <v>6.376316688666378E-2</v>
      </c>
      <c r="BQ6" s="11" t="s">
        <v>101</v>
      </c>
      <c r="BR6" s="13">
        <v>2</v>
      </c>
      <c r="BS6" s="13">
        <v>0.1</v>
      </c>
      <c r="BT6" s="9" t="s">
        <v>84</v>
      </c>
      <c r="BU6" s="13">
        <v>1</v>
      </c>
      <c r="BV6" s="13">
        <v>0</v>
      </c>
      <c r="BW6" s="9" t="s">
        <v>85</v>
      </c>
      <c r="BX6" s="2">
        <v>1</v>
      </c>
      <c r="BY6" s="2">
        <v>0.05</v>
      </c>
      <c r="BZ6" s="9" t="s">
        <v>84</v>
      </c>
      <c r="CA6" s="2">
        <v>1</v>
      </c>
      <c r="CB6" s="2">
        <v>0.05</v>
      </c>
      <c r="CC6" s="9" t="s">
        <v>84</v>
      </c>
      <c r="CD6" s="2">
        <v>0.2</v>
      </c>
      <c r="CE6" s="2">
        <v>0.01</v>
      </c>
      <c r="CF6" s="9" t="s">
        <v>84</v>
      </c>
      <c r="CG6" s="19">
        <v>1.4541929E-2</v>
      </c>
      <c r="CH6" s="20">
        <v>4.3030209999999998E-3</v>
      </c>
      <c r="CI6" s="11" t="s">
        <v>102</v>
      </c>
      <c r="CJ6" s="11" t="s">
        <v>86</v>
      </c>
      <c r="CK6" s="13">
        <v>29</v>
      </c>
      <c r="CL6" s="21">
        <v>7.1428571428571429E-4</v>
      </c>
      <c r="CM6" s="13">
        <v>40</v>
      </c>
      <c r="CN6" s="13">
        <v>20</v>
      </c>
    </row>
    <row r="7" spans="1:92" s="2" customFormat="1" x14ac:dyDescent="0.2">
      <c r="AM7" s="14"/>
      <c r="AN7" s="14"/>
      <c r="AP7" s="14"/>
      <c r="AQ7" s="14"/>
      <c r="AS7" s="14"/>
      <c r="AT7" s="14"/>
      <c r="AV7" s="14"/>
      <c r="AW7" s="14"/>
      <c r="AY7" s="14"/>
      <c r="AZ7" s="14"/>
      <c r="BB7" s="14"/>
      <c r="BC7" s="14"/>
    </row>
    <row r="8" spans="1:92" s="2" customFormat="1" x14ac:dyDescent="0.2">
      <c r="AM8" s="14"/>
      <c r="AN8" s="14"/>
      <c r="AP8" s="14"/>
      <c r="AQ8" s="14"/>
      <c r="AS8" s="14"/>
      <c r="AT8" s="14"/>
      <c r="AV8" s="14"/>
      <c r="AW8" s="14"/>
      <c r="AY8" s="14"/>
      <c r="AZ8" s="14"/>
      <c r="BB8" s="14"/>
      <c r="BC8" s="14"/>
    </row>
    <row r="9" spans="1:92" s="2" customFormat="1" x14ac:dyDescent="0.2">
      <c r="AM9" s="14"/>
      <c r="AN9" s="14"/>
      <c r="AS9" s="14"/>
      <c r="AT9" s="14"/>
      <c r="AV9" s="14"/>
      <c r="AW9" s="14"/>
      <c r="AY9" s="14"/>
      <c r="AZ9" s="14"/>
      <c r="BB9" s="14"/>
      <c r="BC9" s="14"/>
    </row>
    <row r="10" spans="1:92" s="2" customFormat="1" x14ac:dyDescent="0.2"/>
    <row r="11" spans="1:92" s="2" customFormat="1" x14ac:dyDescent="0.2"/>
    <row r="12" spans="1:92" s="2" customFormat="1" x14ac:dyDescent="0.2"/>
    <row r="13" spans="1:92" s="2" customFormat="1" x14ac:dyDescent="0.2"/>
    <row r="14" spans="1:92" s="2" customFormat="1" x14ac:dyDescent="0.2"/>
    <row r="15" spans="1:92" s="2" customFormat="1" x14ac:dyDescent="0.2"/>
    <row r="16" spans="1:92" s="2" customFormat="1" x14ac:dyDescent="0.2"/>
    <row r="17" s="2" customFormat="1" x14ac:dyDescent="0.2"/>
    <row r="18" s="2" customFormat="1" x14ac:dyDescent="0.2"/>
    <row r="19" s="2" customFormat="1" x14ac:dyDescent="0.2"/>
    <row r="20" s="2" customFormat="1" x14ac:dyDescent="0.2"/>
    <row r="21" s="2" customFormat="1" x14ac:dyDescent="0.2"/>
    <row r="22" s="2" customFormat="1" x14ac:dyDescent="0.2"/>
    <row r="23" s="2" customFormat="1" x14ac:dyDescent="0.2"/>
    <row r="24" s="2" customFormat="1" x14ac:dyDescent="0.2"/>
    <row r="25" s="2" customFormat="1" x14ac:dyDescent="0.2"/>
    <row r="26" s="2" customFormat="1" x14ac:dyDescent="0.2"/>
    <row r="27" s="2" customFormat="1" x14ac:dyDescent="0.2"/>
    <row r="28" s="2" customFormat="1" x14ac:dyDescent="0.2"/>
    <row r="29" s="2" customFormat="1" x14ac:dyDescent="0.2"/>
    <row r="30" s="2" customFormat="1" x14ac:dyDescent="0.2"/>
    <row r="31" s="2" customFormat="1" x14ac:dyDescent="0.2"/>
    <row r="32" s="2" customFormat="1" x14ac:dyDescent="0.2"/>
    <row r="33" s="2" customFormat="1" x14ac:dyDescent="0.2"/>
    <row r="34" s="2" customFormat="1" x14ac:dyDescent="0.2"/>
    <row r="35" s="2" customFormat="1" x14ac:dyDescent="0.2"/>
    <row r="36" s="2" customFormat="1" x14ac:dyDescent="0.2"/>
    <row r="37" s="2" customFormat="1" x14ac:dyDescent="0.2"/>
    <row r="38" s="2" customFormat="1" x14ac:dyDescent="0.2"/>
    <row r="39" s="2" customFormat="1" x14ac:dyDescent="0.2"/>
    <row r="40" s="2" customFormat="1" x14ac:dyDescent="0.2"/>
    <row r="41" s="2" customFormat="1" x14ac:dyDescent="0.2"/>
    <row r="42" s="2" customFormat="1" x14ac:dyDescent="0.2"/>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D96BE-A21E-8D4E-83F6-34E2ABEEE6E2}">
  <dimension ref="A1:A4"/>
  <sheetViews>
    <sheetView workbookViewId="0">
      <selection sqref="A1:A4"/>
    </sheetView>
  </sheetViews>
  <sheetFormatPr baseColWidth="10" defaultRowHeight="16" x14ac:dyDescent="0.2"/>
  <sheetData>
    <row r="1" spans="1:1" x14ac:dyDescent="0.2">
      <c r="A1" s="24" t="s">
        <v>0</v>
      </c>
    </row>
    <row r="2" spans="1:1" ht="17" x14ac:dyDescent="0.2">
      <c r="A2" s="25" t="s">
        <v>1</v>
      </c>
    </row>
    <row r="3" spans="1:1" x14ac:dyDescent="0.2">
      <c r="A3" s="24" t="s">
        <v>2</v>
      </c>
    </row>
    <row r="4" spans="1:1" x14ac:dyDescent="0.2">
      <c r="A4" s="24"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leaf gas-exchange_Franks</vt:lpstr>
      <vt:lpstr>Input parameters and References</vt:lpstr>
    </vt:vector>
  </TitlesOfParts>
  <Company>Wesleyan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Royer, Dana</dc:creator>
  <cp:lastModifiedBy>Bärbel Hönisch</cp:lastModifiedBy>
  <dcterms:created xsi:type="dcterms:W3CDTF">2019-02-07T19:33:46Z</dcterms:created>
  <dcterms:modified xsi:type="dcterms:W3CDTF">2021-09-14T20:04:07Z</dcterms:modified>
</cp:coreProperties>
</file>