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4AE26455-8792-1F4F-B466-B6AEF5A3CF42}" xr6:coauthVersionLast="36" xr6:coauthVersionMax="36" xr10:uidLastSave="{00000000-0000-0000-0000-000000000000}"/>
  <bookViews>
    <workbookView xWindow="260" yWindow="460" windowWidth="25440" windowHeight="1606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J4" i="1" l="1"/>
  <c r="G4" i="1"/>
  <c r="I4" i="1" l="1"/>
  <c r="H4" i="1"/>
  <c r="F4" i="1"/>
  <c r="E4" i="1"/>
  <c r="D4" i="1"/>
</calcChain>
</file>

<file path=xl/sharedStrings.xml><?xml version="1.0" encoding="utf-8"?>
<sst xmlns="http://schemas.openxmlformats.org/spreadsheetml/2006/main" count="77" uniqueCount="74">
  <si>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</si>
  <si>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</si>
  <si>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</si>
  <si>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</si>
  <si>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</si>
  <si>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</si>
  <si>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</si>
  <si>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</si>
  <si>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</si>
  <si>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</si>
  <si>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</si>
  <si>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</si>
  <si>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</si>
  <si>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</si>
  <si>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</si>
  <si>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</si>
  <si>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</si>
  <si>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</si>
  <si>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</si>
  <si>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</si>
  <si>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</si>
  <si>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</si>
  <si>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</si>
  <si>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</si>
  <si>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</si>
  <si>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</si>
  <si>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</si>
  <si>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</si>
  <si>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</si>
  <si>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</si>
  <si>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</si>
  <si>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</si>
  <si>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</si>
  <si>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</si>
  <si>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GTS2012</t>
  </si>
  <si>
    <t>microscope</t>
  </si>
  <si>
    <t>Cupressaceae</t>
  </si>
  <si>
    <t>Metasequoia</t>
  </si>
  <si>
    <t>occidentalis</t>
  </si>
  <si>
    <t>95% confidence intervals</t>
  </si>
  <si>
    <t>Joseph N. Milligan</t>
  </si>
  <si>
    <t>10.1130/G36014.1</t>
  </si>
  <si>
    <t>Metasequoia occidentalis</t>
  </si>
  <si>
    <t>Wesleyan University</t>
  </si>
  <si>
    <t>Buchanan Lake Formation</t>
  </si>
  <si>
    <t>Napartulik fossil forest, Axel Heiberg Island, Canada: mean of 6 stratigraphic layers--"F", "E", "D", "C", "A", "B'"</t>
  </si>
  <si>
    <t>Uintan-Duchesnean NALMA</t>
  </si>
  <si>
    <t>5?</t>
  </si>
  <si>
    <t>449 x 334</t>
  </si>
  <si>
    <t>median</t>
  </si>
  <si>
    <t>Twice differentiated monotonic function based on the method of Beerling et al. (2009); calibration data are presented in Doria et al. (2011)</t>
  </si>
  <si>
    <t>Uncertainties following the resampling procedure in Beerling et al. (2009); considers both the regression and fossil variance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</si>
  <si>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</si>
  <si>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</si>
  <si>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</si>
  <si>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</si>
  <si>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</si>
  <si>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</si>
  <si>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Maxbauer</t>
  </si>
  <si>
    <t>layer C</t>
  </si>
  <si>
    <t>right skewed</t>
  </si>
  <si>
    <t>stomata-SI</t>
  </si>
  <si>
    <t>Maxbauer, D. P., Royer, D. L., and LePage, B. A., 2014, High Arctic forests during the middle Eocene supported by moderate levels of atmospheric CO2: Geology, v. 42, p. 1027-1030.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</si>
  <si>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</si>
  <si>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</si>
  <si>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</si>
  <si>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</si>
  <si>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</si>
  <si>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</si>
  <si>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</si>
  <si>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Joseph_Milligan@baylor.edu</t>
  </si>
  <si>
    <t>Reference of the data product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</si>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</sst>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3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17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Border="1" applyAlignment="1"/>
    <xf numFmtId="0" fontId="3" fillId="0" borderId="0" xfId="0" applyFont="1" applyBorder="1" applyAlignment="1"/>
    <xf numFmtId="0" fontId="2" fillId="3" borderId="0" xfId="0" applyFont="1" applyFill="1" applyAlignment="1">
      <alignment vertical="top" wrapText="1"/>
    </xf>
    <xf numFmtId="1" fontId="0" fillId="0" borderId="0" xfId="0" applyNumberFormat="1" applyBorder="1" applyAlignment="1"/>
    <xf numFmtId="0" fontId="6" fillId="3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X946"/>
  <sheetViews>
    <sheetView tabSelected="1" topLeftCell="T1" workbookViewId="0">
      <selection activeCell="AC3" sqref="AC3:AD4"/>
    </sheetView>
  </sheetViews>
  <sheetFormatPr baseColWidth="10" defaultColWidth="11" defaultRowHeight="16"/>
  <cols>
    <col min="21" max="21" width="12.1640625" customWidth="1"/>
    <col min="23" max="23" width="12.6640625" customWidth="1"/>
    <col min="24" max="24" width="12.1640625" customWidth="1"/>
    <col min="26" max="26" width="12.6640625" customWidth="1"/>
    <col min="31" max="31" width="12.1640625" customWidth="1"/>
    <col min="32" max="32" width="12.5" customWidth="1"/>
    <col min="38" max="38" width="13.6640625" customWidth="1"/>
    <col min="49" max="49" width="16.1640625" customWidth="1"/>
  </cols>
  <sheetData>
    <row r="3" spans="1:50" s="4" customFormat="1" ht="102">
      <c r="A3" s="10" t="s">
        <v>52</v>
      </c>
      <c r="B3" s="10" t="s">
        <v>53</v>
      </c>
      <c r="C3" s="10" t="s">
        <v>54</v>
      </c>
      <c r="D3" s="10" t="s">
        <v>2</v>
      </c>
      <c r="E3" s="10" t="s">
        <v>55</v>
      </c>
      <c r="F3" s="10" t="s">
        <v>56</v>
      </c>
      <c r="G3" s="10" t="s">
        <v>57</v>
      </c>
      <c r="H3" s="10" t="s">
        <v>63</v>
      </c>
      <c r="I3" s="10" t="s">
        <v>64</v>
      </c>
      <c r="J3" s="10" t="s">
        <v>66</v>
      </c>
      <c r="K3" s="2" t="s">
        <v>0</v>
      </c>
      <c r="L3" s="2" t="s">
        <v>69</v>
      </c>
      <c r="M3" s="2" t="s">
        <v>71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67</v>
      </c>
      <c r="AB3" s="2" t="s">
        <v>68</v>
      </c>
      <c r="AC3" s="12" t="s">
        <v>72</v>
      </c>
      <c r="AD3" s="12" t="s">
        <v>73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>
      <c r="A4" s="8" t="s">
        <v>61</v>
      </c>
      <c r="B4" s="8" t="s">
        <v>58</v>
      </c>
      <c r="C4" s="8">
        <v>2014</v>
      </c>
      <c r="D4" s="8" t="str">
        <f>N4</f>
        <v>10.1130/G36014.1</v>
      </c>
      <c r="E4" s="8">
        <f>V4*1000</f>
        <v>42900</v>
      </c>
      <c r="F4" s="8">
        <f>(W4-V4)*1000</f>
        <v>5000</v>
      </c>
      <c r="G4" s="8">
        <f>(V4-X4)*1000</f>
        <v>5100.0000000000018</v>
      </c>
      <c r="H4" s="11">
        <f>AR4</f>
        <v>471</v>
      </c>
      <c r="I4" s="11">
        <f>AU4-AR4</f>
        <v>730</v>
      </c>
      <c r="J4" s="11">
        <f>AR4-AT4</f>
        <v>152</v>
      </c>
      <c r="K4" s="5" t="s">
        <v>40</v>
      </c>
      <c r="L4" s="6" t="s">
        <v>70</v>
      </c>
      <c r="M4" s="9" t="s">
        <v>62</v>
      </c>
      <c r="N4" s="9" t="s">
        <v>41</v>
      </c>
      <c r="O4" s="8" t="s">
        <v>59</v>
      </c>
      <c r="P4" s="5" t="s">
        <v>36</v>
      </c>
      <c r="Q4" s="5" t="s">
        <v>37</v>
      </c>
      <c r="R4" s="5" t="s">
        <v>38</v>
      </c>
      <c r="S4" s="5" t="s">
        <v>43</v>
      </c>
      <c r="T4" s="5" t="s">
        <v>44</v>
      </c>
      <c r="U4" s="5" t="s">
        <v>45</v>
      </c>
      <c r="V4" s="7">
        <v>42.9</v>
      </c>
      <c r="W4" s="7">
        <v>47.9</v>
      </c>
      <c r="X4" s="7">
        <v>37.799999999999997</v>
      </c>
      <c r="Y4" s="5" t="s">
        <v>34</v>
      </c>
      <c r="Z4" s="5" t="s">
        <v>46</v>
      </c>
      <c r="AA4" s="7">
        <v>79.92</v>
      </c>
      <c r="AB4" s="7">
        <v>-89.03</v>
      </c>
      <c r="AC4" s="9" t="s">
        <v>65</v>
      </c>
      <c r="AD4" s="9" t="s">
        <v>65</v>
      </c>
      <c r="AE4" s="7">
        <v>3</v>
      </c>
      <c r="AF4" s="7" t="s">
        <v>47</v>
      </c>
      <c r="AG4" s="5" t="s">
        <v>35</v>
      </c>
      <c r="AH4" s="5" t="s">
        <v>48</v>
      </c>
      <c r="AI4" s="5">
        <v>15.8</v>
      </c>
      <c r="AJ4" s="5">
        <v>140.19999999999999</v>
      </c>
      <c r="AK4" s="5">
        <v>51</v>
      </c>
      <c r="AL4" s="7">
        <v>8.48</v>
      </c>
      <c r="AM4" s="5">
        <v>3.2</v>
      </c>
      <c r="AN4" s="7">
        <v>0.54</v>
      </c>
      <c r="AO4" s="5" t="s">
        <v>42</v>
      </c>
      <c r="AP4" s="5" t="s">
        <v>50</v>
      </c>
      <c r="AQ4" s="5" t="s">
        <v>51</v>
      </c>
      <c r="AR4" s="7">
        <v>471</v>
      </c>
      <c r="AS4" s="5" t="s">
        <v>49</v>
      </c>
      <c r="AT4" s="7">
        <v>319</v>
      </c>
      <c r="AU4" s="7">
        <v>1201</v>
      </c>
      <c r="AV4" s="5" t="s">
        <v>39</v>
      </c>
      <c r="AW4" s="5" t="s">
        <v>60</v>
      </c>
      <c r="AX4" s="5" t="s">
        <v>65</v>
      </c>
    </row>
    <row r="5" spans="1:50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8"/>
      <c r="AD5" s="8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50"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50"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8"/>
      <c r="AD8" s="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0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8"/>
      <c r="AD9" s="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8"/>
      <c r="AD10" s="8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8"/>
      <c r="AD11" s="8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8"/>
      <c r="AD12" s="8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8"/>
      <c r="AD13" s="8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8"/>
      <c r="AD14" s="8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8"/>
      <c r="AD15" s="8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8"/>
      <c r="AD16" s="8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8"/>
      <c r="AD17" s="8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8"/>
      <c r="AD18" s="8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8"/>
      <c r="AD19" s="8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8"/>
      <c r="AD20" s="8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8"/>
      <c r="AD21" s="8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8"/>
      <c r="AD22" s="8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8"/>
      <c r="AD23" s="8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8"/>
      <c r="AD24" s="8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8"/>
      <c r="AD25" s="8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8"/>
      <c r="AD26" s="8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8"/>
      <c r="AD27" s="8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8"/>
      <c r="AD28" s="8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8"/>
      <c r="AD29" s="8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"/>
      <c r="AD30" s="8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8"/>
      <c r="AD31" s="8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"/>
      <c r="AD32" s="8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8"/>
      <c r="AD33" s="8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8"/>
      <c r="AD34" s="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8"/>
      <c r="AD35" s="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8"/>
      <c r="AD36" s="8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8"/>
      <c r="AD37" s="8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8"/>
      <c r="AD38" s="8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8"/>
      <c r="AD39" s="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8"/>
      <c r="AD40" s="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8"/>
      <c r="AD41" s="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8"/>
      <c r="AD42" s="8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8"/>
      <c r="AD43" s="8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8"/>
      <c r="AD44" s="8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8"/>
      <c r="AD45" s="8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8"/>
      <c r="AD46" s="8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"/>
      <c r="AD47" s="8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8"/>
      <c r="AD48" s="8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8"/>
      <c r="AD49" s="8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8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8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8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8"/>
      <c r="AD53" s="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8"/>
      <c r="AD54" s="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8"/>
      <c r="AD55" s="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8"/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8"/>
      <c r="AD57" s="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8"/>
      <c r="AD58" s="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8"/>
      <c r="AD59" s="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8"/>
      <c r="AD60" s="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8"/>
      <c r="AD61" s="8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8"/>
      <c r="AD62" s="8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8"/>
      <c r="AD63" s="8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8"/>
      <c r="AD64" s="8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8"/>
      <c r="AD65" s="8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"/>
      <c r="AD66" s="8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8"/>
      <c r="AD67" s="8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"/>
      <c r="AD68" s="8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8"/>
      <c r="AD69" s="8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8"/>
      <c r="AD70" s="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8"/>
      <c r="AD71" s="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8"/>
      <c r="AD72" s="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8"/>
      <c r="AD73" s="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8"/>
      <c r="AD74" s="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8"/>
      <c r="AD75" s="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8"/>
      <c r="AD76" s="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8"/>
      <c r="AD77" s="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8"/>
      <c r="AD78" s="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8"/>
      <c r="AD79" s="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8"/>
      <c r="AD80" s="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8"/>
      <c r="AD81" s="8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8"/>
      <c r="AD82" s="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8"/>
      <c r="AD83" s="8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8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8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8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8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8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8"/>
      <c r="AD89" s="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8"/>
      <c r="AD90" s="8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8"/>
      <c r="AD91" s="8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8"/>
      <c r="AD92" s="8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8"/>
      <c r="AD93" s="8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8"/>
      <c r="AD94" s="8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8"/>
      <c r="AD95" s="8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8"/>
      <c r="AD96" s="8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8"/>
      <c r="AD97" s="8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8"/>
      <c r="AD98" s="8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8"/>
      <c r="AD99" s="8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8"/>
      <c r="AD100" s="8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8"/>
      <c r="AD101" s="8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8"/>
      <c r="AD102" s="8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8"/>
      <c r="AD103" s="8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8"/>
      <c r="AD104" s="8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8"/>
      <c r="AD105" s="8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8"/>
      <c r="AD106" s="8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8"/>
      <c r="AD107" s="8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8"/>
      <c r="AD108" s="8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8"/>
      <c r="AD109" s="8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8"/>
      <c r="AD110" s="8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8"/>
      <c r="AD111" s="8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8"/>
      <c r="AD112" s="8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8"/>
      <c r="AD113" s="8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8"/>
      <c r="AD114" s="8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8"/>
      <c r="AD115" s="8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8"/>
      <c r="AD116" s="8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8"/>
      <c r="AD117" s="8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8"/>
      <c r="AD118" s="8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8"/>
      <c r="AD119" s="8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8"/>
      <c r="AD120" s="8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8"/>
      <c r="AD121" s="8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8"/>
      <c r="AD122" s="8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8"/>
      <c r="AD123" s="8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8"/>
      <c r="AD124" s="8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8"/>
      <c r="AD125" s="8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8"/>
      <c r="AD126" s="8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8"/>
      <c r="AD127" s="8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"/>
      <c r="AD128" s="8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8"/>
      <c r="AD129" s="8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8"/>
      <c r="AD130" s="8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8"/>
      <c r="AD131" s="8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8"/>
      <c r="AD132" s="8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8"/>
      <c r="AD133" s="8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8"/>
      <c r="AD134" s="8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8"/>
      <c r="AD135" s="8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8"/>
      <c r="AD136" s="8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8"/>
      <c r="AD137" s="8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8"/>
      <c r="AD138" s="8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8"/>
      <c r="AD139" s="8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8"/>
      <c r="AD140" s="8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8"/>
      <c r="AD141" s="8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8"/>
      <c r="AD142" s="8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8"/>
      <c r="AD143" s="8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8"/>
      <c r="AD144" s="8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8"/>
      <c r="AD145" s="8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8"/>
      <c r="AD146" s="8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8"/>
      <c r="AD147" s="8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8"/>
      <c r="AD148" s="8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8"/>
      <c r="AD149" s="8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8"/>
      <c r="AD150" s="8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8"/>
      <c r="AD151" s="8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8"/>
      <c r="AD152" s="8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8"/>
      <c r="AD153" s="8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8"/>
      <c r="AD154" s="8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8"/>
      <c r="AD155" s="8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8"/>
      <c r="AD156" s="8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8"/>
      <c r="AD157" s="8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8"/>
      <c r="AD158" s="8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8"/>
      <c r="AD159" s="8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8"/>
      <c r="AD160" s="8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8"/>
      <c r="AD161" s="8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8"/>
      <c r="AD162" s="8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8"/>
      <c r="AD163" s="8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8"/>
      <c r="AD164" s="8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8"/>
      <c r="AD165" s="8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8"/>
      <c r="AD166" s="8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8"/>
      <c r="AD167" s="8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8"/>
      <c r="AD168" s="8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8"/>
      <c r="AD169" s="8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8"/>
      <c r="AD170" s="8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8"/>
      <c r="AD171" s="8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8"/>
      <c r="AD172" s="8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8"/>
      <c r="AD173" s="8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8"/>
      <c r="AD174" s="8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8"/>
      <c r="AD175" s="8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8"/>
      <c r="AD176" s="8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8"/>
      <c r="AD177" s="8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8"/>
      <c r="AD178" s="8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8"/>
      <c r="AD179" s="8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8"/>
      <c r="AD180" s="8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8"/>
      <c r="AD181" s="8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8"/>
      <c r="AD182" s="8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8"/>
      <c r="AD183" s="8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8"/>
      <c r="AD184" s="8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8"/>
      <c r="AD185" s="8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8"/>
      <c r="AD186" s="8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8"/>
      <c r="AD187" s="8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8"/>
      <c r="AD188" s="8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8"/>
      <c r="AD189" s="8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8"/>
      <c r="AD190" s="8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8"/>
      <c r="AD191" s="8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8"/>
      <c r="AD192" s="8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8"/>
      <c r="AD193" s="8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8"/>
      <c r="AD194" s="8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8"/>
      <c r="AD195" s="8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8"/>
      <c r="AD196" s="8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8"/>
      <c r="AD197" s="8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8"/>
      <c r="AD198" s="8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8"/>
      <c r="AD199" s="8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8"/>
      <c r="AD200" s="8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8"/>
      <c r="AD201" s="8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8"/>
      <c r="AD202" s="8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8"/>
      <c r="AD203" s="8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8"/>
      <c r="AD204" s="8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8"/>
      <c r="AD205" s="8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8"/>
      <c r="AD206" s="8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8"/>
      <c r="AD207" s="8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8"/>
      <c r="AD208" s="8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8"/>
      <c r="AD209" s="8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8"/>
      <c r="AD210" s="8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8"/>
      <c r="AD211" s="8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8"/>
      <c r="AD212" s="8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8"/>
      <c r="AD213" s="8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8"/>
      <c r="AD214" s="8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8"/>
      <c r="AD215" s="8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8"/>
      <c r="AD216" s="8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8"/>
      <c r="AD217" s="8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8"/>
      <c r="AD218" s="8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8"/>
      <c r="AD219" s="8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8"/>
      <c r="AD220" s="8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8"/>
      <c r="AD221" s="8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8"/>
      <c r="AD222" s="8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8"/>
      <c r="AD223" s="8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8"/>
      <c r="AD224" s="8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8"/>
      <c r="AD225" s="8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8"/>
      <c r="AD226" s="8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8"/>
      <c r="AD227" s="8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8"/>
      <c r="AD228" s="8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8"/>
      <c r="AD229" s="8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8"/>
      <c r="AD230" s="8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8"/>
      <c r="AD231" s="8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8"/>
      <c r="AD232" s="8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8"/>
      <c r="AD233" s="8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8"/>
      <c r="AD234" s="8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8"/>
      <c r="AD235" s="8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8"/>
      <c r="AD236" s="8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8"/>
      <c r="AD237" s="8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8"/>
      <c r="AD238" s="8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8"/>
      <c r="AD239" s="8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8"/>
      <c r="AD240" s="8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8"/>
      <c r="AD241" s="8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8"/>
      <c r="AD242" s="8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8"/>
      <c r="AD243" s="8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8"/>
      <c r="AD244" s="8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8"/>
      <c r="AD245" s="8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8"/>
      <c r="AD246" s="8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8"/>
      <c r="AD247" s="8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8"/>
      <c r="AD248" s="8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8"/>
      <c r="AD249" s="8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8"/>
      <c r="AD250" s="8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8"/>
      <c r="AD251" s="8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8"/>
      <c r="AD252" s="8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8"/>
      <c r="AD253" s="8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8"/>
      <c r="AD254" s="8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8"/>
      <c r="AD255" s="8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8"/>
      <c r="AD256" s="8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8"/>
      <c r="AD257" s="8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8"/>
      <c r="AD258" s="8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8"/>
      <c r="AD259" s="8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8"/>
      <c r="AD260" s="8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8"/>
      <c r="AD261" s="8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8"/>
      <c r="AD262" s="8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8"/>
      <c r="AD263" s="8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8"/>
      <c r="AD264" s="8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8"/>
      <c r="AD265" s="8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8"/>
      <c r="AD266" s="8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8"/>
      <c r="AD267" s="8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8"/>
      <c r="AD268" s="8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8"/>
      <c r="AD269" s="8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8"/>
      <c r="AD270" s="8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8"/>
      <c r="AD271" s="8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8"/>
      <c r="AD272" s="8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8"/>
      <c r="AD273" s="8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8"/>
      <c r="AD274" s="8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8"/>
      <c r="AD275" s="8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8"/>
      <c r="AD276" s="8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8"/>
      <c r="AD277" s="8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8"/>
      <c r="AD278" s="8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8"/>
      <c r="AD279" s="8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8"/>
      <c r="AD280" s="8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8"/>
      <c r="AD281" s="8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8"/>
      <c r="AD282" s="8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8"/>
      <c r="AD283" s="8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8"/>
      <c r="AD284" s="8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8"/>
      <c r="AD285" s="8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8"/>
      <c r="AD286" s="8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8"/>
      <c r="AD287" s="8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8"/>
      <c r="AD288" s="8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8"/>
      <c r="AD289" s="8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8"/>
      <c r="AD290" s="8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8"/>
      <c r="AD291" s="8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8"/>
      <c r="AD292" s="8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8"/>
      <c r="AD293" s="8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8"/>
      <c r="AD294" s="8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8"/>
      <c r="AD295" s="8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8"/>
      <c r="AD296" s="8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8"/>
      <c r="AD297" s="8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8"/>
      <c r="AD298" s="8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8"/>
      <c r="AD299" s="8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8"/>
      <c r="AD300" s="8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8"/>
      <c r="AD301" s="8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8"/>
      <c r="AD302" s="8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8"/>
      <c r="AD303" s="8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8"/>
      <c r="AD304" s="8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8"/>
      <c r="AD305" s="8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8"/>
      <c r="AD306" s="8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8"/>
      <c r="AD307" s="8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8"/>
      <c r="AD308" s="8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8"/>
      <c r="AD309" s="8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8"/>
      <c r="AD310" s="8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8"/>
      <c r="AD311" s="8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8"/>
      <c r="AD312" s="8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8"/>
      <c r="AD313" s="8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8"/>
      <c r="AD314" s="8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8"/>
      <c r="AD315" s="8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8"/>
      <c r="AD316" s="8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8"/>
      <c r="AD317" s="8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8"/>
      <c r="AD318" s="8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8"/>
      <c r="AD319" s="8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8"/>
      <c r="AD320" s="8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8"/>
      <c r="AD321" s="8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8"/>
      <c r="AD322" s="8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8"/>
      <c r="AD323" s="8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8"/>
      <c r="AD324" s="8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8"/>
      <c r="AD325" s="8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8"/>
      <c r="AD326" s="8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8"/>
      <c r="AD327" s="8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8"/>
      <c r="AD328" s="8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8"/>
      <c r="AD329" s="8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8"/>
      <c r="AD330" s="8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8"/>
      <c r="AD331" s="8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8"/>
      <c r="AD332" s="8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8"/>
      <c r="AD333" s="8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8"/>
      <c r="AD334" s="8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8"/>
      <c r="AD335" s="8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8"/>
      <c r="AD336" s="8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8"/>
      <c r="AD337" s="8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8"/>
      <c r="AD338" s="8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8"/>
      <c r="AD339" s="8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8"/>
      <c r="AD340" s="8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8"/>
      <c r="AD341" s="8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8"/>
      <c r="AD342" s="8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8"/>
      <c r="AD343" s="8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8"/>
      <c r="AD344" s="8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8"/>
      <c r="AD345" s="8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8"/>
      <c r="AD346" s="8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8"/>
      <c r="AD347" s="8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8"/>
      <c r="AD348" s="8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8"/>
      <c r="AD349" s="8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8"/>
      <c r="AD350" s="8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8"/>
      <c r="AD351" s="8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8"/>
      <c r="AD352" s="8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8"/>
      <c r="AD353" s="8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8"/>
      <c r="AD354" s="8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8"/>
      <c r="AD355" s="8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8"/>
      <c r="AD356" s="8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8"/>
      <c r="AD357" s="8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8"/>
      <c r="AD358" s="8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8"/>
      <c r="AD359" s="8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8"/>
      <c r="AD360" s="8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8"/>
      <c r="AD361" s="8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8"/>
      <c r="AD362" s="8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8"/>
      <c r="AD363" s="8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8"/>
      <c r="AD364" s="8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8"/>
      <c r="AD365" s="8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8"/>
      <c r="AD366" s="8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8"/>
      <c r="AD367" s="8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8"/>
      <c r="AD368" s="8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8"/>
      <c r="AD369" s="8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8"/>
      <c r="AD370" s="8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8"/>
      <c r="AD371" s="8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8"/>
      <c r="AD372" s="8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8"/>
      <c r="AD373" s="8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8"/>
      <c r="AD374" s="8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8"/>
      <c r="AD375" s="8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8"/>
      <c r="AD376" s="8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8"/>
      <c r="AD377" s="8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8"/>
      <c r="AD378" s="8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8"/>
      <c r="AD379" s="8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8"/>
      <c r="AD380" s="8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8"/>
      <c r="AD381" s="8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8"/>
      <c r="AD382" s="8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8"/>
      <c r="AD383" s="8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8"/>
      <c r="AD384" s="8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8"/>
      <c r="AD385" s="8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8"/>
      <c r="AD386" s="8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8"/>
      <c r="AD387" s="8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8"/>
      <c r="AD388" s="8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8"/>
      <c r="AD389" s="8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8"/>
      <c r="AD390" s="8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8"/>
      <c r="AD391" s="8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8"/>
      <c r="AD392" s="8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8"/>
      <c r="AD393" s="8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8"/>
      <c r="AD394" s="8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8"/>
      <c r="AD395" s="8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8"/>
      <c r="AD396" s="8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8"/>
      <c r="AD397" s="8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8"/>
      <c r="AD398" s="8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8"/>
      <c r="AD399" s="8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8"/>
      <c r="AD400" s="8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8"/>
      <c r="AD401" s="8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8"/>
      <c r="AD402" s="8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8"/>
      <c r="AD403" s="8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8"/>
      <c r="AD404" s="8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8"/>
      <c r="AD405" s="8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8"/>
      <c r="AD406" s="8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8"/>
      <c r="AD407" s="8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8"/>
      <c r="AD408" s="8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8"/>
      <c r="AD409" s="8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8"/>
      <c r="AD410" s="8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8"/>
      <c r="AD411" s="8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8"/>
      <c r="AD412" s="8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8"/>
      <c r="AD413" s="8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8"/>
      <c r="AD414" s="8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8"/>
      <c r="AD415" s="8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8"/>
      <c r="AD416" s="8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8"/>
      <c r="AD417" s="8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8"/>
      <c r="AD418" s="8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8"/>
      <c r="AD419" s="8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8"/>
      <c r="AD420" s="8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8"/>
      <c r="AD421" s="8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8"/>
      <c r="AD422" s="8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8"/>
      <c r="AD423" s="8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8"/>
      <c r="AD424" s="8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8"/>
      <c r="AD425" s="8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8"/>
      <c r="AD426" s="8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8"/>
      <c r="AD427" s="8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8"/>
      <c r="AD428" s="8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8"/>
      <c r="AD429" s="8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8"/>
      <c r="AD430" s="8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8"/>
      <c r="AD431" s="8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8"/>
      <c r="AD432" s="8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8"/>
      <c r="AD433" s="8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8"/>
      <c r="AD434" s="8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8"/>
      <c r="AD435" s="8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8"/>
      <c r="AD436" s="8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8"/>
      <c r="AD437" s="8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8"/>
      <c r="AD438" s="8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8"/>
      <c r="AD439" s="8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8"/>
      <c r="AD440" s="8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8"/>
      <c r="AD441" s="8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8"/>
      <c r="AD442" s="8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8"/>
      <c r="AD443" s="8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8"/>
      <c r="AD444" s="8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8"/>
      <c r="AD445" s="8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8"/>
      <c r="AD446" s="8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8"/>
      <c r="AD447" s="8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8"/>
      <c r="AD448" s="8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8"/>
      <c r="AD449" s="8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8"/>
      <c r="AD450" s="8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8"/>
      <c r="AD451" s="8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8"/>
      <c r="AD452" s="8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8"/>
      <c r="AD453" s="8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8"/>
      <c r="AD454" s="8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8"/>
      <c r="AD455" s="8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8"/>
      <c r="AD456" s="8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8"/>
      <c r="AD457" s="8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8"/>
      <c r="AD458" s="8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8"/>
      <c r="AD459" s="8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8"/>
      <c r="AD460" s="8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8"/>
      <c r="AD461" s="8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8"/>
      <c r="AD462" s="8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8"/>
      <c r="AD463" s="8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8"/>
      <c r="AD464" s="8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8"/>
      <c r="AD465" s="8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8"/>
      <c r="AD466" s="8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8"/>
      <c r="AD467" s="8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8"/>
      <c r="AD468" s="8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8"/>
      <c r="AD469" s="8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8"/>
      <c r="AD470" s="8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8"/>
      <c r="AD471" s="8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8"/>
      <c r="AD472" s="8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8"/>
      <c r="AD473" s="8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8"/>
      <c r="AD474" s="8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8"/>
      <c r="AD475" s="8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8"/>
      <c r="AD476" s="8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8"/>
      <c r="AD477" s="8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8"/>
      <c r="AD478" s="8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8"/>
      <c r="AD479" s="8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8"/>
      <c r="AD480" s="8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8"/>
      <c r="AD481" s="8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8"/>
      <c r="AD482" s="8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8"/>
      <c r="AD483" s="8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8"/>
      <c r="AD484" s="8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8"/>
      <c r="AD485" s="8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8"/>
      <c r="AD486" s="8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8"/>
      <c r="AD487" s="8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8"/>
      <c r="AD488" s="8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8"/>
      <c r="AD489" s="8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8"/>
      <c r="AD490" s="8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8"/>
      <c r="AD491" s="8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8"/>
      <c r="AD492" s="8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8"/>
      <c r="AD493" s="8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8"/>
      <c r="AD494" s="8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8"/>
      <c r="AD495" s="8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8"/>
      <c r="AD496" s="8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8"/>
      <c r="AD497" s="8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8"/>
      <c r="AD498" s="8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8"/>
      <c r="AD499" s="8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8"/>
      <c r="AD500" s="8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8"/>
      <c r="AD501" s="8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8"/>
      <c r="AD502" s="8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8"/>
      <c r="AD503" s="8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8"/>
      <c r="AD504" s="8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8"/>
      <c r="AD505" s="8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8"/>
      <c r="AD506" s="8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8"/>
      <c r="AD507" s="8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8"/>
      <c r="AD508" s="8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8"/>
      <c r="AD509" s="8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8"/>
      <c r="AD510" s="8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8"/>
      <c r="AD511" s="8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8"/>
      <c r="AD512" s="8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8"/>
      <c r="AD513" s="8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8"/>
      <c r="AD514" s="8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8"/>
      <c r="AD515" s="8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8"/>
      <c r="AD516" s="8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8"/>
      <c r="AD517" s="8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8"/>
      <c r="AD518" s="8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8"/>
      <c r="AD519" s="8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8"/>
      <c r="AD520" s="8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8"/>
      <c r="AD521" s="8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8"/>
      <c r="AD522" s="8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8"/>
      <c r="AD523" s="8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8"/>
      <c r="AD524" s="8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8"/>
      <c r="AD525" s="8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8"/>
      <c r="AD526" s="8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8"/>
      <c r="AD527" s="8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8"/>
      <c r="AD528" s="8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8"/>
      <c r="AD529" s="8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8"/>
      <c r="AD530" s="8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8"/>
      <c r="AD531" s="8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8"/>
      <c r="AD532" s="8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8"/>
      <c r="AD533" s="8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8"/>
      <c r="AD534" s="8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8"/>
      <c r="AD535" s="8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8"/>
      <c r="AD536" s="8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8"/>
      <c r="AD537" s="8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8"/>
      <c r="AD538" s="8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8"/>
      <c r="AD539" s="8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8"/>
      <c r="AD540" s="8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8"/>
      <c r="AD541" s="8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8"/>
      <c r="AD542" s="8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8"/>
      <c r="AD543" s="8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8"/>
      <c r="AD544" s="8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8"/>
      <c r="AD545" s="8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8"/>
      <c r="AD546" s="8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8"/>
      <c r="AD547" s="8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8"/>
      <c r="AD548" s="8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8"/>
      <c r="AD549" s="8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8"/>
      <c r="AD550" s="8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8"/>
      <c r="AD551" s="8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8"/>
      <c r="AD552" s="8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8"/>
      <c r="AD553" s="8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8"/>
      <c r="AD554" s="8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8"/>
      <c r="AD555" s="8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8"/>
      <c r="AD556" s="8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8"/>
      <c r="AD557" s="8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8"/>
      <c r="AD558" s="8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8"/>
      <c r="AD559" s="8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8"/>
      <c r="AD560" s="8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8"/>
      <c r="AD561" s="8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8"/>
      <c r="AD562" s="8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8"/>
      <c r="AD563" s="8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8"/>
      <c r="AD564" s="8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8"/>
      <c r="AD565" s="8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8"/>
      <c r="AD566" s="8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8"/>
      <c r="AD567" s="8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8"/>
      <c r="AD568" s="8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8"/>
      <c r="AD569" s="8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8"/>
      <c r="AD570" s="8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8"/>
      <c r="AD571" s="8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8"/>
      <c r="AD572" s="8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8"/>
      <c r="AD573" s="8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8"/>
      <c r="AD574" s="8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8"/>
      <c r="AD575" s="8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8"/>
      <c r="AD576" s="8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8"/>
      <c r="AD577" s="8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8"/>
      <c r="AD578" s="8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8"/>
      <c r="AD579" s="8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8"/>
      <c r="AD580" s="8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8"/>
      <c r="AD581" s="8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8"/>
      <c r="AD582" s="8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8"/>
      <c r="AD583" s="8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8"/>
      <c r="AD584" s="8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8"/>
      <c r="AD585" s="8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8"/>
      <c r="AD586" s="8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8"/>
      <c r="AD587" s="8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8"/>
      <c r="AD588" s="8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8"/>
      <c r="AD589" s="8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8"/>
      <c r="AD590" s="8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8"/>
      <c r="AD591" s="8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8"/>
      <c r="AD592" s="8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8"/>
      <c r="AD593" s="8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8"/>
      <c r="AD594" s="8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8"/>
      <c r="AD595" s="8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8"/>
      <c r="AD596" s="8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8"/>
      <c r="AD597" s="8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8"/>
      <c r="AD598" s="8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8"/>
      <c r="AD599" s="8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8"/>
      <c r="AD600" s="8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8"/>
      <c r="AD601" s="8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8"/>
      <c r="AD602" s="8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8"/>
      <c r="AD603" s="8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8"/>
      <c r="AD604" s="8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8"/>
      <c r="AD605" s="8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8"/>
      <c r="AD606" s="8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8"/>
      <c r="AD607" s="8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8"/>
      <c r="AD608" s="8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8"/>
      <c r="AD609" s="8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8"/>
      <c r="AD610" s="8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8"/>
      <c r="AD611" s="8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8"/>
      <c r="AD612" s="8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8"/>
      <c r="AD613" s="8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8"/>
      <c r="AD614" s="8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8"/>
      <c r="AD615" s="8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8"/>
      <c r="AD616" s="8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8"/>
      <c r="AD617" s="8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8"/>
      <c r="AD618" s="8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8"/>
      <c r="AD619" s="8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8"/>
      <c r="AD620" s="8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8"/>
      <c r="AD621" s="8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8"/>
      <c r="AD622" s="8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8"/>
      <c r="AD623" s="8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8"/>
      <c r="AD624" s="8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8"/>
      <c r="AD625" s="8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8"/>
      <c r="AD626" s="8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8"/>
      <c r="AD627" s="8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8"/>
      <c r="AD628" s="8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8"/>
      <c r="AD629" s="8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8"/>
      <c r="AD630" s="8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8"/>
      <c r="AD631" s="8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8"/>
      <c r="AD632" s="8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8"/>
      <c r="AD633" s="8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8"/>
      <c r="AD634" s="8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8"/>
      <c r="AD635" s="8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8"/>
      <c r="AD636" s="8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8"/>
      <c r="AD637" s="8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8"/>
      <c r="AD638" s="8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8"/>
      <c r="AD639" s="8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8"/>
      <c r="AD640" s="8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8"/>
      <c r="AD641" s="8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8"/>
      <c r="AD642" s="8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8"/>
      <c r="AD643" s="8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8"/>
      <c r="AD644" s="8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8"/>
      <c r="AD645" s="8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8"/>
      <c r="AD646" s="8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8"/>
      <c r="AD647" s="8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8"/>
      <c r="AD648" s="8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8"/>
      <c r="AD649" s="8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8"/>
      <c r="AD650" s="8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8"/>
      <c r="AD651" s="8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8"/>
      <c r="AD652" s="8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8"/>
      <c r="AD653" s="8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8"/>
      <c r="AD654" s="8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8"/>
      <c r="AD655" s="8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8"/>
      <c r="AD656" s="8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8"/>
      <c r="AD657" s="8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8"/>
      <c r="AD658" s="8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8"/>
      <c r="AD659" s="8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8"/>
      <c r="AD660" s="8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8"/>
      <c r="AD661" s="8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8"/>
      <c r="AD662" s="8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8"/>
      <c r="AD663" s="8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8"/>
      <c r="AD664" s="8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8"/>
      <c r="AD665" s="8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8"/>
      <c r="AD666" s="8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8"/>
      <c r="AD667" s="8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8"/>
      <c r="AD668" s="8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8"/>
      <c r="AD669" s="8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8"/>
      <c r="AD670" s="8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8"/>
      <c r="AD671" s="8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8"/>
      <c r="AD672" s="8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8"/>
      <c r="AD673" s="8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8"/>
      <c r="AD674" s="8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8"/>
      <c r="AD675" s="8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8"/>
      <c r="AD676" s="8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8"/>
      <c r="AD677" s="8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8"/>
      <c r="AD678" s="8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8"/>
      <c r="AD679" s="8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8"/>
      <c r="AD680" s="8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8"/>
      <c r="AD681" s="8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8"/>
      <c r="AD682" s="8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8"/>
      <c r="AD683" s="8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8"/>
      <c r="AD684" s="8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8"/>
      <c r="AD685" s="8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8"/>
      <c r="AD686" s="8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8"/>
      <c r="AD687" s="8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8"/>
      <c r="AD688" s="8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8"/>
      <c r="AD689" s="8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8"/>
      <c r="AD690" s="8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8"/>
      <c r="AD691" s="8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8"/>
      <c r="AD692" s="8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8"/>
      <c r="AD693" s="8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8"/>
      <c r="AD694" s="8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8"/>
      <c r="AD695" s="8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8"/>
      <c r="AD696" s="8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8"/>
      <c r="AD697" s="8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8"/>
      <c r="AD698" s="8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8"/>
      <c r="AD699" s="8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8"/>
      <c r="AD700" s="8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8"/>
      <c r="AD701" s="8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8"/>
      <c r="AD702" s="8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8"/>
      <c r="AD703" s="8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8"/>
      <c r="AD704" s="8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8"/>
      <c r="AD705" s="8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8"/>
      <c r="AD706" s="8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8"/>
      <c r="AD707" s="8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8"/>
      <c r="AD708" s="8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8"/>
      <c r="AD709" s="8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8"/>
      <c r="AD710" s="8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8"/>
      <c r="AD711" s="8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8"/>
      <c r="AD712" s="8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8"/>
      <c r="AD713" s="8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8"/>
      <c r="AD714" s="8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8"/>
      <c r="AD715" s="8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8"/>
      <c r="AD716" s="8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8"/>
      <c r="AD717" s="8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8"/>
      <c r="AD718" s="8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8"/>
      <c r="AD719" s="8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8"/>
      <c r="AD720" s="8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8"/>
      <c r="AD721" s="8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8"/>
      <c r="AD722" s="8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8"/>
      <c r="AD723" s="8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8"/>
      <c r="AD724" s="8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8"/>
      <c r="AD725" s="8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8"/>
      <c r="AD726" s="8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8"/>
      <c r="AD727" s="8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8"/>
      <c r="AD728" s="8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8"/>
      <c r="AD729" s="8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8"/>
      <c r="AD730" s="8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8"/>
      <c r="AD731" s="8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8"/>
      <c r="AD732" s="8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8"/>
      <c r="AD733" s="8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8"/>
      <c r="AD734" s="8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8"/>
      <c r="AD735" s="8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8"/>
      <c r="AD736" s="8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8"/>
      <c r="AD737" s="8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8"/>
      <c r="AD738" s="8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8"/>
      <c r="AD739" s="8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8"/>
      <c r="AD740" s="8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8"/>
      <c r="AD741" s="8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8"/>
      <c r="AD742" s="8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8"/>
      <c r="AD743" s="8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8"/>
      <c r="AD744" s="8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8"/>
      <c r="AD745" s="8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8"/>
      <c r="AD746" s="8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8"/>
      <c r="AD747" s="8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8"/>
      <c r="AD748" s="8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8"/>
      <c r="AD749" s="8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8"/>
      <c r="AD750" s="8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8"/>
      <c r="AD751" s="8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8"/>
      <c r="AD752" s="8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8"/>
      <c r="AD753" s="8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8"/>
      <c r="AD754" s="8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8"/>
      <c r="AD755" s="8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8"/>
      <c r="AD756" s="8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8"/>
      <c r="AD757" s="8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8"/>
      <c r="AD758" s="8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8"/>
      <c r="AD759" s="8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8"/>
      <c r="AD760" s="8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8"/>
      <c r="AD761" s="8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8"/>
      <c r="AD762" s="8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8"/>
      <c r="AD763" s="8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8"/>
      <c r="AD764" s="8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8"/>
      <c r="AD765" s="8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8"/>
      <c r="AD766" s="8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8"/>
      <c r="AD767" s="8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8"/>
      <c r="AD768" s="8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8"/>
      <c r="AD769" s="8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8"/>
      <c r="AD770" s="8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8"/>
      <c r="AD771" s="8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8"/>
      <c r="AD772" s="8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8"/>
      <c r="AD773" s="8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8"/>
      <c r="AD774" s="8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8"/>
      <c r="AD775" s="8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8"/>
      <c r="AD776" s="8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8"/>
      <c r="AD777" s="8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8"/>
      <c r="AD778" s="8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8"/>
      <c r="AD779" s="8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8"/>
      <c r="AD780" s="8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8"/>
      <c r="AD781" s="8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8"/>
      <c r="AD782" s="8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8"/>
      <c r="AD783" s="8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8"/>
      <c r="AD784" s="8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8"/>
      <c r="AD785" s="8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8"/>
      <c r="AD786" s="8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8"/>
      <c r="AD787" s="8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8"/>
      <c r="AD788" s="8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8"/>
      <c r="AD789" s="8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8"/>
      <c r="AD790" s="8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8"/>
      <c r="AD791" s="8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8"/>
      <c r="AD792" s="8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8"/>
      <c r="AD793" s="8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8"/>
      <c r="AD794" s="8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8"/>
      <c r="AD795" s="8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8"/>
      <c r="AD796" s="8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8"/>
      <c r="AD797" s="8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8"/>
      <c r="AD798" s="8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8"/>
      <c r="AD799" s="8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8"/>
      <c r="AD800" s="8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8"/>
      <c r="AD801" s="8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8"/>
      <c r="AD802" s="8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8"/>
      <c r="AD803" s="8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8"/>
      <c r="AD804" s="8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8"/>
      <c r="AD805" s="8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8"/>
      <c r="AD806" s="8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8"/>
      <c r="AD807" s="8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8"/>
      <c r="AD808" s="8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8"/>
      <c r="AD809" s="8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8"/>
      <c r="AD810" s="8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8"/>
      <c r="AD811" s="8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8"/>
      <c r="AD812" s="8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8"/>
      <c r="AD813" s="8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8"/>
      <c r="AD814" s="8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8"/>
      <c r="AD815" s="8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8"/>
      <c r="AD816" s="8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8"/>
      <c r="AD817" s="8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8"/>
      <c r="AD818" s="8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8"/>
      <c r="AD819" s="8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8"/>
      <c r="AD820" s="8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8"/>
      <c r="AD821" s="8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8"/>
      <c r="AD822" s="8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8"/>
      <c r="AD823" s="8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8"/>
      <c r="AD824" s="8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8"/>
      <c r="AD825" s="8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8"/>
      <c r="AD826" s="8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8"/>
      <c r="AD827" s="8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8"/>
      <c r="AD828" s="8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8"/>
      <c r="AD829" s="8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8"/>
      <c r="AD830" s="8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8"/>
      <c r="AD831" s="8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8"/>
      <c r="AD832" s="8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8"/>
      <c r="AD833" s="8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8"/>
      <c r="AD834" s="8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8"/>
      <c r="AD835" s="8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8"/>
      <c r="AD836" s="8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8"/>
      <c r="AD837" s="8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8"/>
      <c r="AD838" s="8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8"/>
      <c r="AD839" s="8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8"/>
      <c r="AD840" s="8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8"/>
      <c r="AD841" s="8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8"/>
      <c r="AD842" s="8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8"/>
      <c r="AD843" s="8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8"/>
      <c r="AD844" s="8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8"/>
      <c r="AD845" s="8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8"/>
      <c r="AD846" s="8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8"/>
      <c r="AD847" s="8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8"/>
      <c r="AD848" s="8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8"/>
      <c r="AD849" s="8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8"/>
      <c r="AD850" s="8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8"/>
      <c r="AD851" s="8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8"/>
      <c r="AD852" s="8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8"/>
      <c r="AD853" s="8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8"/>
      <c r="AD854" s="8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8"/>
      <c r="AD855" s="8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8"/>
      <c r="AD856" s="8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8"/>
      <c r="AD857" s="8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8"/>
      <c r="AD858" s="8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8"/>
      <c r="AD859" s="8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8"/>
      <c r="AD860" s="8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8"/>
      <c r="AD861" s="8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8"/>
      <c r="AD862" s="8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8"/>
      <c r="AD863" s="8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8"/>
      <c r="AD864" s="8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8"/>
      <c r="AD865" s="8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8"/>
      <c r="AD866" s="8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8"/>
      <c r="AD867" s="8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8"/>
      <c r="AD868" s="8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8"/>
      <c r="AD869" s="8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8"/>
      <c r="AD870" s="8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8"/>
      <c r="AD871" s="8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8"/>
      <c r="AD872" s="8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8"/>
      <c r="AD873" s="8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8"/>
      <c r="AD874" s="8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8"/>
      <c r="AD875" s="8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8"/>
      <c r="AD876" s="8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8"/>
      <c r="AD877" s="8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8"/>
      <c r="AD878" s="8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8"/>
      <c r="AD879" s="8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8"/>
      <c r="AD880" s="8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8"/>
      <c r="AD881" s="8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8"/>
      <c r="AD882" s="8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8"/>
      <c r="AD883" s="8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8"/>
      <c r="AD884" s="8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8"/>
      <c r="AD885" s="8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8"/>
      <c r="AD886" s="8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8"/>
      <c r="AD887" s="8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8"/>
      <c r="AD888" s="8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8"/>
      <c r="AD889" s="8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8"/>
      <c r="AD890" s="8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8"/>
      <c r="AD891" s="8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8"/>
      <c r="AD892" s="8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8"/>
      <c r="AD893" s="8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8"/>
      <c r="AD894" s="8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8"/>
      <c r="AD895" s="8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8"/>
      <c r="AD896" s="8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8"/>
      <c r="AD897" s="8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8"/>
      <c r="AD898" s="8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8"/>
      <c r="AD899" s="8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8"/>
      <c r="AD900" s="8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8"/>
      <c r="AD901" s="8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8"/>
      <c r="AD902" s="8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8"/>
      <c r="AD903" s="8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8"/>
      <c r="AD904" s="8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8"/>
      <c r="AD905" s="8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8"/>
      <c r="AD906" s="8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8"/>
      <c r="AD907" s="8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8"/>
      <c r="AD908" s="8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8"/>
      <c r="AD909" s="8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8"/>
      <c r="AD910" s="8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8"/>
      <c r="AD911" s="8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8"/>
      <c r="AD912" s="8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8"/>
      <c r="AD913" s="8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8"/>
      <c r="AD914" s="8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8"/>
      <c r="AD915" s="8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8"/>
      <c r="AD916" s="8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8"/>
      <c r="AD917" s="8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8"/>
      <c r="AD918" s="8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8"/>
      <c r="AD919" s="8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8"/>
      <c r="AD920" s="8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8"/>
      <c r="AD921" s="8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8"/>
      <c r="AD922" s="8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8"/>
      <c r="AD923" s="8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8"/>
      <c r="AD924" s="8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8"/>
      <c r="AD925" s="8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8"/>
      <c r="AD926" s="8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8"/>
      <c r="AD927" s="8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8"/>
      <c r="AD928" s="8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8"/>
      <c r="AD929" s="8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8"/>
      <c r="AD930" s="8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8"/>
      <c r="AD931" s="8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8"/>
      <c r="AD932" s="8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8"/>
      <c r="AD933" s="8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8"/>
      <c r="AD934" s="8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8"/>
      <c r="AD935" s="8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8"/>
      <c r="AD936" s="8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8"/>
      <c r="AD937" s="8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8"/>
      <c r="AD938" s="8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8"/>
      <c r="AD939" s="8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8"/>
      <c r="AD940" s="8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8"/>
      <c r="AD941" s="8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8"/>
      <c r="AD942" s="8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8"/>
      <c r="AD943" s="8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1:49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8"/>
      <c r="AD944" s="8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1:49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8"/>
      <c r="AD945" s="8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1:49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8"/>
      <c r="AD946" s="8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2020-08-04T17:42:52Z</dcterms:modified>
</cp:coreProperties>
</file>