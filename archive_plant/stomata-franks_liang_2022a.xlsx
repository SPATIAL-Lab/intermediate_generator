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new archive files from Dana/"/>
    </mc:Choice>
  </mc:AlternateContent>
  <xr:revisionPtr revIDLastSave="0" documentId="13_ncr:1_{F7AFDC0A-C218-3346-A79C-D4ED74EBC368}" xr6:coauthVersionLast="47" xr6:coauthVersionMax="47" xr10:uidLastSave="{00000000-0000-0000-0000-000000000000}"/>
  <bookViews>
    <workbookView xWindow="0" yWindow="500" windowWidth="28800" windowHeight="1584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 i="1" l="1"/>
  <c r="X6" i="1"/>
  <c r="W7" i="1"/>
  <c r="F7" i="1" s="1"/>
  <c r="X7" i="1"/>
  <c r="G7" i="1" s="1"/>
  <c r="W8" i="1"/>
  <c r="X8" i="1"/>
  <c r="G8" i="1" s="1"/>
  <c r="W9" i="1"/>
  <c r="F9" i="1" s="1"/>
  <c r="X9" i="1"/>
  <c r="G9" i="1" s="1"/>
  <c r="W10" i="1"/>
  <c r="F10" i="1" s="1"/>
  <c r="X10" i="1"/>
  <c r="G10" i="1" s="1"/>
  <c r="W11" i="1"/>
  <c r="F11" i="1" s="1"/>
  <c r="X11" i="1"/>
  <c r="G11" i="1" s="1"/>
  <c r="W12" i="1"/>
  <c r="X12" i="1"/>
  <c r="W13" i="1"/>
  <c r="X13" i="1"/>
  <c r="G13" i="1" s="1"/>
  <c r="X5" i="1"/>
  <c r="G5" i="1" s="1"/>
  <c r="W5" i="1"/>
  <c r="F5" i="1" s="1"/>
  <c r="X4" i="1"/>
  <c r="W4" i="1"/>
  <c r="D5" i="1"/>
  <c r="E5" i="1"/>
  <c r="H5" i="1"/>
  <c r="I5" i="1"/>
  <c r="J5" i="1"/>
  <c r="D6" i="1"/>
  <c r="E6" i="1"/>
  <c r="F6" i="1"/>
  <c r="G6" i="1"/>
  <c r="H6" i="1"/>
  <c r="I6" i="1"/>
  <c r="J6" i="1"/>
  <c r="D7" i="1"/>
  <c r="E7" i="1"/>
  <c r="H7" i="1"/>
  <c r="I7" i="1"/>
  <c r="J7" i="1"/>
  <c r="D8" i="1"/>
  <c r="E8" i="1"/>
  <c r="F8" i="1"/>
  <c r="H8" i="1"/>
  <c r="I8" i="1"/>
  <c r="J8" i="1"/>
  <c r="D9" i="1"/>
  <c r="E9" i="1"/>
  <c r="H9" i="1"/>
  <c r="I9" i="1"/>
  <c r="J9" i="1"/>
  <c r="D10" i="1"/>
  <c r="E10" i="1"/>
  <c r="H10" i="1"/>
  <c r="I10" i="1"/>
  <c r="J10" i="1"/>
  <c r="D11" i="1"/>
  <c r="E11" i="1"/>
  <c r="H11" i="1"/>
  <c r="I11" i="1"/>
  <c r="J11" i="1"/>
  <c r="D12" i="1"/>
  <c r="E12" i="1"/>
  <c r="F12" i="1"/>
  <c r="G12" i="1"/>
  <c r="H12" i="1"/>
  <c r="I12" i="1"/>
  <c r="J12" i="1"/>
  <c r="D13" i="1"/>
  <c r="E13" i="1"/>
  <c r="F13" i="1"/>
  <c r="H13" i="1"/>
  <c r="I13" i="1"/>
  <c r="J13" i="1"/>
  <c r="D4" i="1" l="1"/>
  <c r="G4" i="1" l="1"/>
  <c r="F4" i="1"/>
  <c r="J4" i="1" l="1"/>
  <c r="I4" i="1"/>
  <c r="H4" i="1"/>
  <c r="E4" i="1"/>
</calcChain>
</file>

<file path=xl/sharedStrings.xml><?xml version="1.0" encoding="utf-8"?>
<sst xmlns="http://schemas.openxmlformats.org/spreadsheetml/2006/main" count="552" uniqueCount="194">
  <si>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</si>
  <si>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</si>
  <si>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</si>
  <si>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</si>
  <si>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</si>
  <si>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</si>
  <si>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</si>
  <si>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</si>
  <si>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</si>
  <si>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</si>
  <si>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</si>
  <si>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</si>
  <si>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</si>
  <si>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</si>
  <si>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</si>
  <si>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</si>
  <si>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</si>
  <si>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</si>
  <si>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</si>
  <si>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</si>
  <si>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</si>
  <si>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</si>
  <si>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</si>
  <si>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</si>
  <si>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</si>
  <si>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</si>
  <si>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</si>
  <si>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</si>
  <si>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</si>
  <si>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</si>
  <si>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</si>
  <si>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</si>
  <si>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</si>
  <si>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</si>
  <si>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</si>
  <si>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</si>
  <si>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</si>
  <si>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</si>
  <si>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</si>
  <si>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</si>
  <si>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</si>
  <si>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</si>
  <si>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</si>
  <si>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</si>
  <si>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</si>
  <si>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</si>
  <si>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</si>
  <si>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</si>
  <si>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</si>
  <si>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</si>
  <si>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</si>
  <si>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</si>
  <si>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</si>
  <si>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</si>
  <si>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</si>
  <si>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</si>
  <si>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</si>
  <si>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</si>
  <si>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</si>
  <si>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</si>
  <si>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</si>
  <si>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</si>
  <si>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</si>
  <si>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</si>
  <si>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</si>
  <si>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</si>
  <si>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</si>
  <si>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</si>
  <si>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</si>
  <si>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</si>
  <si>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</si>
  <si>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</si>
  <si>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</si>
  <si>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</si>
  <si>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</si>
  <si>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</si>
  <si>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</si>
  <si>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</si>
  <si>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</si>
  <si>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</si>
  <si>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</si>
  <si>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</si>
  <si>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</si>
  <si>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</si>
  <si>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</si>
  <si>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</si>
  <si>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</si>
  <si>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</si>
  <si>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</si>
  <si>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</si>
  <si>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</si>
  <si>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</si>
  <si>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</si>
  <si>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</si>
  <si>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</si>
  <si>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</si>
  <si>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</si>
  <si>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</si>
  <si>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</si>
  <si>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</si>
  <si>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</si>
  <si>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</si>
  <si>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</si>
  <si>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</si>
  <si>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</si>
  <si>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</si>
  <si>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</si>
  <si>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</si>
  <si>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</si>
  <si>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</si>
  <si>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</si>
  <si>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</si>
  <si>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</si>
  <si>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</si>
  <si>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</si>
  <si>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</si>
  <si>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</si>
  <si>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</si>
  <si>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</si>
  <si>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</si>
  <si>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</si>
  <si>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</si>
  <si>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</si>
  <si>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</si>
  <si>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</si>
  <si>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</si>
  <si>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</si>
  <si>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</si>
  <si>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</si>
  <si>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</si>
  <si>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</si>
  <si>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</si>
  <si>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</si>
  <si>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</si>
  <si>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</si>
  <si>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microscope</t>
  </si>
  <si>
    <t>right-skewed</t>
  </si>
  <si>
    <t>proxy</t>
  </si>
  <si>
    <t>first_author_last_name</t>
  </si>
  <si>
    <t>publication_year</t>
  </si>
  <si>
    <t>age_ka</t>
  </si>
  <si>
    <t>Age_uncertainty_pos_ka</t>
  </si>
  <si>
    <t>Age_uncertainty_neg_ka</t>
  </si>
  <si>
    <t>stomata-franks</t>
  </si>
  <si>
    <t>Dana Royer</t>
  </si>
  <si>
    <t>median</t>
  </si>
  <si>
    <t>Latah</t>
  </si>
  <si>
    <t>P-33 site</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</si>
  <si>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</si>
  <si>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</si>
  <si>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</si>
  <si>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</si>
  <si>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</si>
  <si>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</si>
  <si>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</si>
  <si>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</si>
  <si>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droyer@wesleyan.edu</t>
  </si>
  <si>
    <t>Paleo Latitude (decimal degree, south negative)</t>
  </si>
  <si>
    <t>Paleo Longitude (decimal degree, west negative)</t>
  </si>
  <si>
    <t>2.5 and 97.5 percentiles</t>
  </si>
  <si>
    <t>Liang</t>
  </si>
  <si>
    <t>10.1016/j.gloplacha.2022.103737</t>
  </si>
  <si>
    <t>Liang, J., Leng, Q., Höfig, D. F., Niu, G., Wang, L., Royer, D. L., Burke, K., Xiao, L., Zhang, Y., and Yang, H., 2022, Constraining conifer physiological parameters in leaf gas-exchange models for ancient CO2 reconstruction: Global and Planetary Change, v. 209, 103737, doi: 10.1016/j.gloplacha.2022.103737.</t>
  </si>
  <si>
    <t>Cupressaceae</t>
  </si>
  <si>
    <t>Metasequoia</t>
  </si>
  <si>
    <t>sp.</t>
  </si>
  <si>
    <t>Bryant University</t>
  </si>
  <si>
    <t>BU19073006</t>
  </si>
  <si>
    <t>BU19073045</t>
  </si>
  <si>
    <t>BU19073047</t>
  </si>
  <si>
    <t>BU19073049</t>
  </si>
  <si>
    <t>BU19073050</t>
  </si>
  <si>
    <t>BU19073052</t>
  </si>
  <si>
    <t>BU19073062</t>
  </si>
  <si>
    <t>BU19073054</t>
  </si>
  <si>
    <t>BU18080136</t>
  </si>
  <si>
    <t>BU19030917-1</t>
  </si>
  <si>
    <t>Taxodium</t>
  </si>
  <si>
    <t>zircon U-Pb, reported in Hofig et al., 2021, Geology, https://doi.org/10.1130/G48901.1</t>
  </si>
  <si>
    <t>yes</t>
  </si>
  <si>
    <t>1 leaf</t>
  </si>
  <si>
    <t>generic value from Franks et al. (2014); 1 sigma error is 5% of mean</t>
  </si>
  <si>
    <t>0.16 mm^2</t>
  </si>
  <si>
    <t>0.04 mm^2</t>
  </si>
  <si>
    <t>0.06 mm^2</t>
  </si>
  <si>
    <t>0.10 mm^2</t>
  </si>
  <si>
    <t>0.14 mm^2</t>
  </si>
  <si>
    <t>0.08 mm^2</t>
  </si>
  <si>
    <t>0.44 mm^2</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</si>
  <si>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</si>
  <si>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Isotope model of Tipple et al. (2010; 10.1029/2009PA001851)</t>
  </si>
  <si>
    <t>from Table S1 in Kowalczyk et al. (2018) for "deciduous gymnosperms in an evergreen warm mixed forest (EWMF) biome"</t>
  </si>
  <si>
    <t>generic value from Franks et al. (2014)</t>
  </si>
  <si>
    <t xml:space="preserve"> value from Franks et al. (2014; their Table 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</si>
</sst>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8"/>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40">
    <xf numFmtId="0" fontId="0" fillId="0" borderId="0" xfId="0"/>
    <xf numFmtId="0" fontId="1" fillId="2" borderId="0" xfId="0" applyFont="1" applyFill="1" applyBorder="1" applyAlignment="1">
      <alignment vertical="center"/>
    </xf>
    <xf numFmtId="0" fontId="0" fillId="2" borderId="0" xfId="0" applyFill="1" applyBorder="1" applyAlignment="1">
      <alignment vertical="top" wrapText="1"/>
    </xf>
    <xf numFmtId="0" fontId="0" fillId="0" borderId="0" xfId="0" applyBorder="1"/>
    <xf numFmtId="0" fontId="0" fillId="2" borderId="0" xfId="0" applyFill="1" applyBorder="1" applyAlignment="1">
      <alignment wrapText="1"/>
    </xf>
    <xf numFmtId="0" fontId="0" fillId="2" borderId="0" xfId="0" applyFill="1" applyBorder="1" applyAlignment="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2" fontId="1" fillId="0" borderId="0" xfId="0" applyNumberFormat="1" applyFont="1" applyFill="1" applyBorder="1" applyAlignment="1">
      <alignment horizontal="right" vertical="top"/>
    </xf>
    <xf numFmtId="1" fontId="0" fillId="0" borderId="0" xfId="0" applyNumberFormat="1" applyBorder="1" applyAlignment="1"/>
    <xf numFmtId="0" fontId="1" fillId="4" borderId="0" xfId="0" applyFont="1" applyFill="1" applyBorder="1" applyAlignment="1">
      <alignment vertical="center"/>
    </xf>
    <xf numFmtId="0" fontId="0" fillId="4" borderId="0" xfId="0" applyFill="1" applyBorder="1"/>
    <xf numFmtId="0" fontId="0" fillId="4" borderId="0" xfId="0" applyFill="1" applyBorder="1" applyAlignment="1"/>
    <xf numFmtId="0" fontId="3" fillId="4" borderId="0" xfId="0" applyFont="1" applyFill="1" applyAlignment="1">
      <alignment vertical="top" wrapText="1"/>
    </xf>
    <xf numFmtId="0" fontId="0" fillId="0" borderId="0" xfId="0" applyFill="1" applyBorder="1"/>
    <xf numFmtId="164" fontId="1" fillId="0" borderId="0" xfId="0" applyNumberFormat="1" applyFont="1" applyFill="1" applyBorder="1" applyAlignment="1">
      <alignment horizontal="right"/>
    </xf>
    <xf numFmtId="1" fontId="1" fillId="0" borderId="0" xfId="0" applyNumberFormat="1" applyFont="1" applyFill="1" applyBorder="1" applyAlignment="1">
      <alignment horizontal="right"/>
    </xf>
    <xf numFmtId="1" fontId="0" fillId="0" borderId="0" xfId="0" applyNumberFormat="1" applyBorder="1"/>
    <xf numFmtId="0" fontId="0" fillId="0" borderId="0" xfId="0" applyNumberForma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xf numFmtId="0" fontId="1" fillId="0" borderId="0" xfId="0" applyFont="1" applyBorder="1" applyAlignment="1"/>
    <xf numFmtId="0" fontId="0" fillId="0" borderId="0" xfId="0" applyNumberFormat="1" applyFill="1" applyBorder="1" applyAlignment="1"/>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6"/>
  <sheetViews>
    <sheetView tabSelected="1" topLeftCell="BH1" workbookViewId="0">
      <pane ySplit="3" topLeftCell="A4" activePane="bottomLeft" state="frozen"/>
      <selection pane="bottomLeft" activeCell="I6" sqref="I6"/>
    </sheetView>
  </sheetViews>
  <sheetFormatPr baseColWidth="10" defaultColWidth="11" defaultRowHeight="16" x14ac:dyDescent="0.2"/>
  <cols>
    <col min="1" max="10" width="11" style="3"/>
    <col min="11" max="11" width="12.1640625" style="3" customWidth="1"/>
    <col min="12" max="20" width="11" style="3"/>
    <col min="21" max="21" width="11.6640625" style="3" customWidth="1"/>
    <col min="22" max="22" width="11" style="3"/>
    <col min="23" max="23" width="11.6640625" style="3" customWidth="1"/>
    <col min="24" max="24" width="12.1640625" style="3" customWidth="1"/>
    <col min="25" max="25" width="11" style="3"/>
    <col min="26" max="26" width="11.6640625" style="3" customWidth="1"/>
    <col min="27" max="30" width="11" style="3"/>
    <col min="31" max="31" width="15.1640625" style="3" customWidth="1"/>
    <col min="32" max="35" width="11" style="3"/>
    <col min="36" max="36" width="13.1640625" style="3" customWidth="1"/>
    <col min="37" max="38" width="11" style="3"/>
    <col min="39" max="45" width="11.1640625" style="3" bestFit="1" customWidth="1"/>
    <col min="46" max="46" width="11.6640625" style="3" bestFit="1" customWidth="1"/>
    <col min="47" max="51" width="11.1640625" style="3" bestFit="1" customWidth="1"/>
    <col min="52" max="52" width="11.6640625" style="3" bestFit="1" customWidth="1"/>
    <col min="53" max="66" width="11.1640625" style="3" bestFit="1" customWidth="1"/>
    <col min="67" max="69" width="11" style="3"/>
    <col min="70" max="87" width="11.1640625" style="3" bestFit="1" customWidth="1"/>
    <col min="88" max="16384" width="11" style="3"/>
  </cols>
  <sheetData>
    <row r="1" spans="1:92" x14ac:dyDescent="0.2">
      <c r="A1" s="23"/>
      <c r="B1" s="24"/>
      <c r="C1" s="24"/>
      <c r="D1" s="24"/>
      <c r="E1" s="24"/>
      <c r="F1" s="24"/>
      <c r="G1" s="24"/>
      <c r="H1" s="24"/>
      <c r="I1" s="24"/>
      <c r="J1" s="24"/>
      <c r="K1" s="1"/>
      <c r="L1" s="2"/>
      <c r="M1" s="2"/>
      <c r="N1" s="2"/>
      <c r="O1" s="2"/>
      <c r="P1" s="2"/>
      <c r="Q1" s="2"/>
      <c r="R1" s="2"/>
      <c r="S1" s="2"/>
      <c r="T1" s="2"/>
      <c r="U1" s="2"/>
      <c r="V1" s="2"/>
      <c r="W1" s="2"/>
      <c r="X1" s="2"/>
      <c r="Y1" s="2"/>
      <c r="Z1" s="2"/>
      <c r="AA1" s="2"/>
      <c r="AB1" s="2"/>
      <c r="AC1" s="2"/>
      <c r="AD1" s="2"/>
      <c r="AE1" s="2"/>
      <c r="AF1" s="2"/>
      <c r="AG1" s="2"/>
      <c r="AH1" s="2"/>
      <c r="AI1" s="2"/>
      <c r="AJ1" s="2"/>
      <c r="AK1" s="2"/>
      <c r="AL1" s="2"/>
      <c r="AM1" s="5" t="s">
        <v>4</v>
      </c>
      <c r="AN1" s="4"/>
      <c r="AO1" s="4"/>
      <c r="AP1" s="4"/>
      <c r="AQ1" s="4"/>
      <c r="AR1" s="4"/>
      <c r="AS1" s="4"/>
      <c r="AT1" s="4"/>
      <c r="AU1" s="4"/>
      <c r="AV1" s="4"/>
      <c r="AW1" s="4"/>
      <c r="AX1" s="4"/>
      <c r="AY1" s="4"/>
      <c r="AZ1" s="4"/>
      <c r="BA1" s="4"/>
      <c r="BB1" s="4"/>
      <c r="BC1" s="4"/>
      <c r="BD1" s="4"/>
      <c r="BE1" s="4"/>
      <c r="BF1" s="4"/>
      <c r="BG1" s="4"/>
      <c r="BH1" s="5"/>
      <c r="BI1" s="4"/>
      <c r="BJ1" s="4"/>
      <c r="BK1" s="4"/>
      <c r="BL1" s="5" t="s">
        <v>5</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spans="1:92" s="11" customFormat="1" x14ac:dyDescent="0.2">
      <c r="A2" s="25"/>
      <c r="B2" s="25"/>
      <c r="C2" s="25"/>
      <c r="D2" s="25"/>
      <c r="E2" s="25"/>
      <c r="F2" s="25"/>
      <c r="G2" s="25"/>
      <c r="H2" s="25"/>
      <c r="I2" s="25"/>
      <c r="J2" s="25"/>
      <c r="K2" s="6"/>
      <c r="L2" s="6"/>
      <c r="M2" s="6"/>
      <c r="N2" s="6"/>
      <c r="O2" s="6"/>
      <c r="P2" s="6"/>
      <c r="Q2" s="6"/>
      <c r="R2" s="6"/>
      <c r="S2" s="6"/>
      <c r="T2" s="6"/>
      <c r="U2" s="6"/>
      <c r="V2" s="6"/>
      <c r="W2" s="6"/>
      <c r="X2" s="6"/>
      <c r="Y2" s="6"/>
      <c r="Z2" s="6"/>
      <c r="AA2" s="6"/>
      <c r="AB2" s="6"/>
      <c r="AC2" s="6"/>
      <c r="AD2" s="6"/>
      <c r="AE2" s="6"/>
      <c r="AF2" s="6"/>
      <c r="AG2" s="6"/>
      <c r="AH2" s="6"/>
      <c r="AI2" s="6"/>
      <c r="AJ2" s="6"/>
      <c r="AK2" s="6"/>
      <c r="AL2" s="6"/>
      <c r="AM2" s="7" t="s">
        <v>6</v>
      </c>
      <c r="AN2" s="7" t="s">
        <v>7</v>
      </c>
      <c r="AO2" s="7" t="s">
        <v>8</v>
      </c>
      <c r="AP2" s="7" t="s">
        <v>9</v>
      </c>
      <c r="AQ2" s="7" t="s">
        <v>10</v>
      </c>
      <c r="AR2" s="7" t="s">
        <v>11</v>
      </c>
      <c r="AS2" s="7" t="s">
        <v>12</v>
      </c>
      <c r="AT2" s="7" t="s">
        <v>13</v>
      </c>
      <c r="AU2" s="7" t="s">
        <v>14</v>
      </c>
      <c r="AV2" s="7" t="s">
        <v>15</v>
      </c>
      <c r="AW2" s="7" t="s">
        <v>16</v>
      </c>
      <c r="AX2" s="7" t="s">
        <v>17</v>
      </c>
      <c r="AY2" s="7" t="s">
        <v>18</v>
      </c>
      <c r="AZ2" s="7" t="s">
        <v>19</v>
      </c>
      <c r="BA2" s="7" t="s">
        <v>20</v>
      </c>
      <c r="BB2" s="7" t="s">
        <v>21</v>
      </c>
      <c r="BC2" s="7" t="s">
        <v>22</v>
      </c>
      <c r="BD2" s="7" t="s">
        <v>23</v>
      </c>
      <c r="BE2" s="7" t="s">
        <v>24</v>
      </c>
      <c r="BF2" s="7" t="s">
        <v>25</v>
      </c>
      <c r="BG2" s="7" t="s">
        <v>26</v>
      </c>
      <c r="BH2" s="8" t="s">
        <v>27</v>
      </c>
      <c r="BI2" s="8" t="s">
        <v>28</v>
      </c>
      <c r="BJ2" s="8" t="s">
        <v>29</v>
      </c>
      <c r="BK2" s="8" t="s">
        <v>30</v>
      </c>
      <c r="BL2" s="9" t="s">
        <v>31</v>
      </c>
      <c r="BM2" s="9" t="s">
        <v>32</v>
      </c>
      <c r="BN2" s="9" t="s">
        <v>33</v>
      </c>
      <c r="BO2" s="9" t="s">
        <v>34</v>
      </c>
      <c r="BP2" s="9" t="s">
        <v>35</v>
      </c>
      <c r="BQ2" s="9" t="s">
        <v>36</v>
      </c>
      <c r="BR2" s="9" t="s">
        <v>37</v>
      </c>
      <c r="BS2" s="9" t="s">
        <v>38</v>
      </c>
      <c r="BT2" s="9" t="s">
        <v>39</v>
      </c>
      <c r="BU2" s="9" t="s">
        <v>40</v>
      </c>
      <c r="BV2" s="9" t="s">
        <v>41</v>
      </c>
      <c r="BW2" s="9" t="s">
        <v>42</v>
      </c>
      <c r="BX2" s="9" t="s">
        <v>43</v>
      </c>
      <c r="BY2" s="9" t="s">
        <v>44</v>
      </c>
      <c r="BZ2" s="9" t="s">
        <v>45</v>
      </c>
      <c r="CA2" s="9" t="s">
        <v>46</v>
      </c>
      <c r="CB2" s="9" t="s">
        <v>47</v>
      </c>
      <c r="CC2" s="9" t="s">
        <v>48</v>
      </c>
      <c r="CD2" s="9" t="s">
        <v>49</v>
      </c>
      <c r="CE2" s="9" t="s">
        <v>50</v>
      </c>
      <c r="CF2" s="9" t="s">
        <v>51</v>
      </c>
      <c r="CG2" s="9" t="s">
        <v>52</v>
      </c>
      <c r="CH2" s="9" t="s">
        <v>53</v>
      </c>
      <c r="CI2" s="9" t="s">
        <v>54</v>
      </c>
      <c r="CJ2" s="10" t="s">
        <v>189</v>
      </c>
      <c r="CK2" s="10" t="s">
        <v>55</v>
      </c>
      <c r="CL2" s="10" t="s">
        <v>56</v>
      </c>
      <c r="CM2" s="9" t="s">
        <v>57</v>
      </c>
      <c r="CN2" s="10" t="s">
        <v>58</v>
      </c>
    </row>
    <row r="3" spans="1:92" s="17" customFormat="1" ht="81.75" customHeight="1" x14ac:dyDescent="0.2">
      <c r="A3" s="26" t="s">
        <v>137</v>
      </c>
      <c r="B3" s="26" t="s">
        <v>138</v>
      </c>
      <c r="C3" s="26" t="s">
        <v>139</v>
      </c>
      <c r="D3" s="26" t="s">
        <v>60</v>
      </c>
      <c r="E3" s="26" t="s">
        <v>140</v>
      </c>
      <c r="F3" s="26" t="s">
        <v>141</v>
      </c>
      <c r="G3" s="26" t="s">
        <v>142</v>
      </c>
      <c r="H3" s="26" t="s">
        <v>148</v>
      </c>
      <c r="I3" s="26" t="s">
        <v>149</v>
      </c>
      <c r="J3" s="26" t="s">
        <v>151</v>
      </c>
      <c r="K3" s="12" t="s">
        <v>59</v>
      </c>
      <c r="L3" s="12" t="s">
        <v>155</v>
      </c>
      <c r="M3" s="12" t="s">
        <v>152</v>
      </c>
      <c r="N3" s="12" t="s">
        <v>60</v>
      </c>
      <c r="O3" s="12" t="s">
        <v>61</v>
      </c>
      <c r="P3" s="12" t="s">
        <v>62</v>
      </c>
      <c r="Q3" s="12" t="s">
        <v>63</v>
      </c>
      <c r="R3" s="12" t="s">
        <v>64</v>
      </c>
      <c r="S3" s="12" t="s">
        <v>65</v>
      </c>
      <c r="T3" s="12" t="s">
        <v>66</v>
      </c>
      <c r="U3" s="12" t="s">
        <v>67</v>
      </c>
      <c r="V3" s="12" t="s">
        <v>68</v>
      </c>
      <c r="W3" s="12" t="s">
        <v>69</v>
      </c>
      <c r="X3" s="12" t="s">
        <v>70</v>
      </c>
      <c r="Y3" s="12" t="s">
        <v>71</v>
      </c>
      <c r="Z3" s="12" t="s">
        <v>72</v>
      </c>
      <c r="AA3" s="12" t="s">
        <v>153</v>
      </c>
      <c r="AB3" s="12" t="s">
        <v>154</v>
      </c>
      <c r="AC3" s="35" t="s">
        <v>157</v>
      </c>
      <c r="AD3" s="35" t="s">
        <v>158</v>
      </c>
      <c r="AE3" s="12" t="s">
        <v>73</v>
      </c>
      <c r="AF3" s="12" t="s">
        <v>74</v>
      </c>
      <c r="AG3" s="12" t="s">
        <v>75</v>
      </c>
      <c r="AH3" s="12" t="s">
        <v>76</v>
      </c>
      <c r="AI3" s="12" t="s">
        <v>77</v>
      </c>
      <c r="AJ3" s="12" t="s">
        <v>78</v>
      </c>
      <c r="AK3" s="13" t="s">
        <v>79</v>
      </c>
      <c r="AL3" s="13" t="s">
        <v>80</v>
      </c>
      <c r="AM3" s="14" t="s">
        <v>81</v>
      </c>
      <c r="AN3" s="14" t="s">
        <v>82</v>
      </c>
      <c r="AO3" s="14" t="s">
        <v>83</v>
      </c>
      <c r="AP3" s="14" t="s">
        <v>84</v>
      </c>
      <c r="AQ3" s="14" t="s">
        <v>85</v>
      </c>
      <c r="AR3" s="14" t="s">
        <v>86</v>
      </c>
      <c r="AS3" s="14" t="s">
        <v>87</v>
      </c>
      <c r="AT3" s="14" t="s">
        <v>88</v>
      </c>
      <c r="AU3" s="14" t="s">
        <v>89</v>
      </c>
      <c r="AV3" s="14" t="s">
        <v>90</v>
      </c>
      <c r="AW3" s="14" t="s">
        <v>91</v>
      </c>
      <c r="AX3" s="14" t="s">
        <v>92</v>
      </c>
      <c r="AY3" s="14" t="s">
        <v>93</v>
      </c>
      <c r="AZ3" s="14" t="s">
        <v>94</v>
      </c>
      <c r="BA3" s="14" t="s">
        <v>95</v>
      </c>
      <c r="BB3" s="14" t="s">
        <v>96</v>
      </c>
      <c r="BC3" s="14" t="s">
        <v>97</v>
      </c>
      <c r="BD3" s="14" t="s">
        <v>98</v>
      </c>
      <c r="BE3" s="14" t="s">
        <v>99</v>
      </c>
      <c r="BF3" s="14" t="s">
        <v>100</v>
      </c>
      <c r="BG3" s="14" t="s">
        <v>101</v>
      </c>
      <c r="BH3" s="15" t="s">
        <v>102</v>
      </c>
      <c r="BI3" s="15" t="s">
        <v>103</v>
      </c>
      <c r="BJ3" s="15" t="s">
        <v>104</v>
      </c>
      <c r="BK3" s="15" t="s">
        <v>105</v>
      </c>
      <c r="BL3" s="16" t="s">
        <v>106</v>
      </c>
      <c r="BM3" s="16" t="s">
        <v>107</v>
      </c>
      <c r="BN3" s="16" t="s">
        <v>108</v>
      </c>
      <c r="BO3" s="16" t="s">
        <v>109</v>
      </c>
      <c r="BP3" s="16" t="s">
        <v>110</v>
      </c>
      <c r="BQ3" s="16" t="s">
        <v>111</v>
      </c>
      <c r="BR3" s="16" t="s">
        <v>112</v>
      </c>
      <c r="BS3" s="16" t="s">
        <v>113</v>
      </c>
      <c r="BT3" s="16" t="s">
        <v>114</v>
      </c>
      <c r="BU3" s="16" t="s">
        <v>115</v>
      </c>
      <c r="BV3" s="16" t="s">
        <v>116</v>
      </c>
      <c r="BW3" s="16" t="s">
        <v>117</v>
      </c>
      <c r="BX3" s="16" t="s">
        <v>118</v>
      </c>
      <c r="BY3" s="16" t="s">
        <v>119</v>
      </c>
      <c r="BZ3" s="16" t="s">
        <v>120</v>
      </c>
      <c r="CA3" s="16" t="s">
        <v>121</v>
      </c>
      <c r="CB3" s="16" t="s">
        <v>122</v>
      </c>
      <c r="CC3" s="16" t="s">
        <v>123</v>
      </c>
      <c r="CD3" s="16" t="s">
        <v>124</v>
      </c>
      <c r="CE3" s="16" t="s">
        <v>125</v>
      </c>
      <c r="CF3" s="16" t="s">
        <v>126</v>
      </c>
      <c r="CG3" s="16" t="s">
        <v>127</v>
      </c>
      <c r="CH3" s="16" t="s">
        <v>128</v>
      </c>
      <c r="CI3" s="16" t="s">
        <v>129</v>
      </c>
      <c r="CJ3" s="12" t="s">
        <v>130</v>
      </c>
      <c r="CK3" s="12" t="s">
        <v>131</v>
      </c>
      <c r="CL3" s="12" t="s">
        <v>132</v>
      </c>
      <c r="CM3" s="16" t="s">
        <v>133</v>
      </c>
      <c r="CN3" s="12" t="s">
        <v>134</v>
      </c>
    </row>
    <row r="4" spans="1:92" s="11" customFormat="1" x14ac:dyDescent="0.2">
      <c r="A4" s="11" t="s">
        <v>143</v>
      </c>
      <c r="B4" s="11" t="s">
        <v>160</v>
      </c>
      <c r="C4" s="11">
        <v>2022</v>
      </c>
      <c r="D4" s="11" t="str">
        <f>N4</f>
        <v>10.1016/j.gloplacha.2022.103737</v>
      </c>
      <c r="E4" s="11">
        <f>V4*1000</f>
        <v>15780</v>
      </c>
      <c r="F4" s="11">
        <f>(W4-V4)*1000</f>
        <v>38.999999999999702</v>
      </c>
      <c r="G4" s="11">
        <f>(V4-X4)*1000</f>
        <v>38.999999999999702</v>
      </c>
      <c r="H4" s="22">
        <f>AE4</f>
        <v>538</v>
      </c>
      <c r="I4" s="22">
        <f>AH4-AE4</f>
        <v>247</v>
      </c>
      <c r="J4" s="22">
        <f>AE4-AG4</f>
        <v>143</v>
      </c>
      <c r="K4" s="18" t="s">
        <v>144</v>
      </c>
      <c r="L4" s="34" t="s">
        <v>156</v>
      </c>
      <c r="M4" s="19" t="s">
        <v>162</v>
      </c>
      <c r="N4" s="11" t="s">
        <v>161</v>
      </c>
      <c r="O4" s="19" t="s">
        <v>167</v>
      </c>
      <c r="P4" s="27" t="s">
        <v>163</v>
      </c>
      <c r="Q4" s="27" t="s">
        <v>164</v>
      </c>
      <c r="R4" s="27" t="s">
        <v>165</v>
      </c>
      <c r="S4" s="27" t="s">
        <v>166</v>
      </c>
      <c r="T4" s="19" t="s">
        <v>146</v>
      </c>
      <c r="U4" s="19" t="s">
        <v>147</v>
      </c>
      <c r="V4" s="21">
        <v>15.78</v>
      </c>
      <c r="W4" s="21">
        <f>V4+0.039</f>
        <v>15.818999999999999</v>
      </c>
      <c r="X4" s="21">
        <f>V4-0.039</f>
        <v>15.741</v>
      </c>
      <c r="Y4" s="11" t="s">
        <v>150</v>
      </c>
      <c r="Z4" s="18" t="s">
        <v>178</v>
      </c>
      <c r="AA4" s="28">
        <v>47</v>
      </c>
      <c r="AB4" s="20">
        <v>-116.3</v>
      </c>
      <c r="AC4" s="36" t="s">
        <v>150</v>
      </c>
      <c r="AD4" s="36" t="s">
        <v>150</v>
      </c>
      <c r="AE4" s="29">
        <v>538</v>
      </c>
      <c r="AF4" s="18" t="s">
        <v>145</v>
      </c>
      <c r="AG4" s="29">
        <v>395</v>
      </c>
      <c r="AH4" s="29">
        <v>785</v>
      </c>
      <c r="AI4" s="36" t="s">
        <v>159</v>
      </c>
      <c r="AJ4" s="18" t="s">
        <v>136</v>
      </c>
      <c r="AK4" s="31" t="s">
        <v>135</v>
      </c>
      <c r="AL4" s="31" t="s">
        <v>182</v>
      </c>
      <c r="AM4" s="31">
        <v>73100000</v>
      </c>
      <c r="AN4" s="31">
        <v>2469057.8689999999</v>
      </c>
      <c r="AO4" s="37" t="s">
        <v>180</v>
      </c>
      <c r="AP4" s="31">
        <v>0</v>
      </c>
      <c r="AQ4" s="31">
        <v>0</v>
      </c>
      <c r="AR4" s="37" t="s">
        <v>180</v>
      </c>
      <c r="AS4" s="31">
        <v>4.88E-5</v>
      </c>
      <c r="AT4" s="31">
        <v>2.9299999999999999E-6</v>
      </c>
      <c r="AU4" s="37" t="s">
        <v>180</v>
      </c>
      <c r="AV4" s="31">
        <v>0</v>
      </c>
      <c r="AW4" s="31">
        <v>0</v>
      </c>
      <c r="AX4" s="37" t="s">
        <v>180</v>
      </c>
      <c r="AY4" s="31">
        <v>1.3699999999999999E-5</v>
      </c>
      <c r="AZ4" s="31">
        <v>1.6899999999999999E-6</v>
      </c>
      <c r="BA4" s="37" t="s">
        <v>180</v>
      </c>
      <c r="BB4" s="31">
        <v>0</v>
      </c>
      <c r="BC4" s="31">
        <v>0</v>
      </c>
      <c r="BD4" s="37" t="s">
        <v>180</v>
      </c>
      <c r="BE4" s="31">
        <v>-25.827096409999999</v>
      </c>
      <c r="BF4" s="31">
        <v>0</v>
      </c>
      <c r="BG4" s="37" t="s">
        <v>180</v>
      </c>
      <c r="BH4" s="31">
        <v>-5.05</v>
      </c>
      <c r="BI4" s="31">
        <v>1.21</v>
      </c>
      <c r="BJ4" s="38" t="s">
        <v>190</v>
      </c>
      <c r="BK4" s="31" t="s">
        <v>150</v>
      </c>
      <c r="BL4" s="31">
        <v>10</v>
      </c>
      <c r="BM4" s="31">
        <v>0.5</v>
      </c>
      <c r="BN4" s="38" t="s">
        <v>181</v>
      </c>
      <c r="BO4" s="31">
        <v>0.64</v>
      </c>
      <c r="BP4" s="31">
        <v>0</v>
      </c>
      <c r="BQ4" s="37" t="s">
        <v>191</v>
      </c>
      <c r="BR4" s="31">
        <v>2</v>
      </c>
      <c r="BS4" s="31">
        <v>0.1</v>
      </c>
      <c r="BT4" s="38" t="s">
        <v>181</v>
      </c>
      <c r="BU4" s="31">
        <v>0.6</v>
      </c>
      <c r="BV4" s="31">
        <v>0</v>
      </c>
      <c r="BW4" s="38" t="s">
        <v>192</v>
      </c>
      <c r="BX4" s="31">
        <v>1</v>
      </c>
      <c r="BY4" s="31">
        <v>0.05</v>
      </c>
      <c r="BZ4" s="38" t="s">
        <v>181</v>
      </c>
      <c r="CA4" s="31">
        <v>0.5</v>
      </c>
      <c r="CB4" s="31">
        <v>2.5000000000000001E-2</v>
      </c>
      <c r="CC4" s="38" t="s">
        <v>181</v>
      </c>
      <c r="CD4" s="31">
        <v>0.21</v>
      </c>
      <c r="CE4" s="31">
        <v>0.02</v>
      </c>
      <c r="CF4" s="38" t="s">
        <v>193</v>
      </c>
      <c r="CG4" s="31">
        <v>1.2999999999999999E-2</v>
      </c>
      <c r="CH4" s="31">
        <v>6.4999999999999997E-4</v>
      </c>
      <c r="CI4" s="38" t="s">
        <v>181</v>
      </c>
      <c r="CJ4" s="31" t="s">
        <v>179</v>
      </c>
      <c r="CK4" s="39">
        <v>30</v>
      </c>
      <c r="CL4" s="39">
        <v>9.4009599999999997E-4</v>
      </c>
      <c r="CM4" s="39">
        <v>40</v>
      </c>
      <c r="CN4" s="39">
        <v>25</v>
      </c>
    </row>
    <row r="5" spans="1:92" x14ac:dyDescent="0.2">
      <c r="A5" s="11" t="s">
        <v>143</v>
      </c>
      <c r="B5" s="11" t="s">
        <v>160</v>
      </c>
      <c r="C5" s="11">
        <v>2022</v>
      </c>
      <c r="D5" s="11" t="str">
        <f t="shared" ref="D5:D13" si="0">N5</f>
        <v>10.1016/j.gloplacha.2022.103737</v>
      </c>
      <c r="E5" s="11">
        <f t="shared" ref="E5:E13" si="1">V5*1000</f>
        <v>15780</v>
      </c>
      <c r="F5" s="11">
        <f t="shared" ref="F5:F13" si="2">(W5-V5)*1000</f>
        <v>38.999999999999702</v>
      </c>
      <c r="G5" s="11">
        <f t="shared" ref="G5:G13" si="3">(V5-X5)*1000</f>
        <v>38.999999999999702</v>
      </c>
      <c r="H5" s="22">
        <f t="shared" ref="H5:H13" si="4">AE5</f>
        <v>605</v>
      </c>
      <c r="I5" s="22">
        <f t="shared" ref="I5:I13" si="5">AH5-AE5</f>
        <v>358</v>
      </c>
      <c r="J5" s="22">
        <f t="shared" ref="J5:J13" si="6">AE5-AG5</f>
        <v>182</v>
      </c>
      <c r="K5" s="18" t="s">
        <v>144</v>
      </c>
      <c r="L5" s="34" t="s">
        <v>156</v>
      </c>
      <c r="M5" s="19" t="s">
        <v>162</v>
      </c>
      <c r="N5" s="11" t="s">
        <v>161</v>
      </c>
      <c r="O5" s="3" t="s">
        <v>168</v>
      </c>
      <c r="P5" s="27" t="s">
        <v>163</v>
      </c>
      <c r="Q5" s="27" t="s">
        <v>164</v>
      </c>
      <c r="R5" s="27" t="s">
        <v>165</v>
      </c>
      <c r="S5" s="27" t="s">
        <v>166</v>
      </c>
      <c r="T5" s="19" t="s">
        <v>146</v>
      </c>
      <c r="U5" s="19" t="s">
        <v>147</v>
      </c>
      <c r="V5" s="21">
        <v>15.78</v>
      </c>
      <c r="W5" s="21">
        <f>V5+0.039</f>
        <v>15.818999999999999</v>
      </c>
      <c r="X5" s="21">
        <f>V5-0.039</f>
        <v>15.741</v>
      </c>
      <c r="Y5" s="11" t="s">
        <v>150</v>
      </c>
      <c r="Z5" s="18" t="s">
        <v>178</v>
      </c>
      <c r="AA5" s="28">
        <v>47</v>
      </c>
      <c r="AB5" s="20">
        <v>-116.3</v>
      </c>
      <c r="AC5" s="36" t="s">
        <v>150</v>
      </c>
      <c r="AD5" s="36" t="s">
        <v>150</v>
      </c>
      <c r="AE5" s="3">
        <v>605</v>
      </c>
      <c r="AF5" s="18" t="s">
        <v>145</v>
      </c>
      <c r="AG5" s="3">
        <v>423</v>
      </c>
      <c r="AH5" s="3">
        <v>963</v>
      </c>
      <c r="AI5" s="36" t="s">
        <v>159</v>
      </c>
      <c r="AJ5" s="18" t="s">
        <v>136</v>
      </c>
      <c r="AK5" s="31" t="s">
        <v>135</v>
      </c>
      <c r="AL5" s="31" t="s">
        <v>183</v>
      </c>
      <c r="AM5" s="3">
        <v>84333901.829999998</v>
      </c>
      <c r="AN5" s="3">
        <v>0</v>
      </c>
      <c r="AO5" s="37" t="s">
        <v>180</v>
      </c>
      <c r="AP5" s="3">
        <v>0</v>
      </c>
      <c r="AQ5" s="3">
        <v>0</v>
      </c>
      <c r="AR5" s="37" t="s">
        <v>180</v>
      </c>
      <c r="AS5" s="3">
        <v>4.4400000000000002E-5</v>
      </c>
      <c r="AT5" s="3">
        <v>5.1100000000000002E-6</v>
      </c>
      <c r="AU5" s="37" t="s">
        <v>180</v>
      </c>
      <c r="AV5" s="3">
        <v>0</v>
      </c>
      <c r="AW5" s="3">
        <v>0</v>
      </c>
      <c r="AX5" s="37" t="s">
        <v>180</v>
      </c>
      <c r="AY5" s="3">
        <v>1.34E-5</v>
      </c>
      <c r="AZ5" s="3">
        <v>1.3999999999999999E-6</v>
      </c>
      <c r="BA5" s="37" t="s">
        <v>180</v>
      </c>
      <c r="BB5" s="3">
        <v>0</v>
      </c>
      <c r="BC5" s="3">
        <v>0</v>
      </c>
      <c r="BD5" s="37" t="s">
        <v>180</v>
      </c>
      <c r="BE5" s="3">
        <v>-26.730641139999999</v>
      </c>
      <c r="BF5" s="3">
        <v>0</v>
      </c>
      <c r="BG5" s="37" t="s">
        <v>180</v>
      </c>
      <c r="BH5" s="3">
        <v>-5.05</v>
      </c>
      <c r="BI5" s="3">
        <v>1.21</v>
      </c>
      <c r="BJ5" s="38" t="s">
        <v>190</v>
      </c>
      <c r="BK5" s="31" t="s">
        <v>150</v>
      </c>
      <c r="BL5" s="3">
        <v>10</v>
      </c>
      <c r="BM5" s="3">
        <v>0.5</v>
      </c>
      <c r="BN5" s="38" t="s">
        <v>181</v>
      </c>
      <c r="BO5" s="3">
        <v>0.64</v>
      </c>
      <c r="BP5" s="3">
        <v>0</v>
      </c>
      <c r="BQ5" s="37" t="s">
        <v>191</v>
      </c>
      <c r="BR5" s="3">
        <v>2</v>
      </c>
      <c r="BS5" s="3">
        <v>0.1</v>
      </c>
      <c r="BT5" s="38" t="s">
        <v>181</v>
      </c>
      <c r="BU5" s="3">
        <v>0.6</v>
      </c>
      <c r="BV5" s="3">
        <v>0</v>
      </c>
      <c r="BW5" s="38" t="s">
        <v>192</v>
      </c>
      <c r="BX5" s="3">
        <v>1</v>
      </c>
      <c r="BY5" s="3">
        <v>0.05</v>
      </c>
      <c r="BZ5" s="38" t="s">
        <v>181</v>
      </c>
      <c r="CA5" s="3">
        <v>0.5</v>
      </c>
      <c r="CB5" s="3">
        <v>2.5000000000000001E-2</v>
      </c>
      <c r="CC5" s="38" t="s">
        <v>181</v>
      </c>
      <c r="CD5" s="3">
        <v>0.21</v>
      </c>
      <c r="CE5" s="3">
        <v>0.02</v>
      </c>
      <c r="CF5" s="38" t="s">
        <v>193</v>
      </c>
      <c r="CG5" s="3">
        <v>1.2999999999999999E-2</v>
      </c>
      <c r="CH5" s="3">
        <v>6.4999999999999997E-4</v>
      </c>
      <c r="CI5" s="38" t="s">
        <v>181</v>
      </c>
      <c r="CJ5" s="3" t="s">
        <v>179</v>
      </c>
      <c r="CK5" s="39">
        <v>30</v>
      </c>
      <c r="CL5" s="39">
        <v>9.4009599999999997E-4</v>
      </c>
      <c r="CM5" s="39">
        <v>40</v>
      </c>
      <c r="CN5" s="39">
        <v>25</v>
      </c>
    </row>
    <row r="6" spans="1:92" x14ac:dyDescent="0.2">
      <c r="A6" s="11" t="s">
        <v>143</v>
      </c>
      <c r="B6" s="11" t="s">
        <v>160</v>
      </c>
      <c r="C6" s="11">
        <v>2022</v>
      </c>
      <c r="D6" s="11" t="str">
        <f t="shared" si="0"/>
        <v>10.1016/j.gloplacha.2022.103737</v>
      </c>
      <c r="E6" s="11">
        <f t="shared" si="1"/>
        <v>15780</v>
      </c>
      <c r="F6" s="11">
        <f t="shared" si="2"/>
        <v>38.999999999999702</v>
      </c>
      <c r="G6" s="11">
        <f t="shared" si="3"/>
        <v>38.999999999999702</v>
      </c>
      <c r="H6" s="22">
        <f t="shared" si="4"/>
        <v>473</v>
      </c>
      <c r="I6" s="22">
        <f t="shared" si="5"/>
        <v>216</v>
      </c>
      <c r="J6" s="22">
        <f t="shared" si="6"/>
        <v>123</v>
      </c>
      <c r="K6" s="18" t="s">
        <v>144</v>
      </c>
      <c r="L6" s="34" t="s">
        <v>156</v>
      </c>
      <c r="M6" s="19" t="s">
        <v>162</v>
      </c>
      <c r="N6" s="11" t="s">
        <v>161</v>
      </c>
      <c r="O6" s="3" t="s">
        <v>169</v>
      </c>
      <c r="P6" s="27" t="s">
        <v>163</v>
      </c>
      <c r="Q6" s="27" t="s">
        <v>164</v>
      </c>
      <c r="R6" s="27" t="s">
        <v>165</v>
      </c>
      <c r="S6" s="27" t="s">
        <v>166</v>
      </c>
      <c r="T6" s="19" t="s">
        <v>146</v>
      </c>
      <c r="U6" s="19" t="s">
        <v>147</v>
      </c>
      <c r="V6" s="21">
        <v>15.78</v>
      </c>
      <c r="W6" s="21">
        <f t="shared" ref="W6:W13" si="7">V6+0.039</f>
        <v>15.818999999999999</v>
      </c>
      <c r="X6" s="21">
        <f t="shared" ref="X6:X13" si="8">V6-0.039</f>
        <v>15.741</v>
      </c>
      <c r="Y6" s="11" t="s">
        <v>150</v>
      </c>
      <c r="Z6" s="18" t="s">
        <v>178</v>
      </c>
      <c r="AA6" s="28">
        <v>47</v>
      </c>
      <c r="AB6" s="20">
        <v>-116.3</v>
      </c>
      <c r="AC6" s="36" t="s">
        <v>150</v>
      </c>
      <c r="AD6" s="36" t="s">
        <v>150</v>
      </c>
      <c r="AE6" s="3">
        <v>473</v>
      </c>
      <c r="AF6" s="18" t="s">
        <v>145</v>
      </c>
      <c r="AG6" s="3">
        <v>350</v>
      </c>
      <c r="AH6" s="3">
        <v>689</v>
      </c>
      <c r="AI6" s="36" t="s">
        <v>159</v>
      </c>
      <c r="AJ6" s="18" t="s">
        <v>136</v>
      </c>
      <c r="AK6" s="31" t="s">
        <v>135</v>
      </c>
      <c r="AL6" s="31" t="s">
        <v>184</v>
      </c>
      <c r="AM6" s="3">
        <v>115062282.5</v>
      </c>
      <c r="AN6" s="3">
        <v>6438148.5180000002</v>
      </c>
      <c r="AO6" s="37" t="s">
        <v>180</v>
      </c>
      <c r="AP6" s="3">
        <v>0</v>
      </c>
      <c r="AQ6" s="3">
        <v>0</v>
      </c>
      <c r="AR6" s="37" t="s">
        <v>180</v>
      </c>
      <c r="AS6" s="3">
        <v>4.1199999999999999E-5</v>
      </c>
      <c r="AT6" s="3">
        <v>2.96E-6</v>
      </c>
      <c r="AU6" s="37" t="s">
        <v>180</v>
      </c>
      <c r="AV6" s="3">
        <v>0</v>
      </c>
      <c r="AW6" s="3">
        <v>0</v>
      </c>
      <c r="AX6" s="37" t="s">
        <v>180</v>
      </c>
      <c r="AY6" s="3">
        <v>1.19E-5</v>
      </c>
      <c r="AZ6" s="3">
        <v>1.2699999999999999E-6</v>
      </c>
      <c r="BA6" s="37" t="s">
        <v>180</v>
      </c>
      <c r="BB6" s="3">
        <v>0</v>
      </c>
      <c r="BC6" s="3">
        <v>0</v>
      </c>
      <c r="BD6" s="37" t="s">
        <v>180</v>
      </c>
      <c r="BE6" s="3">
        <v>-25.87607749</v>
      </c>
      <c r="BF6" s="3">
        <v>0</v>
      </c>
      <c r="BG6" s="37" t="s">
        <v>180</v>
      </c>
      <c r="BH6" s="3">
        <v>-5.05</v>
      </c>
      <c r="BI6" s="3">
        <v>1.21</v>
      </c>
      <c r="BJ6" s="38" t="s">
        <v>190</v>
      </c>
      <c r="BK6" s="31" t="s">
        <v>150</v>
      </c>
      <c r="BL6" s="3">
        <v>10</v>
      </c>
      <c r="BM6" s="3">
        <v>0.5</v>
      </c>
      <c r="BN6" s="38" t="s">
        <v>181</v>
      </c>
      <c r="BO6" s="3">
        <v>0.64</v>
      </c>
      <c r="BP6" s="3">
        <v>0</v>
      </c>
      <c r="BQ6" s="37" t="s">
        <v>191</v>
      </c>
      <c r="BR6" s="3">
        <v>2</v>
      </c>
      <c r="BS6" s="3">
        <v>0.1</v>
      </c>
      <c r="BT6" s="38" t="s">
        <v>181</v>
      </c>
      <c r="BU6" s="3">
        <v>0.6</v>
      </c>
      <c r="BV6" s="3">
        <v>0</v>
      </c>
      <c r="BW6" s="38" t="s">
        <v>192</v>
      </c>
      <c r="BX6" s="3">
        <v>1</v>
      </c>
      <c r="BY6" s="3">
        <v>0.05</v>
      </c>
      <c r="BZ6" s="38" t="s">
        <v>181</v>
      </c>
      <c r="CA6" s="3">
        <v>0.5</v>
      </c>
      <c r="CB6" s="3">
        <v>2.5000000000000001E-2</v>
      </c>
      <c r="CC6" s="38" t="s">
        <v>181</v>
      </c>
      <c r="CD6" s="3">
        <v>0.21</v>
      </c>
      <c r="CE6" s="3">
        <v>0.02</v>
      </c>
      <c r="CF6" s="38" t="s">
        <v>193</v>
      </c>
      <c r="CG6" s="3">
        <v>1.2999999999999999E-2</v>
      </c>
      <c r="CH6" s="3">
        <v>6.4999999999999997E-4</v>
      </c>
      <c r="CI6" s="38" t="s">
        <v>181</v>
      </c>
      <c r="CJ6" s="3" t="s">
        <v>179</v>
      </c>
      <c r="CK6" s="39">
        <v>30</v>
      </c>
      <c r="CL6" s="39">
        <v>9.4009599999999997E-4</v>
      </c>
      <c r="CM6" s="39">
        <v>40</v>
      </c>
      <c r="CN6" s="39">
        <v>25</v>
      </c>
    </row>
    <row r="7" spans="1:92" x14ac:dyDescent="0.2">
      <c r="A7" s="11" t="s">
        <v>143</v>
      </c>
      <c r="B7" s="11" t="s">
        <v>160</v>
      </c>
      <c r="C7" s="11">
        <v>2022</v>
      </c>
      <c r="D7" s="11" t="str">
        <f t="shared" si="0"/>
        <v>10.1016/j.gloplacha.2022.103737</v>
      </c>
      <c r="E7" s="11">
        <f t="shared" si="1"/>
        <v>15780</v>
      </c>
      <c r="F7" s="11">
        <f t="shared" si="2"/>
        <v>38.999999999999702</v>
      </c>
      <c r="G7" s="11">
        <f t="shared" si="3"/>
        <v>38.999999999999702</v>
      </c>
      <c r="H7" s="22">
        <f t="shared" si="4"/>
        <v>444</v>
      </c>
      <c r="I7" s="22">
        <f t="shared" si="5"/>
        <v>183</v>
      </c>
      <c r="J7" s="22">
        <f t="shared" si="6"/>
        <v>109</v>
      </c>
      <c r="K7" s="18" t="s">
        <v>144</v>
      </c>
      <c r="L7" s="34" t="s">
        <v>156</v>
      </c>
      <c r="M7" s="19" t="s">
        <v>162</v>
      </c>
      <c r="N7" s="11" t="s">
        <v>161</v>
      </c>
      <c r="O7" s="3" t="s">
        <v>170</v>
      </c>
      <c r="P7" s="27" t="s">
        <v>163</v>
      </c>
      <c r="Q7" s="27" t="s">
        <v>164</v>
      </c>
      <c r="R7" s="27" t="s">
        <v>165</v>
      </c>
      <c r="S7" s="27" t="s">
        <v>166</v>
      </c>
      <c r="T7" s="19" t="s">
        <v>146</v>
      </c>
      <c r="U7" s="19" t="s">
        <v>147</v>
      </c>
      <c r="V7" s="21">
        <v>15.78</v>
      </c>
      <c r="W7" s="21">
        <f t="shared" si="7"/>
        <v>15.818999999999999</v>
      </c>
      <c r="X7" s="21">
        <f t="shared" si="8"/>
        <v>15.741</v>
      </c>
      <c r="Y7" s="11" t="s">
        <v>150</v>
      </c>
      <c r="Z7" s="18" t="s">
        <v>178</v>
      </c>
      <c r="AA7" s="28">
        <v>47</v>
      </c>
      <c r="AB7" s="20">
        <v>-116.3</v>
      </c>
      <c r="AC7" s="36" t="s">
        <v>150</v>
      </c>
      <c r="AD7" s="36" t="s">
        <v>150</v>
      </c>
      <c r="AE7" s="3">
        <v>444</v>
      </c>
      <c r="AF7" s="18" t="s">
        <v>145</v>
      </c>
      <c r="AG7" s="3">
        <v>335</v>
      </c>
      <c r="AH7" s="3">
        <v>627</v>
      </c>
      <c r="AI7" s="36" t="s">
        <v>159</v>
      </c>
      <c r="AJ7" s="18" t="s">
        <v>136</v>
      </c>
      <c r="AK7" s="31" t="s">
        <v>135</v>
      </c>
      <c r="AL7" s="31" t="s">
        <v>185</v>
      </c>
      <c r="AM7" s="3">
        <v>94378005.549999997</v>
      </c>
      <c r="AN7" s="3">
        <v>0</v>
      </c>
      <c r="AO7" s="37" t="s">
        <v>180</v>
      </c>
      <c r="AP7" s="3">
        <v>0</v>
      </c>
      <c r="AQ7" s="3">
        <v>0</v>
      </c>
      <c r="AR7" s="37" t="s">
        <v>180</v>
      </c>
      <c r="AS7" s="3">
        <v>4.35E-5</v>
      </c>
      <c r="AT7" s="3">
        <v>3.3400000000000002E-6</v>
      </c>
      <c r="AU7" s="37" t="s">
        <v>180</v>
      </c>
      <c r="AV7" s="3">
        <v>0</v>
      </c>
      <c r="AW7" s="3">
        <v>0</v>
      </c>
      <c r="AX7" s="37" t="s">
        <v>180</v>
      </c>
      <c r="AY7" s="3">
        <v>1.27E-5</v>
      </c>
      <c r="AZ7" s="3">
        <v>9.78E-7</v>
      </c>
      <c r="BA7" s="37" t="s">
        <v>180</v>
      </c>
      <c r="BB7" s="3">
        <v>0</v>
      </c>
      <c r="BC7" s="3">
        <v>0</v>
      </c>
      <c r="BD7" s="37" t="s">
        <v>180</v>
      </c>
      <c r="BE7" s="3">
        <v>-24.71512152</v>
      </c>
      <c r="BF7" s="3">
        <v>0</v>
      </c>
      <c r="BG7" s="37" t="s">
        <v>180</v>
      </c>
      <c r="BH7" s="3">
        <v>-5.05</v>
      </c>
      <c r="BI7" s="3">
        <v>1.21</v>
      </c>
      <c r="BJ7" s="38" t="s">
        <v>190</v>
      </c>
      <c r="BK7" s="31" t="s">
        <v>150</v>
      </c>
      <c r="BL7" s="3">
        <v>10</v>
      </c>
      <c r="BM7" s="3">
        <v>0.5</v>
      </c>
      <c r="BN7" s="38" t="s">
        <v>181</v>
      </c>
      <c r="BO7" s="3">
        <v>0.64</v>
      </c>
      <c r="BP7" s="3">
        <v>0</v>
      </c>
      <c r="BQ7" s="37" t="s">
        <v>191</v>
      </c>
      <c r="BR7" s="3">
        <v>2</v>
      </c>
      <c r="BS7" s="3">
        <v>0.1</v>
      </c>
      <c r="BT7" s="38" t="s">
        <v>181</v>
      </c>
      <c r="BU7" s="3">
        <v>0.6</v>
      </c>
      <c r="BV7" s="3">
        <v>0</v>
      </c>
      <c r="BW7" s="38" t="s">
        <v>192</v>
      </c>
      <c r="BX7" s="3">
        <v>1</v>
      </c>
      <c r="BY7" s="3">
        <v>0.05</v>
      </c>
      <c r="BZ7" s="38" t="s">
        <v>181</v>
      </c>
      <c r="CA7" s="3">
        <v>0.5</v>
      </c>
      <c r="CB7" s="3">
        <v>2.5000000000000001E-2</v>
      </c>
      <c r="CC7" s="38" t="s">
        <v>181</v>
      </c>
      <c r="CD7" s="3">
        <v>0.21</v>
      </c>
      <c r="CE7" s="3">
        <v>0.02</v>
      </c>
      <c r="CF7" s="38" t="s">
        <v>193</v>
      </c>
      <c r="CG7" s="3">
        <v>1.2999999999999999E-2</v>
      </c>
      <c r="CH7" s="3">
        <v>6.4999999999999997E-4</v>
      </c>
      <c r="CI7" s="38" t="s">
        <v>181</v>
      </c>
      <c r="CJ7" s="3" t="s">
        <v>179</v>
      </c>
      <c r="CK7" s="39">
        <v>30</v>
      </c>
      <c r="CL7" s="39">
        <v>9.4009599999999997E-4</v>
      </c>
      <c r="CM7" s="39">
        <v>40</v>
      </c>
      <c r="CN7" s="39">
        <v>25</v>
      </c>
    </row>
    <row r="8" spans="1:92" x14ac:dyDescent="0.2">
      <c r="A8" s="11" t="s">
        <v>143</v>
      </c>
      <c r="B8" s="11" t="s">
        <v>160</v>
      </c>
      <c r="C8" s="11">
        <v>2022</v>
      </c>
      <c r="D8" s="11" t="str">
        <f t="shared" si="0"/>
        <v>10.1016/j.gloplacha.2022.103737</v>
      </c>
      <c r="E8" s="11">
        <f t="shared" si="1"/>
        <v>15780</v>
      </c>
      <c r="F8" s="11">
        <f t="shared" si="2"/>
        <v>38.999999999999702</v>
      </c>
      <c r="G8" s="11">
        <f t="shared" si="3"/>
        <v>38.999999999999702</v>
      </c>
      <c r="H8" s="22">
        <f t="shared" si="4"/>
        <v>399</v>
      </c>
      <c r="I8" s="22">
        <f t="shared" si="5"/>
        <v>154</v>
      </c>
      <c r="J8" s="22">
        <f t="shared" si="6"/>
        <v>96</v>
      </c>
      <c r="K8" s="18" t="s">
        <v>144</v>
      </c>
      <c r="L8" s="34" t="s">
        <v>156</v>
      </c>
      <c r="M8" s="19" t="s">
        <v>162</v>
      </c>
      <c r="N8" s="11" t="s">
        <v>161</v>
      </c>
      <c r="O8" s="3" t="s">
        <v>171</v>
      </c>
      <c r="P8" s="27" t="s">
        <v>163</v>
      </c>
      <c r="Q8" s="27" t="s">
        <v>164</v>
      </c>
      <c r="R8" s="27" t="s">
        <v>165</v>
      </c>
      <c r="S8" s="27" t="s">
        <v>166</v>
      </c>
      <c r="T8" s="19" t="s">
        <v>146</v>
      </c>
      <c r="U8" s="19" t="s">
        <v>147</v>
      </c>
      <c r="V8" s="21">
        <v>15.78</v>
      </c>
      <c r="W8" s="21">
        <f t="shared" si="7"/>
        <v>15.818999999999999</v>
      </c>
      <c r="X8" s="21">
        <f t="shared" si="8"/>
        <v>15.741</v>
      </c>
      <c r="Y8" s="11" t="s">
        <v>150</v>
      </c>
      <c r="Z8" s="18" t="s">
        <v>178</v>
      </c>
      <c r="AA8" s="28">
        <v>47</v>
      </c>
      <c r="AB8" s="20">
        <v>-116.3</v>
      </c>
      <c r="AC8" s="36" t="s">
        <v>150</v>
      </c>
      <c r="AD8" s="36" t="s">
        <v>150</v>
      </c>
      <c r="AE8" s="27">
        <v>399</v>
      </c>
      <c r="AF8" s="18" t="s">
        <v>145</v>
      </c>
      <c r="AG8" s="27">
        <v>303</v>
      </c>
      <c r="AH8" s="27">
        <v>553</v>
      </c>
      <c r="AI8" s="36" t="s">
        <v>159</v>
      </c>
      <c r="AJ8" s="18" t="s">
        <v>136</v>
      </c>
      <c r="AK8" s="31" t="s">
        <v>135</v>
      </c>
      <c r="AL8" s="31" t="s">
        <v>183</v>
      </c>
      <c r="AM8" s="3">
        <v>139870861.59999999</v>
      </c>
      <c r="AN8" s="3">
        <v>0</v>
      </c>
      <c r="AO8" s="37" t="s">
        <v>180</v>
      </c>
      <c r="AP8" s="3">
        <v>0</v>
      </c>
      <c r="AQ8" s="3">
        <v>0</v>
      </c>
      <c r="AR8" s="37" t="s">
        <v>180</v>
      </c>
      <c r="AS8" s="3">
        <v>4.1999999999999998E-5</v>
      </c>
      <c r="AT8" s="3">
        <v>2.4099999999999998E-6</v>
      </c>
      <c r="AU8" s="37" t="s">
        <v>180</v>
      </c>
      <c r="AV8" s="3">
        <v>0</v>
      </c>
      <c r="AW8" s="3">
        <v>0</v>
      </c>
      <c r="AX8" s="37" t="s">
        <v>180</v>
      </c>
      <c r="AY8" s="3">
        <v>1.2E-5</v>
      </c>
      <c r="AZ8" s="3">
        <v>1.0499999999999999E-6</v>
      </c>
      <c r="BA8" s="37" t="s">
        <v>180</v>
      </c>
      <c r="BB8" s="3">
        <v>0</v>
      </c>
      <c r="BC8" s="3">
        <v>0</v>
      </c>
      <c r="BD8" s="37" t="s">
        <v>180</v>
      </c>
      <c r="BE8" s="3">
        <v>-25.290388750000002</v>
      </c>
      <c r="BF8" s="3">
        <v>0</v>
      </c>
      <c r="BG8" s="37" t="s">
        <v>180</v>
      </c>
      <c r="BH8" s="3">
        <v>-5.05</v>
      </c>
      <c r="BI8" s="3">
        <v>1.21</v>
      </c>
      <c r="BJ8" s="38" t="s">
        <v>190</v>
      </c>
      <c r="BK8" s="31" t="s">
        <v>150</v>
      </c>
      <c r="BL8" s="3">
        <v>10</v>
      </c>
      <c r="BM8" s="3">
        <v>0.5</v>
      </c>
      <c r="BN8" s="38" t="s">
        <v>181</v>
      </c>
      <c r="BO8" s="3">
        <v>0.64</v>
      </c>
      <c r="BP8" s="3">
        <v>0</v>
      </c>
      <c r="BQ8" s="37" t="s">
        <v>191</v>
      </c>
      <c r="BR8" s="3">
        <v>2</v>
      </c>
      <c r="BS8" s="3">
        <v>0.1</v>
      </c>
      <c r="BT8" s="38" t="s">
        <v>181</v>
      </c>
      <c r="BU8" s="3">
        <v>0.6</v>
      </c>
      <c r="BV8" s="3">
        <v>0</v>
      </c>
      <c r="BW8" s="38" t="s">
        <v>192</v>
      </c>
      <c r="BX8" s="3">
        <v>1</v>
      </c>
      <c r="BY8" s="3">
        <v>0.05</v>
      </c>
      <c r="BZ8" s="38" t="s">
        <v>181</v>
      </c>
      <c r="CA8" s="3">
        <v>0.5</v>
      </c>
      <c r="CB8" s="3">
        <v>2.5000000000000001E-2</v>
      </c>
      <c r="CC8" s="38" t="s">
        <v>181</v>
      </c>
      <c r="CD8" s="3">
        <v>0.21</v>
      </c>
      <c r="CE8" s="3">
        <v>0.02</v>
      </c>
      <c r="CF8" s="38" t="s">
        <v>193</v>
      </c>
      <c r="CG8" s="3">
        <v>1.2999999999999999E-2</v>
      </c>
      <c r="CH8" s="3">
        <v>6.4999999999999997E-4</v>
      </c>
      <c r="CI8" s="38" t="s">
        <v>181</v>
      </c>
      <c r="CJ8" s="3" t="s">
        <v>179</v>
      </c>
      <c r="CK8" s="39">
        <v>30</v>
      </c>
      <c r="CL8" s="39">
        <v>9.4009599999999997E-4</v>
      </c>
      <c r="CM8" s="39">
        <v>40</v>
      </c>
      <c r="CN8" s="39">
        <v>25</v>
      </c>
    </row>
    <row r="9" spans="1:92" x14ac:dyDescent="0.2">
      <c r="A9" s="11" t="s">
        <v>143</v>
      </c>
      <c r="B9" s="11" t="s">
        <v>160</v>
      </c>
      <c r="C9" s="11">
        <v>2022</v>
      </c>
      <c r="D9" s="11" t="str">
        <f t="shared" si="0"/>
        <v>10.1016/j.gloplacha.2022.103737</v>
      </c>
      <c r="E9" s="11">
        <f t="shared" si="1"/>
        <v>15780</v>
      </c>
      <c r="F9" s="11">
        <f t="shared" si="2"/>
        <v>38.999999999999702</v>
      </c>
      <c r="G9" s="11">
        <f t="shared" si="3"/>
        <v>38.999999999999702</v>
      </c>
      <c r="H9" s="22">
        <f t="shared" si="4"/>
        <v>664</v>
      </c>
      <c r="I9" s="22">
        <f t="shared" si="5"/>
        <v>436</v>
      </c>
      <c r="J9" s="22">
        <f t="shared" si="6"/>
        <v>201</v>
      </c>
      <c r="K9" s="18" t="s">
        <v>144</v>
      </c>
      <c r="L9" s="34" t="s">
        <v>156</v>
      </c>
      <c r="M9" s="19" t="s">
        <v>162</v>
      </c>
      <c r="N9" s="11" t="s">
        <v>161</v>
      </c>
      <c r="O9" s="3" t="s">
        <v>172</v>
      </c>
      <c r="P9" s="27" t="s">
        <v>163</v>
      </c>
      <c r="Q9" s="27" t="s">
        <v>164</v>
      </c>
      <c r="R9" s="27" t="s">
        <v>165</v>
      </c>
      <c r="S9" s="27" t="s">
        <v>166</v>
      </c>
      <c r="T9" s="19" t="s">
        <v>146</v>
      </c>
      <c r="U9" s="19" t="s">
        <v>147</v>
      </c>
      <c r="V9" s="21">
        <v>15.78</v>
      </c>
      <c r="W9" s="21">
        <f t="shared" si="7"/>
        <v>15.818999999999999</v>
      </c>
      <c r="X9" s="21">
        <f t="shared" si="8"/>
        <v>15.741</v>
      </c>
      <c r="Y9" s="11" t="s">
        <v>150</v>
      </c>
      <c r="Z9" s="18" t="s">
        <v>178</v>
      </c>
      <c r="AA9" s="28">
        <v>47</v>
      </c>
      <c r="AB9" s="20">
        <v>-116.3</v>
      </c>
      <c r="AC9" s="36" t="s">
        <v>150</v>
      </c>
      <c r="AD9" s="36" t="s">
        <v>150</v>
      </c>
      <c r="AE9" s="27">
        <v>664</v>
      </c>
      <c r="AF9" s="18" t="s">
        <v>145</v>
      </c>
      <c r="AG9" s="27">
        <v>463</v>
      </c>
      <c r="AH9" s="27">
        <v>1100</v>
      </c>
      <c r="AI9" s="36" t="s">
        <v>159</v>
      </c>
      <c r="AJ9" s="18" t="s">
        <v>136</v>
      </c>
      <c r="AK9" s="31" t="s">
        <v>135</v>
      </c>
      <c r="AL9" s="31" t="s">
        <v>183</v>
      </c>
      <c r="AM9" s="3">
        <v>94140169.489999995</v>
      </c>
      <c r="AN9" s="3">
        <v>0</v>
      </c>
      <c r="AO9" s="37" t="s">
        <v>180</v>
      </c>
      <c r="AP9" s="3">
        <v>0</v>
      </c>
      <c r="AQ9" s="3">
        <v>0</v>
      </c>
      <c r="AR9" s="37" t="s">
        <v>180</v>
      </c>
      <c r="AS9" s="3">
        <v>4.6799999999999999E-5</v>
      </c>
      <c r="AT9" s="3">
        <v>2.6900000000000001E-6</v>
      </c>
      <c r="AU9" s="37" t="s">
        <v>180</v>
      </c>
      <c r="AV9" s="3">
        <v>0</v>
      </c>
      <c r="AW9" s="3">
        <v>0</v>
      </c>
      <c r="AX9" s="37" t="s">
        <v>180</v>
      </c>
      <c r="AY9" s="3">
        <v>1.4100000000000001E-5</v>
      </c>
      <c r="AZ9" s="3">
        <v>2.03E-6</v>
      </c>
      <c r="BA9" s="37" t="s">
        <v>180</v>
      </c>
      <c r="BB9" s="3">
        <v>0</v>
      </c>
      <c r="BC9" s="3">
        <v>0</v>
      </c>
      <c r="BD9" s="37" t="s">
        <v>180</v>
      </c>
      <c r="BE9" s="3">
        <v>-27.97</v>
      </c>
      <c r="BF9" s="3">
        <v>0</v>
      </c>
      <c r="BG9" s="37" t="s">
        <v>180</v>
      </c>
      <c r="BH9" s="3">
        <v>-5.05</v>
      </c>
      <c r="BI9" s="3">
        <v>1.21</v>
      </c>
      <c r="BJ9" s="38" t="s">
        <v>190</v>
      </c>
      <c r="BK9" s="31" t="s">
        <v>150</v>
      </c>
      <c r="BL9" s="3">
        <v>10</v>
      </c>
      <c r="BM9" s="3">
        <v>0.5</v>
      </c>
      <c r="BN9" s="38" t="s">
        <v>181</v>
      </c>
      <c r="BO9" s="3">
        <v>0.64</v>
      </c>
      <c r="BP9" s="3">
        <v>0</v>
      </c>
      <c r="BQ9" s="37" t="s">
        <v>191</v>
      </c>
      <c r="BR9" s="3">
        <v>2</v>
      </c>
      <c r="BS9" s="3">
        <v>0.1</v>
      </c>
      <c r="BT9" s="38" t="s">
        <v>181</v>
      </c>
      <c r="BU9" s="3">
        <v>0.6</v>
      </c>
      <c r="BV9" s="3">
        <v>0</v>
      </c>
      <c r="BW9" s="38" t="s">
        <v>192</v>
      </c>
      <c r="BX9" s="3">
        <v>1</v>
      </c>
      <c r="BY9" s="3">
        <v>0.05</v>
      </c>
      <c r="BZ9" s="38" t="s">
        <v>181</v>
      </c>
      <c r="CA9" s="3">
        <v>0.5</v>
      </c>
      <c r="CB9" s="3">
        <v>2.5000000000000001E-2</v>
      </c>
      <c r="CC9" s="38" t="s">
        <v>181</v>
      </c>
      <c r="CD9" s="3">
        <v>0.21</v>
      </c>
      <c r="CE9" s="3">
        <v>0.02</v>
      </c>
      <c r="CF9" s="38" t="s">
        <v>193</v>
      </c>
      <c r="CG9" s="3">
        <v>1.2999999999999999E-2</v>
      </c>
      <c r="CH9" s="3">
        <v>6.4999999999999997E-4</v>
      </c>
      <c r="CI9" s="38" t="s">
        <v>181</v>
      </c>
      <c r="CJ9" s="3" t="s">
        <v>179</v>
      </c>
      <c r="CK9" s="39">
        <v>30</v>
      </c>
      <c r="CL9" s="39">
        <v>9.4009599999999997E-4</v>
      </c>
      <c r="CM9" s="39">
        <v>40</v>
      </c>
      <c r="CN9" s="39">
        <v>25</v>
      </c>
    </row>
    <row r="10" spans="1:92" x14ac:dyDescent="0.2">
      <c r="A10" s="11" t="s">
        <v>143</v>
      </c>
      <c r="B10" s="11" t="s">
        <v>160</v>
      </c>
      <c r="C10" s="11">
        <v>2022</v>
      </c>
      <c r="D10" s="11" t="str">
        <f t="shared" si="0"/>
        <v>10.1016/j.gloplacha.2022.103737</v>
      </c>
      <c r="E10" s="11">
        <f t="shared" si="1"/>
        <v>15780</v>
      </c>
      <c r="F10" s="11">
        <f t="shared" si="2"/>
        <v>38.999999999999702</v>
      </c>
      <c r="G10" s="11">
        <f t="shared" si="3"/>
        <v>38.999999999999702</v>
      </c>
      <c r="H10" s="22">
        <f t="shared" si="4"/>
        <v>587</v>
      </c>
      <c r="I10" s="22">
        <f t="shared" si="5"/>
        <v>295</v>
      </c>
      <c r="J10" s="22">
        <f t="shared" si="6"/>
        <v>165</v>
      </c>
      <c r="K10" s="18" t="s">
        <v>144</v>
      </c>
      <c r="L10" s="34" t="s">
        <v>156</v>
      </c>
      <c r="M10" s="19" t="s">
        <v>162</v>
      </c>
      <c r="N10" s="11" t="s">
        <v>161</v>
      </c>
      <c r="O10" s="3" t="s">
        <v>173</v>
      </c>
      <c r="P10" s="27" t="s">
        <v>163</v>
      </c>
      <c r="Q10" s="3" t="s">
        <v>177</v>
      </c>
      <c r="R10" s="27" t="s">
        <v>165</v>
      </c>
      <c r="S10" s="27" t="s">
        <v>166</v>
      </c>
      <c r="T10" s="19" t="s">
        <v>146</v>
      </c>
      <c r="U10" s="19" t="s">
        <v>147</v>
      </c>
      <c r="V10" s="21">
        <v>15.78</v>
      </c>
      <c r="W10" s="21">
        <f t="shared" si="7"/>
        <v>15.818999999999999</v>
      </c>
      <c r="X10" s="21">
        <f t="shared" si="8"/>
        <v>15.741</v>
      </c>
      <c r="Y10" s="11" t="s">
        <v>150</v>
      </c>
      <c r="Z10" s="18" t="s">
        <v>178</v>
      </c>
      <c r="AA10" s="28">
        <v>47</v>
      </c>
      <c r="AB10" s="20">
        <v>-116.3</v>
      </c>
      <c r="AC10" s="36" t="s">
        <v>150</v>
      </c>
      <c r="AD10" s="36" t="s">
        <v>150</v>
      </c>
      <c r="AE10" s="27">
        <v>587</v>
      </c>
      <c r="AF10" s="18" t="s">
        <v>145</v>
      </c>
      <c r="AG10" s="27">
        <v>422</v>
      </c>
      <c r="AH10" s="27">
        <v>882</v>
      </c>
      <c r="AI10" s="36" t="s">
        <v>159</v>
      </c>
      <c r="AJ10" s="18" t="s">
        <v>136</v>
      </c>
      <c r="AK10" s="31" t="s">
        <v>135</v>
      </c>
      <c r="AL10" s="31" t="s">
        <v>186</v>
      </c>
      <c r="AM10" s="3">
        <v>47505591.039999999</v>
      </c>
      <c r="AN10" s="3">
        <v>0</v>
      </c>
      <c r="AO10" s="37" t="s">
        <v>180</v>
      </c>
      <c r="AP10" s="3">
        <v>0</v>
      </c>
      <c r="AQ10" s="3">
        <v>0</v>
      </c>
      <c r="AR10" s="37" t="s">
        <v>180</v>
      </c>
      <c r="AS10" s="3">
        <v>5.3600000000000002E-5</v>
      </c>
      <c r="AT10" s="3">
        <v>5.9399999999999999E-6</v>
      </c>
      <c r="AU10" s="37" t="s">
        <v>180</v>
      </c>
      <c r="AV10" s="3">
        <v>0</v>
      </c>
      <c r="AW10" s="3">
        <v>0</v>
      </c>
      <c r="AX10" s="37" t="s">
        <v>180</v>
      </c>
      <c r="AY10" s="3">
        <v>1.7E-5</v>
      </c>
      <c r="AZ10" s="3">
        <v>9.9199999999999999E-7</v>
      </c>
      <c r="BA10" s="37" t="s">
        <v>180</v>
      </c>
      <c r="BB10" s="3">
        <v>0</v>
      </c>
      <c r="BC10" s="3">
        <v>0</v>
      </c>
      <c r="BD10" s="37" t="s">
        <v>180</v>
      </c>
      <c r="BE10" s="3">
        <v>-24.5</v>
      </c>
      <c r="BF10" s="3">
        <v>0</v>
      </c>
      <c r="BG10" s="37" t="s">
        <v>180</v>
      </c>
      <c r="BH10" s="3">
        <v>-5.05</v>
      </c>
      <c r="BI10" s="3">
        <v>1.21</v>
      </c>
      <c r="BJ10" s="38" t="s">
        <v>190</v>
      </c>
      <c r="BK10" s="31" t="s">
        <v>150</v>
      </c>
      <c r="BL10" s="3">
        <v>10</v>
      </c>
      <c r="BM10" s="3">
        <v>0.5</v>
      </c>
      <c r="BN10" s="38" t="s">
        <v>181</v>
      </c>
      <c r="BO10" s="3">
        <v>0.64</v>
      </c>
      <c r="BP10" s="3">
        <v>0</v>
      </c>
      <c r="BQ10" s="37" t="s">
        <v>191</v>
      </c>
      <c r="BR10" s="3">
        <v>2</v>
      </c>
      <c r="BS10" s="3">
        <v>0.1</v>
      </c>
      <c r="BT10" s="38" t="s">
        <v>181</v>
      </c>
      <c r="BU10" s="3">
        <v>0.6</v>
      </c>
      <c r="BV10" s="3">
        <v>0</v>
      </c>
      <c r="BW10" s="38" t="s">
        <v>192</v>
      </c>
      <c r="BX10" s="3">
        <v>1</v>
      </c>
      <c r="BY10" s="3">
        <v>0.05</v>
      </c>
      <c r="BZ10" s="38" t="s">
        <v>181</v>
      </c>
      <c r="CA10" s="3">
        <v>0.5</v>
      </c>
      <c r="CB10" s="3">
        <v>2.5000000000000001E-2</v>
      </c>
      <c r="CC10" s="38" t="s">
        <v>181</v>
      </c>
      <c r="CD10" s="3">
        <v>0.21</v>
      </c>
      <c r="CE10" s="3">
        <v>0.02</v>
      </c>
      <c r="CF10" s="38" t="s">
        <v>193</v>
      </c>
      <c r="CG10" s="3">
        <v>1.2999999999999999E-2</v>
      </c>
      <c r="CH10" s="3">
        <v>6.4999999999999997E-4</v>
      </c>
      <c r="CI10" s="38" t="s">
        <v>181</v>
      </c>
      <c r="CJ10" s="3" t="s">
        <v>179</v>
      </c>
      <c r="CK10" s="39">
        <v>30</v>
      </c>
      <c r="CL10" s="39">
        <v>9.4009599999999997E-4</v>
      </c>
      <c r="CM10" s="39">
        <v>40</v>
      </c>
      <c r="CN10" s="39">
        <v>25</v>
      </c>
    </row>
    <row r="11" spans="1:92" x14ac:dyDescent="0.2">
      <c r="A11" s="11" t="s">
        <v>143</v>
      </c>
      <c r="B11" s="11" t="s">
        <v>160</v>
      </c>
      <c r="C11" s="11">
        <v>2022</v>
      </c>
      <c r="D11" s="11" t="str">
        <f t="shared" si="0"/>
        <v>10.1016/j.gloplacha.2022.103737</v>
      </c>
      <c r="E11" s="11">
        <f t="shared" si="1"/>
        <v>15780</v>
      </c>
      <c r="F11" s="11">
        <f t="shared" si="2"/>
        <v>38.999999999999702</v>
      </c>
      <c r="G11" s="11">
        <f t="shared" si="3"/>
        <v>38.999999999999702</v>
      </c>
      <c r="H11" s="22">
        <f t="shared" si="4"/>
        <v>466</v>
      </c>
      <c r="I11" s="22">
        <f t="shared" si="5"/>
        <v>176</v>
      </c>
      <c r="J11" s="22">
        <f t="shared" si="6"/>
        <v>108</v>
      </c>
      <c r="K11" s="18" t="s">
        <v>144</v>
      </c>
      <c r="L11" s="34" t="s">
        <v>156</v>
      </c>
      <c r="M11" s="19" t="s">
        <v>162</v>
      </c>
      <c r="N11" s="11" t="s">
        <v>161</v>
      </c>
      <c r="O11" s="3" t="s">
        <v>174</v>
      </c>
      <c r="P11" s="27" t="s">
        <v>163</v>
      </c>
      <c r="Q11" s="3" t="s">
        <v>177</v>
      </c>
      <c r="R11" s="27" t="s">
        <v>165</v>
      </c>
      <c r="S11" s="27" t="s">
        <v>166</v>
      </c>
      <c r="T11" s="19" t="s">
        <v>146</v>
      </c>
      <c r="U11" s="19" t="s">
        <v>147</v>
      </c>
      <c r="V11" s="21">
        <v>15.78</v>
      </c>
      <c r="W11" s="21">
        <f t="shared" si="7"/>
        <v>15.818999999999999</v>
      </c>
      <c r="X11" s="21">
        <f t="shared" si="8"/>
        <v>15.741</v>
      </c>
      <c r="Y11" s="11" t="s">
        <v>150</v>
      </c>
      <c r="Z11" s="18" t="s">
        <v>178</v>
      </c>
      <c r="AA11" s="28">
        <v>47</v>
      </c>
      <c r="AB11" s="20">
        <v>-116.3</v>
      </c>
      <c r="AC11" s="36" t="s">
        <v>150</v>
      </c>
      <c r="AD11" s="36" t="s">
        <v>150</v>
      </c>
      <c r="AE11" s="27">
        <v>466</v>
      </c>
      <c r="AF11" s="18" t="s">
        <v>145</v>
      </c>
      <c r="AG11" s="27">
        <v>358</v>
      </c>
      <c r="AH11" s="27">
        <v>642</v>
      </c>
      <c r="AI11" s="36" t="s">
        <v>159</v>
      </c>
      <c r="AJ11" s="18" t="s">
        <v>136</v>
      </c>
      <c r="AK11" s="31" t="s">
        <v>135</v>
      </c>
      <c r="AL11" s="31" t="s">
        <v>187</v>
      </c>
      <c r="AM11" s="3">
        <v>58970000</v>
      </c>
      <c r="AN11" s="3">
        <v>0</v>
      </c>
      <c r="AO11" s="37" t="s">
        <v>180</v>
      </c>
      <c r="AP11" s="3">
        <v>24310000</v>
      </c>
      <c r="AQ11" s="3">
        <v>0</v>
      </c>
      <c r="AR11" s="37" t="s">
        <v>180</v>
      </c>
      <c r="AS11" s="3">
        <v>4.5200000000000001E-5</v>
      </c>
      <c r="AT11" s="3">
        <v>2.03E-6</v>
      </c>
      <c r="AU11" s="37" t="s">
        <v>180</v>
      </c>
      <c r="AV11" s="3">
        <v>4.3600000000000003E-5</v>
      </c>
      <c r="AW11" s="3">
        <v>2.1500000000000002E-6</v>
      </c>
      <c r="AX11" s="37" t="s">
        <v>180</v>
      </c>
      <c r="AY11" s="3">
        <v>1.4800000000000001E-5</v>
      </c>
      <c r="AZ11" s="3">
        <v>1.6199999999999999E-6</v>
      </c>
      <c r="BA11" s="37" t="s">
        <v>180</v>
      </c>
      <c r="BB11" s="3">
        <v>1.2999999999999999E-5</v>
      </c>
      <c r="BC11" s="3">
        <v>2.0700000000000001E-6</v>
      </c>
      <c r="BD11" s="37" t="s">
        <v>180</v>
      </c>
      <c r="BE11" s="3">
        <v>-24.61</v>
      </c>
      <c r="BF11" s="3">
        <v>0</v>
      </c>
      <c r="BG11" s="37" t="s">
        <v>180</v>
      </c>
      <c r="BH11" s="3">
        <v>-5.05</v>
      </c>
      <c r="BI11" s="3">
        <v>1.21</v>
      </c>
      <c r="BJ11" s="38" t="s">
        <v>190</v>
      </c>
      <c r="BK11" s="31" t="s">
        <v>150</v>
      </c>
      <c r="BL11" s="3">
        <v>10</v>
      </c>
      <c r="BM11" s="3">
        <v>0.5</v>
      </c>
      <c r="BN11" s="38" t="s">
        <v>181</v>
      </c>
      <c r="BO11" s="3">
        <v>0.64</v>
      </c>
      <c r="BP11" s="3">
        <v>0</v>
      </c>
      <c r="BQ11" s="37" t="s">
        <v>191</v>
      </c>
      <c r="BR11" s="3">
        <v>2</v>
      </c>
      <c r="BS11" s="3">
        <v>0.1</v>
      </c>
      <c r="BT11" s="38" t="s">
        <v>181</v>
      </c>
      <c r="BU11" s="3">
        <v>0.6</v>
      </c>
      <c r="BV11" s="3">
        <v>0</v>
      </c>
      <c r="BW11" s="38" t="s">
        <v>192</v>
      </c>
      <c r="BX11" s="3">
        <v>1</v>
      </c>
      <c r="BY11" s="3">
        <v>0.05</v>
      </c>
      <c r="BZ11" s="38" t="s">
        <v>181</v>
      </c>
      <c r="CA11" s="3">
        <v>0.5</v>
      </c>
      <c r="CB11" s="3">
        <v>2.5000000000000001E-2</v>
      </c>
      <c r="CC11" s="38" t="s">
        <v>181</v>
      </c>
      <c r="CD11" s="3">
        <v>0.21</v>
      </c>
      <c r="CE11" s="3">
        <v>0.02</v>
      </c>
      <c r="CF11" s="38" t="s">
        <v>193</v>
      </c>
      <c r="CG11" s="3">
        <v>1.2999999999999999E-2</v>
      </c>
      <c r="CH11" s="3">
        <v>6.4999999999999997E-4</v>
      </c>
      <c r="CI11" s="38" t="s">
        <v>181</v>
      </c>
      <c r="CJ11" s="3" t="s">
        <v>179</v>
      </c>
      <c r="CK11" s="39">
        <v>30</v>
      </c>
      <c r="CL11" s="39">
        <v>9.4009599999999997E-4</v>
      </c>
      <c r="CM11" s="39">
        <v>40</v>
      </c>
      <c r="CN11" s="39">
        <v>25</v>
      </c>
    </row>
    <row r="12" spans="1:92" x14ac:dyDescent="0.2">
      <c r="A12" s="11" t="s">
        <v>143</v>
      </c>
      <c r="B12" s="11" t="s">
        <v>160</v>
      </c>
      <c r="C12" s="11">
        <v>2022</v>
      </c>
      <c r="D12" s="11" t="str">
        <f t="shared" si="0"/>
        <v>10.1016/j.gloplacha.2022.103737</v>
      </c>
      <c r="E12" s="11">
        <f t="shared" si="1"/>
        <v>15780</v>
      </c>
      <c r="F12" s="11">
        <f t="shared" si="2"/>
        <v>38.999999999999702</v>
      </c>
      <c r="G12" s="11">
        <f t="shared" si="3"/>
        <v>38.999999999999702</v>
      </c>
      <c r="H12" s="22">
        <f t="shared" si="4"/>
        <v>536</v>
      </c>
      <c r="I12" s="22">
        <f t="shared" si="5"/>
        <v>217</v>
      </c>
      <c r="J12" s="22">
        <f t="shared" si="6"/>
        <v>133</v>
      </c>
      <c r="K12" s="18" t="s">
        <v>144</v>
      </c>
      <c r="L12" s="34" t="s">
        <v>156</v>
      </c>
      <c r="M12" s="19" t="s">
        <v>162</v>
      </c>
      <c r="N12" s="11" t="s">
        <v>161</v>
      </c>
      <c r="O12" s="3" t="s">
        <v>175</v>
      </c>
      <c r="P12" s="27" t="s">
        <v>163</v>
      </c>
      <c r="Q12" s="3" t="s">
        <v>177</v>
      </c>
      <c r="R12" s="27" t="s">
        <v>165</v>
      </c>
      <c r="S12" s="27" t="s">
        <v>166</v>
      </c>
      <c r="T12" s="19" t="s">
        <v>146</v>
      </c>
      <c r="U12" s="19" t="s">
        <v>147</v>
      </c>
      <c r="V12" s="21">
        <v>15.78</v>
      </c>
      <c r="W12" s="21">
        <f t="shared" si="7"/>
        <v>15.818999999999999</v>
      </c>
      <c r="X12" s="21">
        <f t="shared" si="8"/>
        <v>15.741</v>
      </c>
      <c r="Y12" s="11" t="s">
        <v>150</v>
      </c>
      <c r="Z12" s="18" t="s">
        <v>178</v>
      </c>
      <c r="AA12" s="28">
        <v>47</v>
      </c>
      <c r="AB12" s="20">
        <v>-116.3</v>
      </c>
      <c r="AC12" s="36" t="s">
        <v>150</v>
      </c>
      <c r="AD12" s="36" t="s">
        <v>150</v>
      </c>
      <c r="AE12" s="27">
        <v>536</v>
      </c>
      <c r="AF12" s="18" t="s">
        <v>145</v>
      </c>
      <c r="AG12" s="27">
        <v>403</v>
      </c>
      <c r="AH12" s="27">
        <v>753</v>
      </c>
      <c r="AI12" s="36" t="s">
        <v>159</v>
      </c>
      <c r="AJ12" s="18" t="s">
        <v>136</v>
      </c>
      <c r="AK12" s="31" t="s">
        <v>135</v>
      </c>
      <c r="AL12" s="31" t="s">
        <v>183</v>
      </c>
      <c r="AM12" s="3">
        <v>45230000</v>
      </c>
      <c r="AN12" s="3">
        <v>0</v>
      </c>
      <c r="AO12" s="37" t="s">
        <v>180</v>
      </c>
      <c r="AP12" s="3">
        <v>29015724.449999999</v>
      </c>
      <c r="AQ12" s="3">
        <v>0</v>
      </c>
      <c r="AR12" s="37" t="s">
        <v>180</v>
      </c>
      <c r="AS12" s="3">
        <v>3.9499999999999998E-5</v>
      </c>
      <c r="AT12" s="3">
        <v>4.07E-6</v>
      </c>
      <c r="AU12" s="37" t="s">
        <v>180</v>
      </c>
      <c r="AV12" s="3">
        <v>3.6600000000000002E-5</v>
      </c>
      <c r="AW12" s="3">
        <v>0</v>
      </c>
      <c r="AX12" s="37" t="s">
        <v>180</v>
      </c>
      <c r="AY12" s="3">
        <v>1.33E-5</v>
      </c>
      <c r="AZ12" s="3">
        <v>1.53E-6</v>
      </c>
      <c r="BA12" s="37" t="s">
        <v>180</v>
      </c>
      <c r="BB12" s="3">
        <v>1.27E-5</v>
      </c>
      <c r="BC12" s="3">
        <v>0</v>
      </c>
      <c r="BD12" s="37" t="s">
        <v>180</v>
      </c>
      <c r="BE12" s="3">
        <v>-24.19</v>
      </c>
      <c r="BF12" s="3">
        <v>0</v>
      </c>
      <c r="BG12" s="37" t="s">
        <v>180</v>
      </c>
      <c r="BH12" s="3">
        <v>-5.05</v>
      </c>
      <c r="BI12" s="3">
        <v>1.21</v>
      </c>
      <c r="BJ12" s="38" t="s">
        <v>190</v>
      </c>
      <c r="BK12" s="31" t="s">
        <v>150</v>
      </c>
      <c r="BL12" s="3">
        <v>10</v>
      </c>
      <c r="BM12" s="3">
        <v>0.5</v>
      </c>
      <c r="BN12" s="38" t="s">
        <v>181</v>
      </c>
      <c r="BO12" s="3">
        <v>0.64</v>
      </c>
      <c r="BP12" s="3">
        <v>0</v>
      </c>
      <c r="BQ12" s="37" t="s">
        <v>191</v>
      </c>
      <c r="BR12" s="3">
        <v>2</v>
      </c>
      <c r="BS12" s="3">
        <v>0.1</v>
      </c>
      <c r="BT12" s="38" t="s">
        <v>181</v>
      </c>
      <c r="BU12" s="3">
        <v>0.6</v>
      </c>
      <c r="BV12" s="3">
        <v>0</v>
      </c>
      <c r="BW12" s="38" t="s">
        <v>192</v>
      </c>
      <c r="BX12" s="3">
        <v>1</v>
      </c>
      <c r="BY12" s="3">
        <v>0.05</v>
      </c>
      <c r="BZ12" s="38" t="s">
        <v>181</v>
      </c>
      <c r="CA12" s="3">
        <v>0.5</v>
      </c>
      <c r="CB12" s="3">
        <v>2.5000000000000001E-2</v>
      </c>
      <c r="CC12" s="38" t="s">
        <v>181</v>
      </c>
      <c r="CD12" s="3">
        <v>0.21</v>
      </c>
      <c r="CE12" s="3">
        <v>0.02</v>
      </c>
      <c r="CF12" s="38" t="s">
        <v>193</v>
      </c>
      <c r="CG12" s="3">
        <v>1.2999999999999999E-2</v>
      </c>
      <c r="CH12" s="3">
        <v>6.4999999999999997E-4</v>
      </c>
      <c r="CI12" s="38" t="s">
        <v>181</v>
      </c>
      <c r="CJ12" s="3" t="s">
        <v>179</v>
      </c>
      <c r="CK12" s="39">
        <v>30</v>
      </c>
      <c r="CL12" s="39">
        <v>9.4009599999999997E-4</v>
      </c>
      <c r="CM12" s="39">
        <v>40</v>
      </c>
      <c r="CN12" s="39">
        <v>25</v>
      </c>
    </row>
    <row r="13" spans="1:92" x14ac:dyDescent="0.2">
      <c r="A13" s="11" t="s">
        <v>143</v>
      </c>
      <c r="B13" s="11" t="s">
        <v>160</v>
      </c>
      <c r="C13" s="11">
        <v>2022</v>
      </c>
      <c r="D13" s="11" t="str">
        <f t="shared" si="0"/>
        <v>10.1016/j.gloplacha.2022.103737</v>
      </c>
      <c r="E13" s="11">
        <f t="shared" si="1"/>
        <v>15780</v>
      </c>
      <c r="F13" s="11">
        <f t="shared" si="2"/>
        <v>38.999999999999702</v>
      </c>
      <c r="G13" s="11">
        <f t="shared" si="3"/>
        <v>38.999999999999702</v>
      </c>
      <c r="H13" s="22">
        <f t="shared" si="4"/>
        <v>477</v>
      </c>
      <c r="I13" s="22">
        <f t="shared" si="5"/>
        <v>181</v>
      </c>
      <c r="J13" s="22">
        <f t="shared" si="6"/>
        <v>110</v>
      </c>
      <c r="K13" s="18" t="s">
        <v>144</v>
      </c>
      <c r="L13" s="34" t="s">
        <v>156</v>
      </c>
      <c r="M13" s="19" t="s">
        <v>162</v>
      </c>
      <c r="N13" s="11" t="s">
        <v>161</v>
      </c>
      <c r="O13" s="3" t="s">
        <v>176</v>
      </c>
      <c r="P13" s="27" t="s">
        <v>163</v>
      </c>
      <c r="Q13" s="3" t="s">
        <v>177</v>
      </c>
      <c r="R13" s="27" t="s">
        <v>165</v>
      </c>
      <c r="S13" s="27" t="s">
        <v>166</v>
      </c>
      <c r="T13" s="19" t="s">
        <v>146</v>
      </c>
      <c r="U13" s="19" t="s">
        <v>147</v>
      </c>
      <c r="V13" s="21">
        <v>15.78</v>
      </c>
      <c r="W13" s="21">
        <f t="shared" si="7"/>
        <v>15.818999999999999</v>
      </c>
      <c r="X13" s="21">
        <f t="shared" si="8"/>
        <v>15.741</v>
      </c>
      <c r="Y13" s="11" t="s">
        <v>150</v>
      </c>
      <c r="Z13" s="18" t="s">
        <v>178</v>
      </c>
      <c r="AA13" s="28">
        <v>47</v>
      </c>
      <c r="AB13" s="20">
        <v>-116.3</v>
      </c>
      <c r="AC13" s="36" t="s">
        <v>150</v>
      </c>
      <c r="AD13" s="36" t="s">
        <v>150</v>
      </c>
      <c r="AE13" s="27">
        <v>477</v>
      </c>
      <c r="AF13" s="18" t="s">
        <v>145</v>
      </c>
      <c r="AG13" s="27">
        <v>367</v>
      </c>
      <c r="AH13" s="27">
        <v>658</v>
      </c>
      <c r="AI13" s="36" t="s">
        <v>159</v>
      </c>
      <c r="AJ13" s="18" t="s">
        <v>136</v>
      </c>
      <c r="AK13" s="31" t="s">
        <v>135</v>
      </c>
      <c r="AL13" s="31" t="s">
        <v>188</v>
      </c>
      <c r="AM13" s="3">
        <v>63426375.740000002</v>
      </c>
      <c r="AN13" s="3">
        <v>0</v>
      </c>
      <c r="AO13" s="37" t="s">
        <v>180</v>
      </c>
      <c r="AP13" s="3">
        <v>18963252.129999999</v>
      </c>
      <c r="AQ13" s="3">
        <v>0</v>
      </c>
      <c r="AR13" s="37" t="s">
        <v>180</v>
      </c>
      <c r="AS13" s="3">
        <v>4.6499999999999999E-5</v>
      </c>
      <c r="AT13" s="3">
        <v>2.7199999999999998E-6</v>
      </c>
      <c r="AU13" s="37" t="s">
        <v>180</v>
      </c>
      <c r="AV13" s="3">
        <v>4.3099999999999997E-5</v>
      </c>
      <c r="AW13" s="3">
        <v>0</v>
      </c>
      <c r="AX13" s="37" t="s">
        <v>180</v>
      </c>
      <c r="AY13" s="3">
        <v>1.6699999999999999E-5</v>
      </c>
      <c r="AZ13" s="3">
        <v>1.33E-6</v>
      </c>
      <c r="BA13" s="37" t="s">
        <v>180</v>
      </c>
      <c r="BB13" s="3">
        <v>1.5999999999999999E-5</v>
      </c>
      <c r="BC13" s="3">
        <v>0</v>
      </c>
      <c r="BD13" s="37" t="s">
        <v>180</v>
      </c>
      <c r="BE13" s="3">
        <v>-24.54</v>
      </c>
      <c r="BF13" s="3">
        <v>0</v>
      </c>
      <c r="BG13" s="37" t="s">
        <v>180</v>
      </c>
      <c r="BH13" s="3">
        <v>-5.05</v>
      </c>
      <c r="BI13" s="3">
        <v>1.21</v>
      </c>
      <c r="BJ13" s="38" t="s">
        <v>190</v>
      </c>
      <c r="BK13" s="31" t="s">
        <v>150</v>
      </c>
      <c r="BL13" s="3">
        <v>10</v>
      </c>
      <c r="BM13" s="3">
        <v>0.5</v>
      </c>
      <c r="BN13" s="38" t="s">
        <v>181</v>
      </c>
      <c r="BO13" s="3">
        <v>0.64</v>
      </c>
      <c r="BP13" s="3">
        <v>0</v>
      </c>
      <c r="BQ13" s="37" t="s">
        <v>191</v>
      </c>
      <c r="BR13" s="3">
        <v>2</v>
      </c>
      <c r="BS13" s="3">
        <v>0.1</v>
      </c>
      <c r="BT13" s="38" t="s">
        <v>181</v>
      </c>
      <c r="BU13" s="3">
        <v>0.6</v>
      </c>
      <c r="BV13" s="3">
        <v>0</v>
      </c>
      <c r="BW13" s="38" t="s">
        <v>192</v>
      </c>
      <c r="BX13" s="3">
        <v>1</v>
      </c>
      <c r="BY13" s="3">
        <v>0.05</v>
      </c>
      <c r="BZ13" s="38" t="s">
        <v>181</v>
      </c>
      <c r="CA13" s="3">
        <v>0.5</v>
      </c>
      <c r="CB13" s="3">
        <v>2.5000000000000001E-2</v>
      </c>
      <c r="CC13" s="38" t="s">
        <v>181</v>
      </c>
      <c r="CD13" s="3">
        <v>0.21</v>
      </c>
      <c r="CE13" s="3">
        <v>0.02</v>
      </c>
      <c r="CF13" s="38" t="s">
        <v>193</v>
      </c>
      <c r="CG13" s="3">
        <v>1.2999999999999999E-2</v>
      </c>
      <c r="CH13" s="3">
        <v>6.4999999999999997E-4</v>
      </c>
      <c r="CI13" s="38" t="s">
        <v>181</v>
      </c>
      <c r="CJ13" s="3" t="s">
        <v>179</v>
      </c>
      <c r="CK13" s="39">
        <v>30</v>
      </c>
      <c r="CL13" s="39">
        <v>9.4009599999999997E-4</v>
      </c>
      <c r="CM13" s="39">
        <v>40</v>
      </c>
      <c r="CN13" s="39">
        <v>25</v>
      </c>
    </row>
    <row r="16" spans="1:92" x14ac:dyDescent="0.2">
      <c r="AE16" s="30"/>
      <c r="AF16" s="30"/>
      <c r="AG16" s="30"/>
      <c r="AH16" s="30"/>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A3" sqref="A3"/>
    </sheetView>
  </sheetViews>
  <sheetFormatPr baseColWidth="10" defaultColWidth="11.1640625" defaultRowHeight="16" x14ac:dyDescent="0.2"/>
  <sheetData>
    <row r="1" spans="1:1" x14ac:dyDescent="0.2">
      <c r="A1" s="32" t="s">
        <v>0</v>
      </c>
    </row>
    <row r="2" spans="1:1" ht="17" x14ac:dyDescent="0.2">
      <c r="A2" s="33" t="s">
        <v>1</v>
      </c>
    </row>
    <row r="3" spans="1:1" x14ac:dyDescent="0.2">
      <c r="A3" s="32" t="s">
        <v>2</v>
      </c>
    </row>
    <row r="4" spans="1:1" x14ac:dyDescent="0.2">
      <c r="A4" s="3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2019-02-07T19:33:46Z</dcterms:created>
  <dcterms:modified xsi:type="dcterms:W3CDTF">2022-03-29T19:26:01Z</dcterms:modified>
</cp:coreProperties>
</file>