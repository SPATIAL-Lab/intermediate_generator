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data files September 2020/"/>
    </mc:Choice>
  </mc:AlternateContent>
  <xr:revisionPtr revIDLastSave="0" documentId="13_ncr:1_{8C8B3FB9-34E1-344B-B061-3592CE3948A4}" xr6:coauthVersionLast="47" xr6:coauthVersionMax="47" xr10:uidLastSave="{00000000-0000-0000-0000-000000000000}"/>
  <bookViews>
    <workbookView xWindow="1480" yWindow="500" windowWidth="25600" windowHeight="15540" tabRatio="500" xr2:uid="{00000000-000D-0000-FFFF-FFFF00000000}"/>
  </bookViews>
  <sheets>
    <sheet name="boron isotopes" sheetId="2" r:id="rId1"/>
    <sheet name="Column specifications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" i="2" l="1"/>
  <c r="E6" i="2"/>
  <c r="F6" i="2"/>
  <c r="G6" i="2"/>
  <c r="I6" i="2"/>
  <c r="J6" i="2"/>
  <c r="D7" i="2"/>
  <c r="E7" i="2"/>
  <c r="F7" i="2"/>
  <c r="G7" i="2"/>
  <c r="I7" i="2"/>
  <c r="J7" i="2"/>
  <c r="D8" i="2"/>
  <c r="E8" i="2"/>
  <c r="F8" i="2"/>
  <c r="G8" i="2"/>
  <c r="I8" i="2"/>
  <c r="J8" i="2"/>
  <c r="D9" i="2"/>
  <c r="E9" i="2"/>
  <c r="F9" i="2"/>
  <c r="G9" i="2"/>
  <c r="I9" i="2"/>
  <c r="J9" i="2"/>
  <c r="D10" i="2"/>
  <c r="E10" i="2"/>
  <c r="F10" i="2"/>
  <c r="G10" i="2"/>
  <c r="I10" i="2"/>
  <c r="J10" i="2"/>
  <c r="D11" i="2"/>
  <c r="E11" i="2"/>
  <c r="F11" i="2"/>
  <c r="G11" i="2"/>
  <c r="I11" i="2"/>
  <c r="J11" i="2"/>
  <c r="D12" i="2"/>
  <c r="E12" i="2"/>
  <c r="F12" i="2"/>
  <c r="G12" i="2"/>
  <c r="I12" i="2"/>
  <c r="J12" i="2"/>
  <c r="D13" i="2"/>
  <c r="E13" i="2"/>
  <c r="F13" i="2"/>
  <c r="G13" i="2"/>
  <c r="I13" i="2"/>
  <c r="J13" i="2"/>
  <c r="D14" i="2"/>
  <c r="E14" i="2"/>
  <c r="F14" i="2"/>
  <c r="G14" i="2"/>
  <c r="I14" i="2"/>
  <c r="J14" i="2"/>
  <c r="D15" i="2"/>
  <c r="E15" i="2"/>
  <c r="F15" i="2"/>
  <c r="G15" i="2"/>
  <c r="I15" i="2"/>
  <c r="J15" i="2"/>
  <c r="D16" i="2"/>
  <c r="E16" i="2"/>
  <c r="F16" i="2"/>
  <c r="G16" i="2"/>
  <c r="I16" i="2"/>
  <c r="J16" i="2"/>
  <c r="D17" i="2"/>
  <c r="E17" i="2"/>
  <c r="F17" i="2"/>
  <c r="G17" i="2"/>
  <c r="I17" i="2"/>
  <c r="J17" i="2"/>
  <c r="D18" i="2"/>
  <c r="E18" i="2"/>
  <c r="F18" i="2"/>
  <c r="G18" i="2"/>
  <c r="I18" i="2"/>
  <c r="J18" i="2"/>
  <c r="D19" i="2"/>
  <c r="E19" i="2"/>
  <c r="F19" i="2"/>
  <c r="G19" i="2"/>
  <c r="I19" i="2"/>
  <c r="J19" i="2"/>
  <c r="D20" i="2"/>
  <c r="E20" i="2"/>
  <c r="F20" i="2"/>
  <c r="G20" i="2"/>
  <c r="I20" i="2"/>
  <c r="J20" i="2"/>
  <c r="D21" i="2"/>
  <c r="E21" i="2"/>
  <c r="F21" i="2"/>
  <c r="G21" i="2"/>
  <c r="I21" i="2"/>
  <c r="J21" i="2"/>
  <c r="D22" i="2"/>
  <c r="E22" i="2"/>
  <c r="F22" i="2"/>
  <c r="G22" i="2"/>
  <c r="I22" i="2"/>
  <c r="J22" i="2"/>
  <c r="D23" i="2"/>
  <c r="E23" i="2"/>
  <c r="F23" i="2"/>
  <c r="G23" i="2"/>
  <c r="I23" i="2"/>
  <c r="J23" i="2"/>
  <c r="D24" i="2"/>
  <c r="E24" i="2"/>
  <c r="F24" i="2"/>
  <c r="G24" i="2"/>
  <c r="I24" i="2"/>
  <c r="J24" i="2"/>
  <c r="D25" i="2"/>
  <c r="E25" i="2"/>
  <c r="F25" i="2"/>
  <c r="G25" i="2"/>
  <c r="I25" i="2"/>
  <c r="J25" i="2"/>
  <c r="D26" i="2"/>
  <c r="E26" i="2"/>
  <c r="F26" i="2"/>
  <c r="G26" i="2"/>
  <c r="I26" i="2"/>
  <c r="J26" i="2"/>
  <c r="D27" i="2"/>
  <c r="E27" i="2"/>
  <c r="F27" i="2"/>
  <c r="G27" i="2"/>
  <c r="I27" i="2"/>
  <c r="J27" i="2"/>
  <c r="D28" i="2"/>
  <c r="E28" i="2"/>
  <c r="F28" i="2"/>
  <c r="G28" i="2"/>
  <c r="I28" i="2"/>
  <c r="J28" i="2"/>
  <c r="D29" i="2"/>
  <c r="E29" i="2"/>
  <c r="F29" i="2"/>
  <c r="G29" i="2"/>
  <c r="I29" i="2"/>
  <c r="J29" i="2"/>
  <c r="D30" i="2"/>
  <c r="E30" i="2"/>
  <c r="F30" i="2"/>
  <c r="G30" i="2"/>
  <c r="I30" i="2"/>
  <c r="J30" i="2"/>
  <c r="D31" i="2"/>
  <c r="E31" i="2"/>
  <c r="F31" i="2"/>
  <c r="G31" i="2"/>
  <c r="I31" i="2"/>
  <c r="J31" i="2"/>
  <c r="D32" i="2"/>
  <c r="E32" i="2"/>
  <c r="F32" i="2"/>
  <c r="G32" i="2"/>
  <c r="I32" i="2"/>
  <c r="J32" i="2"/>
  <c r="D33" i="2"/>
  <c r="E33" i="2"/>
  <c r="F33" i="2"/>
  <c r="G33" i="2"/>
  <c r="I33" i="2"/>
  <c r="J33" i="2"/>
  <c r="D34" i="2"/>
  <c r="E34" i="2"/>
  <c r="F34" i="2"/>
  <c r="G34" i="2"/>
  <c r="I34" i="2"/>
  <c r="J34" i="2"/>
  <c r="D35" i="2"/>
  <c r="E35" i="2"/>
  <c r="F35" i="2"/>
  <c r="G35" i="2"/>
  <c r="I35" i="2"/>
  <c r="J35" i="2"/>
  <c r="J5" i="2"/>
  <c r="I5" i="2"/>
  <c r="H5" i="2"/>
  <c r="G5" i="2"/>
  <c r="F5" i="2"/>
  <c r="E5" i="2"/>
  <c r="D5" i="2"/>
  <c r="EZ5" i="2"/>
  <c r="EZ6" i="2"/>
  <c r="H6" i="2" s="1"/>
  <c r="EZ7" i="2"/>
  <c r="H7" i="2" s="1"/>
  <c r="EZ8" i="2"/>
  <c r="H8" i="2" s="1"/>
  <c r="EZ9" i="2"/>
  <c r="H9" i="2" s="1"/>
  <c r="EZ10" i="2"/>
  <c r="H10" i="2" s="1"/>
  <c r="EZ11" i="2"/>
  <c r="H11" i="2" s="1"/>
  <c r="EZ12" i="2"/>
  <c r="H12" i="2" s="1"/>
  <c r="EZ13" i="2"/>
  <c r="H13" i="2" s="1"/>
  <c r="EZ14" i="2"/>
  <c r="H14" i="2" s="1"/>
  <c r="EZ15" i="2"/>
  <c r="H15" i="2" s="1"/>
  <c r="EZ16" i="2"/>
  <c r="H16" i="2" s="1"/>
  <c r="EZ17" i="2"/>
  <c r="H17" i="2" s="1"/>
  <c r="EZ18" i="2"/>
  <c r="H18" i="2" s="1"/>
  <c r="EZ19" i="2"/>
  <c r="H19" i="2" s="1"/>
  <c r="EZ20" i="2"/>
  <c r="H20" i="2" s="1"/>
  <c r="EZ21" i="2"/>
  <c r="H21" i="2" s="1"/>
  <c r="EZ22" i="2"/>
  <c r="H22" i="2" s="1"/>
  <c r="EZ23" i="2"/>
  <c r="H23" i="2" s="1"/>
  <c r="EZ24" i="2"/>
  <c r="H24" i="2" s="1"/>
  <c r="EZ25" i="2"/>
  <c r="H25" i="2" s="1"/>
  <c r="EZ26" i="2"/>
  <c r="H26" i="2" s="1"/>
  <c r="EZ27" i="2"/>
  <c r="H27" i="2" s="1"/>
  <c r="EZ28" i="2"/>
  <c r="H28" i="2" s="1"/>
  <c r="EZ29" i="2"/>
  <c r="H29" i="2" s="1"/>
  <c r="EZ30" i="2"/>
  <c r="H30" i="2" s="1"/>
  <c r="EZ31" i="2"/>
  <c r="H31" i="2" s="1"/>
  <c r="EZ32" i="2"/>
  <c r="H32" i="2" s="1"/>
  <c r="EZ33" i="2"/>
  <c r="H33" i="2" s="1"/>
  <c r="EZ34" i="2"/>
  <c r="H34" i="2" s="1"/>
  <c r="EZ35" i="2"/>
  <c r="H35" i="2" s="1"/>
  <c r="EZ4" i="2"/>
  <c r="I4" i="2" l="1"/>
  <c r="J4" i="2"/>
  <c r="H4" i="2"/>
  <c r="G4" i="2"/>
  <c r="F4" i="2"/>
  <c r="E4" i="2"/>
  <c r="D4" i="2"/>
</calcChain>
</file>

<file path=xl/sharedStrings.xml><?xml version="1.0" encoding="utf-8"?>
<sst xmlns="http://schemas.openxmlformats.org/spreadsheetml/2006/main" count="4656" uniqueCount="246">
  <si>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</si>
  <si>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</si>
  <si>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</si>
  <si>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</si>
  <si>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</si>
  <si>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</si>
  <si>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</si>
  <si>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</si>
  <si>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</si>
  <si>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</si>
  <si>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</si>
  <si>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</si>
  <si>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</si>
  <si>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</si>
  <si>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</si>
  <si>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</si>
  <si>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</si>
  <si>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</si>
  <si>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</si>
  <si>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</si>
  <si>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</si>
  <si>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</si>
  <si>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</si>
  <si>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</si>
  <si>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</si>
  <si>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</si>
  <si>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</si>
  <si>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</si>
  <si>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</si>
  <si>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</si>
  <si>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</si>
  <si>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</si>
  <si>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</si>
  <si>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</si>
  <si>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</si>
  <si>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</si>
  <si>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</si>
  <si>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</si>
  <si>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</si>
  <si>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</si>
  <si>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</si>
  <si>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</si>
  <si>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</si>
  <si>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</si>
  <si>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</si>
  <si>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</si>
  <si>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</si>
  <si>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</si>
  <si>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</si>
  <si>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</si>
  <si>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</si>
  <si>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</si>
  <si>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</si>
  <si>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</si>
  <si>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</si>
  <si>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</si>
  <si>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</si>
  <si>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</si>
  <si>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</si>
  <si>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</si>
  <si>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</si>
  <si>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</si>
  <si>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</si>
  <si>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</si>
  <si>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</si>
  <si>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</si>
  <si>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</si>
  <si>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</si>
  <si>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</si>
  <si>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</si>
  <si>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</si>
  <si>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</si>
  <si>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</si>
  <si>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</si>
  <si>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</si>
  <si>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</si>
  <si>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</si>
  <si>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</si>
  <si>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</si>
  <si>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</si>
  <si>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</si>
  <si>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</si>
  <si>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</si>
  <si>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</si>
  <si>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</si>
  <si>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</si>
  <si>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</si>
  <si>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</si>
  <si>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</si>
  <si>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</si>
  <si>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</si>
  <si>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</si>
  <si>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</si>
  <si>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</si>
  <si>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</si>
  <si>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</si>
  <si>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</si>
  <si>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</si>
  <si>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</si>
  <si>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</si>
  <si>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</si>
  <si>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</si>
  <si>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</si>
  <si>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</si>
  <si>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</si>
  <si>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</si>
  <si>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</si>
  <si>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</si>
  <si>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</si>
  <si>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</si>
  <si>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</si>
  <si>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</si>
  <si>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</si>
  <si>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</si>
  <si>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</si>
  <si>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</si>
  <si>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</si>
  <si>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</si>
  <si>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</si>
  <si>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</si>
  <si>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</si>
  <si>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</si>
  <si>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</si>
  <si>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</si>
  <si>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</si>
  <si>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</si>
  <si>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</si>
  <si>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</si>
  <si>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</si>
  <si>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</si>
  <si>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</si>
  <si>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</si>
  <si>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</si>
  <si>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</si>
  <si>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</si>
  <si>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</si>
  <si>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</si>
  <si>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</si>
  <si>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</si>
  <si>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</si>
  <si>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</si>
  <si>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</si>
  <si>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</si>
  <si>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</si>
  <si>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</si>
  <si>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</si>
  <si>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</si>
  <si>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</si>
  <si>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</si>
  <si>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</si>
  <si>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</si>
  <si>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</si>
  <si>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</si>
  <si>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</si>
  <si>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</si>
  <si>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</si>
  <si>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ODP 999</t>
  </si>
  <si>
    <t>A</t>
  </si>
  <si>
    <t>Carribbean</t>
  </si>
  <si>
    <t>n/a, pleistocene age</t>
  </si>
  <si>
    <t>none</t>
  </si>
  <si>
    <t>NA</t>
  </si>
  <si>
    <t xml:space="preserve">Globigerinoides ruber (ss) </t>
  </si>
  <si>
    <t>300-355</t>
  </si>
  <si>
    <t>~170</t>
  </si>
  <si>
    <t>1-3</t>
  </si>
  <si>
    <t>Column Chemistry</t>
  </si>
  <si>
    <t>MC-ICPMS</t>
  </si>
  <si>
    <t>20.62,20.71</t>
  </si>
  <si>
    <t>conservative long term reproducibility of standards</t>
  </si>
  <si>
    <t>quadratic addition</t>
  </si>
  <si>
    <t>not applied</t>
  </si>
  <si>
    <t>modern</t>
  </si>
  <si>
    <t>NA- none applied</t>
  </si>
  <si>
    <t>NA- no uncertainty on modern value applied</t>
  </si>
  <si>
    <t>none applied</t>
  </si>
  <si>
    <t>total scale</t>
  </si>
  <si>
    <t>temperature, salinity, alkalinity, d11B analysis</t>
  </si>
  <si>
    <t xml:space="preserve">NA </t>
  </si>
  <si>
    <t>21.01,20.72,20.62</t>
  </si>
  <si>
    <t>20.66, 20.52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</si>
  <si>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</si>
  <si>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</si>
  <si>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t>2s alkalinity uncertainty pos</t>
  </si>
  <si>
    <t>2s alkalinity uncertainty neg</t>
  </si>
  <si>
    <t>2s DIC uncertainty pos</t>
  </si>
  <si>
    <t>2s DIC uncertainty neg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</si>
  <si>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</si>
  <si>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</si>
  <si>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</si>
  <si>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</si>
  <si>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</si>
  <si>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</si>
  <si>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</si>
  <si>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</si>
  <si>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</si>
  <si>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</si>
  <si>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Foster</t>
  </si>
  <si>
    <t>Bärbel Hönisch</t>
  </si>
  <si>
    <t>hoenisch@ldeo.columbia.edu</t>
  </si>
  <si>
    <r>
      <t>Foster, G.L. (2008) Seawater pH, pCO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and [CO</t>
    </r>
    <r>
      <rPr>
        <vertAlign val="subscript"/>
        <sz val="12"/>
        <color theme="1"/>
        <rFont val="Calibri"/>
        <family val="2"/>
        <scheme val="minor"/>
      </rPr>
      <t>3</t>
    </r>
    <r>
      <rPr>
        <vertAlign val="superscript"/>
        <sz val="12"/>
        <color theme="1"/>
        <rFont val="Calibri"/>
        <family val="2"/>
        <scheme val="minor"/>
      </rPr>
      <t>2-</t>
    </r>
    <r>
      <rPr>
        <sz val="12"/>
        <color theme="1"/>
        <rFont val="Calibri"/>
        <family val="2"/>
        <scheme val="minor"/>
      </rPr>
      <t>] variations in the Caribbean Sea over the last 130kyr: A boron isotope and B/Ca study of planktic foraminifera. Earth and Planetary Science Letters 271, 254-266.</t>
    </r>
  </si>
  <si>
    <t>10.1016/j.epsl.2008.04.015</t>
  </si>
  <si>
    <t>Schmidt et al. (2004)</t>
  </si>
  <si>
    <t>Ni et al. (2007)</t>
  </si>
  <si>
    <t>20.85,20.79</t>
  </si>
  <si>
    <t>20.71,20.73</t>
  </si>
  <si>
    <t>20.62,20.73</t>
  </si>
  <si>
    <t>20.96,20.89</t>
  </si>
  <si>
    <t>20.76,20.68</t>
  </si>
  <si>
    <t>21.07,20.88</t>
  </si>
  <si>
    <t>20.95,21.08</t>
  </si>
  <si>
    <t>21.09,21.21</t>
  </si>
  <si>
    <t>21,21.09</t>
  </si>
  <si>
    <t>21.71,21.79</t>
  </si>
  <si>
    <t>21.31,21.13,21.24</t>
  </si>
  <si>
    <t>21.15,21.37</t>
  </si>
  <si>
    <t>21.59,21.43</t>
  </si>
  <si>
    <t>21.55,21.7</t>
  </si>
  <si>
    <t>21.8,21.59</t>
  </si>
  <si>
    <t>21.00, 21.24</t>
  </si>
  <si>
    <t>21.21, 21.24</t>
  </si>
  <si>
    <t>21.42, 21.17</t>
  </si>
  <si>
    <t>21.42, 21.2</t>
  </si>
  <si>
    <t>20.92, 20.85</t>
  </si>
  <si>
    <t>21.02, 20.75</t>
  </si>
  <si>
    <t>20.6, 20.76</t>
  </si>
  <si>
    <t>20.57,20.58</t>
  </si>
  <si>
    <t>20.67,20.85</t>
  </si>
  <si>
    <t>20.35,20.26</t>
  </si>
  <si>
    <t>20.13,20.23</t>
  </si>
  <si>
    <t>20.24,20.00</t>
  </si>
  <si>
    <t>20.81,20.7</t>
  </si>
  <si>
    <t>20.64,20.70</t>
  </si>
  <si>
    <t>this study</t>
  </si>
  <si>
    <t>unlike newer d11B-calcite vs. d11B-borate calibrations, this one is based on the d11B vs. pH relationship, corrected for species-specific offsets (here listed under "intercept value"); G. sacculifer offset is corrected for a shell size effect</t>
  </si>
  <si>
    <t>mixed layer</t>
  </si>
  <si>
    <t>Uppström, 1974</t>
  </si>
  <si>
    <t>CO2SYS, Pelletier et al. (2005)</t>
  </si>
  <si>
    <t>Mehrbach et al. (1973)</t>
  </si>
  <si>
    <t>NA : Use published data from Schmidt et al. (2004)</t>
  </si>
  <si>
    <t>CO32-</t>
  </si>
  <si>
    <t>from Salinity, TA and pH</t>
  </si>
  <si>
    <t>notes about uncertainty estimate: e.g., included calibration slope and intercept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</si>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</sst>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sz val="9"/>
      <name val="Geneva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vertAlign val="subscript"/>
      <sz val="12"/>
      <color rgb="FF000000"/>
      <name val="Verdana"/>
      <family val="2"/>
    </font>
    <font>
      <vertAlign val="sub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1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164" fontId="32" fillId="0" borderId="0" xfId="0" applyNumberFormat="1" applyFont="1"/>
    <xf numFmtId="1" fontId="33" fillId="0" borderId="0" xfId="0" applyNumberFormat="1" applyFont="1" applyAlignment="1">
      <alignment horizontal="center"/>
    </xf>
    <xf numFmtId="0" fontId="31" fillId="0" borderId="0" xfId="3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165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1" fontId="0" fillId="0" borderId="0" xfId="0" applyNumberFormat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9" fillId="0" borderId="0" xfId="0" applyFont="1"/>
    <xf numFmtId="0" fontId="0" fillId="0" borderId="0" xfId="0" applyFill="1" applyBorder="1" applyAlignment="1">
      <alignment horizontal="center" vertical="center"/>
    </xf>
    <xf numFmtId="0" fontId="40" fillId="0" borderId="0" xfId="0" applyFont="1" applyAlignment="1">
      <alignment vertical="top"/>
    </xf>
    <xf numFmtId="0" fontId="0" fillId="0" borderId="0" xfId="0" applyFill="1"/>
    <xf numFmtId="165" fontId="35" fillId="0" borderId="0" xfId="0" applyNumberFormat="1" applyFont="1" applyAlignment="1">
      <alignment horizontal="center"/>
    </xf>
    <xf numFmtId="165" fontId="30" fillId="0" borderId="0" xfId="0" applyNumberFormat="1" applyFont="1" applyFill="1" applyBorder="1" applyAlignment="1">
      <alignment horizontal="center"/>
    </xf>
    <xf numFmtId="0" fontId="0" fillId="0" borderId="0" xfId="0" applyFont="1"/>
    <xf numFmtId="1" fontId="35" fillId="0" borderId="0" xfId="0" applyNumberFormat="1" applyFont="1" applyAlignment="1">
      <alignment horizontal="right"/>
    </xf>
    <xf numFmtId="165" fontId="32" fillId="0" borderId="0" xfId="0" applyNumberFormat="1" applyFont="1"/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enisch@ldeo.columbia.edu" TargetMode="External"/><Relationship Id="rId13" Type="http://schemas.openxmlformats.org/officeDocument/2006/relationships/hyperlink" Target="mailto:hoenisch@ldeo.columbia.edu" TargetMode="External"/><Relationship Id="rId18" Type="http://schemas.openxmlformats.org/officeDocument/2006/relationships/hyperlink" Target="mailto:hoenisch@ldeo.columbia.edu" TargetMode="External"/><Relationship Id="rId26" Type="http://schemas.openxmlformats.org/officeDocument/2006/relationships/hyperlink" Target="mailto:hoenisch@ldeo.columbia.edu" TargetMode="External"/><Relationship Id="rId3" Type="http://schemas.openxmlformats.org/officeDocument/2006/relationships/hyperlink" Target="mailto:hoenisch@ldeo.columbia.edu" TargetMode="External"/><Relationship Id="rId21" Type="http://schemas.openxmlformats.org/officeDocument/2006/relationships/hyperlink" Target="mailto:hoenisch@ldeo.columbia.edu" TargetMode="External"/><Relationship Id="rId7" Type="http://schemas.openxmlformats.org/officeDocument/2006/relationships/hyperlink" Target="mailto:hoenisch@ldeo.columbia.edu" TargetMode="External"/><Relationship Id="rId12" Type="http://schemas.openxmlformats.org/officeDocument/2006/relationships/hyperlink" Target="mailto:hoenisch@ldeo.columbia.edu" TargetMode="External"/><Relationship Id="rId17" Type="http://schemas.openxmlformats.org/officeDocument/2006/relationships/hyperlink" Target="mailto:hoenisch@ldeo.columbia.edu" TargetMode="External"/><Relationship Id="rId25" Type="http://schemas.openxmlformats.org/officeDocument/2006/relationships/hyperlink" Target="mailto:hoenisch@ldeo.columbia.edu" TargetMode="External"/><Relationship Id="rId2" Type="http://schemas.openxmlformats.org/officeDocument/2006/relationships/hyperlink" Target="mailto:hoenisch@ldeo.columbia.edu" TargetMode="External"/><Relationship Id="rId16" Type="http://schemas.openxmlformats.org/officeDocument/2006/relationships/hyperlink" Target="mailto:hoenisch@ldeo.columbia.edu" TargetMode="External"/><Relationship Id="rId20" Type="http://schemas.openxmlformats.org/officeDocument/2006/relationships/hyperlink" Target="mailto:hoenisch@ldeo.columbia.edu" TargetMode="External"/><Relationship Id="rId29" Type="http://schemas.openxmlformats.org/officeDocument/2006/relationships/hyperlink" Target="mailto:hoenisch@ldeo.columbia.edu" TargetMode="External"/><Relationship Id="rId1" Type="http://schemas.openxmlformats.org/officeDocument/2006/relationships/hyperlink" Target="mailto:hoenisch@ldeo.columbia.edu" TargetMode="External"/><Relationship Id="rId6" Type="http://schemas.openxmlformats.org/officeDocument/2006/relationships/hyperlink" Target="mailto:hoenisch@ldeo.columbia.edu" TargetMode="External"/><Relationship Id="rId11" Type="http://schemas.openxmlformats.org/officeDocument/2006/relationships/hyperlink" Target="mailto:hoenisch@ldeo.columbia.edu" TargetMode="External"/><Relationship Id="rId24" Type="http://schemas.openxmlformats.org/officeDocument/2006/relationships/hyperlink" Target="mailto:hoenisch@ldeo.columbia.edu" TargetMode="External"/><Relationship Id="rId32" Type="http://schemas.openxmlformats.org/officeDocument/2006/relationships/hyperlink" Target="mailto:hoenisch@ldeo.columbia.edu" TargetMode="External"/><Relationship Id="rId5" Type="http://schemas.openxmlformats.org/officeDocument/2006/relationships/hyperlink" Target="mailto:hoenisch@ldeo.columbia.edu" TargetMode="External"/><Relationship Id="rId15" Type="http://schemas.openxmlformats.org/officeDocument/2006/relationships/hyperlink" Target="mailto:hoenisch@ldeo.columbia.edu" TargetMode="External"/><Relationship Id="rId23" Type="http://schemas.openxmlformats.org/officeDocument/2006/relationships/hyperlink" Target="mailto:hoenisch@ldeo.columbia.edu" TargetMode="External"/><Relationship Id="rId28" Type="http://schemas.openxmlformats.org/officeDocument/2006/relationships/hyperlink" Target="mailto:hoenisch@ldeo.columbia.edu" TargetMode="External"/><Relationship Id="rId10" Type="http://schemas.openxmlformats.org/officeDocument/2006/relationships/hyperlink" Target="mailto:hoenisch@ldeo.columbia.edu" TargetMode="External"/><Relationship Id="rId19" Type="http://schemas.openxmlformats.org/officeDocument/2006/relationships/hyperlink" Target="mailto:hoenisch@ldeo.columbia.edu" TargetMode="External"/><Relationship Id="rId31" Type="http://schemas.openxmlformats.org/officeDocument/2006/relationships/hyperlink" Target="mailto:hoenisch@ldeo.columbia.edu" TargetMode="External"/><Relationship Id="rId4" Type="http://schemas.openxmlformats.org/officeDocument/2006/relationships/hyperlink" Target="mailto:hoenisch@ldeo.columbia.edu" TargetMode="External"/><Relationship Id="rId9" Type="http://schemas.openxmlformats.org/officeDocument/2006/relationships/hyperlink" Target="mailto:hoenisch@ldeo.columbia.edu" TargetMode="External"/><Relationship Id="rId14" Type="http://schemas.openxmlformats.org/officeDocument/2006/relationships/hyperlink" Target="mailto:hoenisch@ldeo.columbia.edu" TargetMode="External"/><Relationship Id="rId22" Type="http://schemas.openxmlformats.org/officeDocument/2006/relationships/hyperlink" Target="mailto:hoenisch@ldeo.columbia.edu" TargetMode="External"/><Relationship Id="rId27" Type="http://schemas.openxmlformats.org/officeDocument/2006/relationships/hyperlink" Target="mailto:hoenisch@ldeo.columbia.edu" TargetMode="External"/><Relationship Id="rId30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35"/>
  <sheetViews>
    <sheetView tabSelected="1" topLeftCell="I1" workbookViewId="0">
      <selection activeCell="O4" sqref="O4:O35"/>
    </sheetView>
  </sheetViews>
  <sheetFormatPr baseColWidth="10" defaultColWidth="11" defaultRowHeight="16" x14ac:dyDescent="0.2"/>
  <cols>
    <col min="1" max="1" width="14.1640625" customWidth="1"/>
    <col min="6" max="6" width="14.6640625" customWidth="1"/>
    <col min="7" max="7" width="15.5" customWidth="1"/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8" width="13.1640625" customWidth="1"/>
    <col min="169" max="169" width="13.83203125" customWidth="1"/>
    <col min="170" max="171" width="16" customWidth="1"/>
    <col min="172" max="172" width="15.5" customWidth="1"/>
    <col min="173" max="173" width="20.5" customWidth="1"/>
  </cols>
  <sheetData>
    <row r="1" spans="1:191" ht="18" x14ac:dyDescent="0.25">
      <c r="A1" s="110" t="s">
        <v>124</v>
      </c>
      <c r="B1" s="111"/>
      <c r="C1" s="111"/>
      <c r="D1" s="111"/>
      <c r="E1" s="111"/>
      <c r="F1" s="111"/>
      <c r="G1" s="111"/>
      <c r="H1" s="111"/>
      <c r="I1" s="111"/>
      <c r="J1" s="112"/>
      <c r="K1" s="4" t="s">
        <v>1</v>
      </c>
      <c r="L1" s="5"/>
      <c r="M1" s="6"/>
      <c r="N1" s="7"/>
      <c r="O1" s="8" t="s">
        <v>2</v>
      </c>
      <c r="P1" s="9"/>
      <c r="Q1" s="9"/>
      <c r="R1" s="9"/>
      <c r="S1" s="9"/>
      <c r="T1" s="9"/>
      <c r="U1" s="10"/>
      <c r="V1" s="131"/>
      <c r="W1" s="10"/>
      <c r="X1" s="9"/>
      <c r="Y1" s="9"/>
      <c r="Z1" s="9"/>
      <c r="AA1" s="9"/>
      <c r="AB1" s="9"/>
      <c r="AC1" s="9"/>
      <c r="AD1" s="9"/>
      <c r="AE1" s="9"/>
      <c r="AF1" s="9"/>
      <c r="AG1" s="11" t="s">
        <v>3</v>
      </c>
      <c r="AH1" s="12"/>
      <c r="AI1" s="13"/>
      <c r="AJ1" s="13"/>
      <c r="AK1" s="14"/>
      <c r="AL1" s="14"/>
      <c r="AM1" s="14"/>
      <c r="AN1" s="15"/>
      <c r="AO1" s="14"/>
      <c r="AP1" s="14"/>
      <c r="AQ1" s="14"/>
      <c r="AR1" s="14"/>
      <c r="AS1" s="14"/>
      <c r="AT1" s="14"/>
      <c r="AU1" s="16" t="s">
        <v>4</v>
      </c>
      <c r="AV1" s="17"/>
      <c r="AW1" s="17"/>
      <c r="AX1" s="17"/>
      <c r="AY1" s="17"/>
      <c r="AZ1" s="17"/>
      <c r="BA1" s="17"/>
      <c r="BB1" s="18"/>
      <c r="BC1" s="19"/>
      <c r="BD1" s="19"/>
      <c r="BE1" s="19"/>
      <c r="BF1" s="20"/>
      <c r="BG1" s="21"/>
      <c r="BH1" s="22" t="s">
        <v>5</v>
      </c>
      <c r="BI1" s="23"/>
      <c r="BJ1" s="23"/>
      <c r="BK1" s="23"/>
      <c r="BL1" s="23"/>
      <c r="BM1" s="23"/>
      <c r="BN1" s="23"/>
      <c r="BO1" s="24"/>
      <c r="BP1" s="25" t="s">
        <v>6</v>
      </c>
      <c r="BQ1" s="25"/>
      <c r="BR1" s="26"/>
      <c r="BS1" s="26"/>
      <c r="BT1" s="26"/>
      <c r="BU1" s="27" t="s">
        <v>7</v>
      </c>
      <c r="BV1" s="28"/>
      <c r="BW1" s="28"/>
      <c r="BX1" s="27"/>
      <c r="BY1" s="30"/>
      <c r="BZ1" s="30"/>
      <c r="CA1" s="31"/>
      <c r="CB1" s="30" t="s">
        <v>8</v>
      </c>
      <c r="CC1" s="32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27" t="s">
        <v>9</v>
      </c>
      <c r="CO1" s="30"/>
      <c r="CP1" s="30"/>
      <c r="CQ1" s="30"/>
      <c r="CR1" s="30"/>
      <c r="CS1" s="30"/>
      <c r="CT1" s="31"/>
      <c r="CU1" s="28" t="s">
        <v>10</v>
      </c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33"/>
      <c r="DP1" s="30"/>
      <c r="DQ1" s="30"/>
      <c r="DR1" s="31"/>
      <c r="DS1" s="28"/>
      <c r="DT1" s="28"/>
      <c r="DU1" s="34" t="s">
        <v>11</v>
      </c>
      <c r="DV1" s="28"/>
      <c r="DW1" s="28"/>
      <c r="DX1" s="28"/>
      <c r="DY1" s="28"/>
      <c r="DZ1" s="29"/>
      <c r="EA1" s="34" t="s">
        <v>12</v>
      </c>
      <c r="EB1" s="28"/>
      <c r="EC1" s="28"/>
      <c r="ED1" s="28"/>
      <c r="EE1" s="28"/>
      <c r="EF1" s="35"/>
      <c r="EG1" s="63"/>
      <c r="EH1" s="36" t="s">
        <v>13</v>
      </c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7" t="s">
        <v>14</v>
      </c>
      <c r="ET1" s="38"/>
      <c r="EU1" s="38"/>
      <c r="EV1" s="38"/>
      <c r="EW1" s="39"/>
      <c r="EX1" s="39"/>
      <c r="EY1" s="39"/>
      <c r="EZ1" s="39"/>
      <c r="FA1" s="38"/>
      <c r="FB1" s="38"/>
      <c r="FC1" s="38"/>
      <c r="FD1" s="38"/>
      <c r="FE1" s="37"/>
      <c r="FF1" s="38"/>
      <c r="FG1" s="38"/>
      <c r="FH1" s="38"/>
      <c r="FI1" s="38"/>
      <c r="FJ1" s="38"/>
      <c r="FK1" s="9"/>
      <c r="FL1" s="9"/>
      <c r="FM1" s="9"/>
      <c r="FN1" s="9"/>
      <c r="FO1" s="9"/>
      <c r="FP1" s="9"/>
      <c r="FQ1" s="40"/>
    </row>
    <row r="2" spans="1:191" ht="20" x14ac:dyDescent="0.25">
      <c r="A2" s="113"/>
      <c r="B2" s="42"/>
      <c r="C2" s="42"/>
      <c r="D2" s="42"/>
      <c r="E2" s="42"/>
      <c r="F2" s="42"/>
      <c r="G2" s="42"/>
      <c r="H2" s="42"/>
      <c r="I2" s="42"/>
      <c r="J2" s="44"/>
      <c r="K2" s="41"/>
      <c r="L2" s="42"/>
      <c r="M2" s="43"/>
      <c r="N2" s="44"/>
      <c r="O2" s="45"/>
      <c r="P2" s="45"/>
      <c r="Q2" s="45"/>
      <c r="R2" s="45"/>
      <c r="S2" s="45"/>
      <c r="T2" s="45"/>
      <c r="U2" s="46"/>
      <c r="V2" s="131"/>
      <c r="W2" s="46"/>
      <c r="X2" s="45"/>
      <c r="Y2" s="45"/>
      <c r="Z2" s="45"/>
      <c r="AA2" s="45"/>
      <c r="AB2" s="45"/>
      <c r="AC2" s="45"/>
      <c r="AD2" s="45"/>
      <c r="AE2" s="45"/>
      <c r="AF2" s="45"/>
      <c r="AG2" s="47"/>
      <c r="AH2" s="12"/>
      <c r="AI2" s="13"/>
      <c r="AJ2" s="13"/>
      <c r="AK2" s="14"/>
      <c r="AL2" s="14"/>
      <c r="AM2" s="14"/>
      <c r="AN2" s="15" t="s">
        <v>15</v>
      </c>
      <c r="AO2" s="14"/>
      <c r="AP2" s="14"/>
      <c r="AQ2" s="14"/>
      <c r="AR2" s="14"/>
      <c r="AS2" s="14"/>
      <c r="AT2" s="14"/>
      <c r="AU2" s="18"/>
      <c r="AV2" s="19"/>
      <c r="AW2" s="17"/>
      <c r="AX2" s="17"/>
      <c r="AY2" s="17"/>
      <c r="AZ2" s="17"/>
      <c r="BA2" s="19"/>
      <c r="BB2" s="48" t="s">
        <v>16</v>
      </c>
      <c r="BC2" s="129"/>
      <c r="BD2" s="129"/>
      <c r="BE2" s="19"/>
      <c r="BF2" s="20"/>
      <c r="BG2" s="21"/>
      <c r="BH2" s="49" t="s">
        <v>17</v>
      </c>
      <c r="BI2" s="50"/>
      <c r="BJ2" s="50"/>
      <c r="BK2" s="51" t="s">
        <v>18</v>
      </c>
      <c r="BL2" s="52"/>
      <c r="BM2" s="53"/>
      <c r="BN2" s="53"/>
      <c r="BO2" s="54"/>
      <c r="BP2" s="55"/>
      <c r="BQ2" s="55"/>
      <c r="BR2" s="23"/>
      <c r="BS2" s="23"/>
      <c r="BT2" s="23"/>
      <c r="BU2" s="56" t="s">
        <v>19</v>
      </c>
      <c r="BV2" s="57"/>
      <c r="BW2" s="57"/>
      <c r="BX2" s="27" t="s">
        <v>20</v>
      </c>
      <c r="BY2" s="30"/>
      <c r="BZ2" s="30"/>
      <c r="CA2" s="31"/>
      <c r="CB2" s="120" t="s">
        <v>21</v>
      </c>
      <c r="CC2" s="59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27" t="s">
        <v>22</v>
      </c>
      <c r="CO2" s="32"/>
      <c r="CP2" s="30"/>
      <c r="CQ2" s="30"/>
      <c r="CR2" s="30"/>
      <c r="CS2" s="30"/>
      <c r="CT2" s="31"/>
      <c r="CU2" s="57" t="s">
        <v>23</v>
      </c>
      <c r="CV2" s="57"/>
      <c r="CW2" s="57"/>
      <c r="CX2" s="57"/>
      <c r="CY2" s="60" t="s">
        <v>24</v>
      </c>
      <c r="CZ2" s="61"/>
      <c r="DA2" s="61"/>
      <c r="DB2" s="62"/>
      <c r="DC2" s="60" t="s">
        <v>25</v>
      </c>
      <c r="DD2" s="35"/>
      <c r="DE2" s="35"/>
      <c r="DF2" s="63"/>
      <c r="DG2" s="64" t="s">
        <v>26</v>
      </c>
      <c r="DH2" s="35"/>
      <c r="DI2" s="35"/>
      <c r="DJ2" s="63"/>
      <c r="DK2" s="65" t="s">
        <v>27</v>
      </c>
      <c r="DL2" s="66"/>
      <c r="DM2" s="57"/>
      <c r="DN2" s="57"/>
      <c r="DO2" s="67" t="s">
        <v>28</v>
      </c>
      <c r="DP2" s="58"/>
      <c r="DQ2" s="58"/>
      <c r="DR2" s="68"/>
      <c r="DS2" s="57" t="s">
        <v>29</v>
      </c>
      <c r="DT2" s="57"/>
      <c r="DU2" s="69" t="s">
        <v>30</v>
      </c>
      <c r="DV2" s="70"/>
      <c r="DW2" s="70"/>
      <c r="DX2" s="70"/>
      <c r="DY2" s="57"/>
      <c r="DZ2" s="57"/>
      <c r="EA2" s="71"/>
      <c r="EB2" s="57"/>
      <c r="EC2" s="57"/>
      <c r="ED2" s="57"/>
      <c r="EE2" s="35"/>
      <c r="EF2" s="56" t="s">
        <v>31</v>
      </c>
      <c r="EG2" s="29"/>
      <c r="EH2" s="36"/>
      <c r="EI2" s="36"/>
      <c r="EJ2" s="36"/>
      <c r="EK2" s="72"/>
      <c r="EL2" s="72"/>
      <c r="EM2" s="72"/>
      <c r="EN2" s="72"/>
      <c r="EO2" s="73"/>
      <c r="EP2" s="73"/>
      <c r="EQ2" s="73"/>
      <c r="ER2" s="73"/>
      <c r="ES2" s="74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8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75"/>
    </row>
    <row r="3" spans="1:191" ht="238" x14ac:dyDescent="0.2">
      <c r="A3" s="114" t="s">
        <v>125</v>
      </c>
      <c r="B3" s="115" t="s">
        <v>126</v>
      </c>
      <c r="C3" s="115" t="s">
        <v>127</v>
      </c>
      <c r="D3" s="5" t="s">
        <v>128</v>
      </c>
      <c r="E3" s="5" t="s">
        <v>129</v>
      </c>
      <c r="F3" s="116" t="s">
        <v>130</v>
      </c>
      <c r="G3" s="116" t="s">
        <v>131</v>
      </c>
      <c r="H3" s="156" t="s">
        <v>243</v>
      </c>
      <c r="I3" s="157" t="s">
        <v>244</v>
      </c>
      <c r="J3" s="158" t="s">
        <v>245</v>
      </c>
      <c r="K3" s="76" t="s">
        <v>32</v>
      </c>
      <c r="L3" s="77" t="s">
        <v>33</v>
      </c>
      <c r="M3" s="77" t="s">
        <v>34</v>
      </c>
      <c r="N3" s="78" t="s">
        <v>35</v>
      </c>
      <c r="O3" s="79" t="s">
        <v>36</v>
      </c>
      <c r="P3" s="79" t="s">
        <v>37</v>
      </c>
      <c r="Q3" s="79" t="s">
        <v>38</v>
      </c>
      <c r="R3" s="79" t="s">
        <v>39</v>
      </c>
      <c r="S3" s="79" t="s">
        <v>40</v>
      </c>
      <c r="T3" s="79" t="s">
        <v>41</v>
      </c>
      <c r="U3" s="79" t="s">
        <v>42</v>
      </c>
      <c r="V3" s="107" t="s">
        <v>43</v>
      </c>
      <c r="W3" s="79" t="s">
        <v>44</v>
      </c>
      <c r="X3" s="79" t="s">
        <v>45</v>
      </c>
      <c r="Y3" s="79" t="s">
        <v>46</v>
      </c>
      <c r="Z3" s="79" t="s">
        <v>47</v>
      </c>
      <c r="AA3" s="79" t="s">
        <v>48</v>
      </c>
      <c r="AB3" s="79" t="s">
        <v>49</v>
      </c>
      <c r="AC3" s="79" t="s">
        <v>50</v>
      </c>
      <c r="AD3" s="79" t="s">
        <v>51</v>
      </c>
      <c r="AE3" s="79" t="s">
        <v>52</v>
      </c>
      <c r="AF3" s="79" t="s">
        <v>53</v>
      </c>
      <c r="AG3" s="80" t="s">
        <v>136</v>
      </c>
      <c r="AH3" s="81" t="s">
        <v>54</v>
      </c>
      <c r="AI3" s="118" t="s">
        <v>137</v>
      </c>
      <c r="AJ3" s="118" t="s">
        <v>138</v>
      </c>
      <c r="AK3" s="82" t="s">
        <v>56</v>
      </c>
      <c r="AL3" s="82" t="s">
        <v>57</v>
      </c>
      <c r="AM3" s="83" t="s">
        <v>58</v>
      </c>
      <c r="AN3" s="80" t="s">
        <v>136</v>
      </c>
      <c r="AO3" s="81" t="s">
        <v>54</v>
      </c>
      <c r="AP3" s="118" t="s">
        <v>137</v>
      </c>
      <c r="AQ3" s="118" t="s">
        <v>138</v>
      </c>
      <c r="AR3" s="82" t="s">
        <v>56</v>
      </c>
      <c r="AS3" s="82" t="s">
        <v>57</v>
      </c>
      <c r="AT3" s="82" t="s">
        <v>58</v>
      </c>
      <c r="AU3" s="84" t="s">
        <v>59</v>
      </c>
      <c r="AV3" s="85" t="s">
        <v>60</v>
      </c>
      <c r="AW3" s="85" t="s">
        <v>61</v>
      </c>
      <c r="AX3" s="85" t="s">
        <v>62</v>
      </c>
      <c r="AY3" s="85" t="s">
        <v>63</v>
      </c>
      <c r="AZ3" s="85" t="s">
        <v>64</v>
      </c>
      <c r="BA3" s="85" t="s">
        <v>65</v>
      </c>
      <c r="BB3" s="117" t="s">
        <v>132</v>
      </c>
      <c r="BC3" s="130" t="s">
        <v>154</v>
      </c>
      <c r="BD3" s="130" t="s">
        <v>155</v>
      </c>
      <c r="BE3" s="86" t="s">
        <v>66</v>
      </c>
      <c r="BF3" s="87" t="s">
        <v>67</v>
      </c>
      <c r="BG3" s="87" t="s">
        <v>68</v>
      </c>
      <c r="BH3" s="88" t="s">
        <v>69</v>
      </c>
      <c r="BI3" s="89" t="s">
        <v>70</v>
      </c>
      <c r="BJ3" s="90" t="s">
        <v>71</v>
      </c>
      <c r="BK3" s="91" t="s">
        <v>72</v>
      </c>
      <c r="BL3" s="92" t="s">
        <v>70</v>
      </c>
      <c r="BM3" s="93" t="s">
        <v>71</v>
      </c>
      <c r="BN3" s="53" t="s">
        <v>73</v>
      </c>
      <c r="BO3" s="54" t="s">
        <v>74</v>
      </c>
      <c r="BP3" s="93" t="s">
        <v>75</v>
      </c>
      <c r="BQ3" s="89" t="s">
        <v>70</v>
      </c>
      <c r="BR3" s="90" t="s">
        <v>71</v>
      </c>
      <c r="BS3" s="53" t="s">
        <v>242</v>
      </c>
      <c r="BT3" s="53" t="s">
        <v>76</v>
      </c>
      <c r="BU3" s="94" t="s">
        <v>77</v>
      </c>
      <c r="BV3" s="95" t="s">
        <v>54</v>
      </c>
      <c r="BW3" s="95" t="s">
        <v>55</v>
      </c>
      <c r="BX3" s="94" t="s">
        <v>78</v>
      </c>
      <c r="BY3" s="95" t="s">
        <v>54</v>
      </c>
      <c r="BZ3" s="119" t="s">
        <v>139</v>
      </c>
      <c r="CA3" s="121" t="s">
        <v>140</v>
      </c>
      <c r="CB3" s="97" t="s">
        <v>133</v>
      </c>
      <c r="CC3" s="96" t="s">
        <v>79</v>
      </c>
      <c r="CD3" s="95" t="s">
        <v>54</v>
      </c>
      <c r="CE3" s="119" t="s">
        <v>141</v>
      </c>
      <c r="CF3" s="121" t="s">
        <v>142</v>
      </c>
      <c r="CG3" s="97" t="s">
        <v>80</v>
      </c>
      <c r="CH3" s="97" t="s">
        <v>81</v>
      </c>
      <c r="CI3" s="97" t="s">
        <v>194</v>
      </c>
      <c r="CJ3" s="97" t="s">
        <v>195</v>
      </c>
      <c r="CK3" s="97" t="s">
        <v>82</v>
      </c>
      <c r="CL3" s="97" t="s">
        <v>83</v>
      </c>
      <c r="CM3" s="97" t="s">
        <v>84</v>
      </c>
      <c r="CN3" s="98" t="s">
        <v>134</v>
      </c>
      <c r="CO3" s="96" t="s">
        <v>85</v>
      </c>
      <c r="CP3" s="95" t="s">
        <v>54</v>
      </c>
      <c r="CQ3" s="95" t="s">
        <v>55</v>
      </c>
      <c r="CR3" s="97" t="s">
        <v>86</v>
      </c>
      <c r="CS3" s="97" t="s">
        <v>81</v>
      </c>
      <c r="CT3" s="97" t="s">
        <v>87</v>
      </c>
      <c r="CU3" s="94" t="s">
        <v>88</v>
      </c>
      <c r="CV3" s="95" t="s">
        <v>54</v>
      </c>
      <c r="CW3" s="95" t="s">
        <v>147</v>
      </c>
      <c r="CX3" s="99" t="s">
        <v>89</v>
      </c>
      <c r="CY3" s="96" t="s">
        <v>143</v>
      </c>
      <c r="CZ3" s="95" t="s">
        <v>54</v>
      </c>
      <c r="DA3" s="95" t="s">
        <v>147</v>
      </c>
      <c r="DB3" s="99" t="s">
        <v>90</v>
      </c>
      <c r="DC3" s="96" t="s">
        <v>144</v>
      </c>
      <c r="DD3" s="95" t="s">
        <v>54</v>
      </c>
      <c r="DE3" s="95" t="s">
        <v>147</v>
      </c>
      <c r="DF3" s="99" t="s">
        <v>91</v>
      </c>
      <c r="DG3" s="96" t="s">
        <v>145</v>
      </c>
      <c r="DH3" s="95" t="s">
        <v>54</v>
      </c>
      <c r="DI3" s="95" t="s">
        <v>147</v>
      </c>
      <c r="DJ3" s="99" t="s">
        <v>92</v>
      </c>
      <c r="DK3" s="96" t="s">
        <v>146</v>
      </c>
      <c r="DL3" s="95" t="s">
        <v>54</v>
      </c>
      <c r="DM3" s="95" t="s">
        <v>147</v>
      </c>
      <c r="DN3" s="100" t="s">
        <v>93</v>
      </c>
      <c r="DO3" s="122" t="s">
        <v>94</v>
      </c>
      <c r="DP3" s="95" t="s">
        <v>54</v>
      </c>
      <c r="DQ3" s="95" t="s">
        <v>147</v>
      </c>
      <c r="DR3" s="101" t="s">
        <v>95</v>
      </c>
      <c r="DS3" s="100" t="s">
        <v>96</v>
      </c>
      <c r="DT3" s="100" t="s">
        <v>97</v>
      </c>
      <c r="DU3" s="94" t="s">
        <v>98</v>
      </c>
      <c r="DV3" s="95" t="s">
        <v>54</v>
      </c>
      <c r="DW3" s="95" t="s">
        <v>147</v>
      </c>
      <c r="DX3" s="95" t="s">
        <v>181</v>
      </c>
      <c r="DY3" s="100" t="s">
        <v>99</v>
      </c>
      <c r="DZ3" s="99" t="s">
        <v>100</v>
      </c>
      <c r="EA3" s="97" t="s">
        <v>101</v>
      </c>
      <c r="EB3" s="100" t="s">
        <v>102</v>
      </c>
      <c r="EC3" s="100" t="s">
        <v>103</v>
      </c>
      <c r="ED3" s="100" t="s">
        <v>104</v>
      </c>
      <c r="EE3" s="102" t="s">
        <v>105</v>
      </c>
      <c r="EF3" s="103" t="s">
        <v>106</v>
      </c>
      <c r="EG3" s="99" t="s">
        <v>107</v>
      </c>
      <c r="EH3" s="123" t="s">
        <v>108</v>
      </c>
      <c r="EI3" s="124" t="s">
        <v>109</v>
      </c>
      <c r="EJ3" s="124" t="s">
        <v>110</v>
      </c>
      <c r="EK3" s="104" t="s">
        <v>135</v>
      </c>
      <c r="EL3" s="105" t="s">
        <v>54</v>
      </c>
      <c r="EM3" s="125" t="s">
        <v>190</v>
      </c>
      <c r="EN3" s="126" t="s">
        <v>191</v>
      </c>
      <c r="EO3" s="104" t="s">
        <v>111</v>
      </c>
      <c r="EP3" s="105" t="s">
        <v>54</v>
      </c>
      <c r="EQ3" s="125" t="s">
        <v>148</v>
      </c>
      <c r="ER3" s="126" t="s">
        <v>149</v>
      </c>
      <c r="ES3" s="106" t="s">
        <v>112</v>
      </c>
      <c r="ET3" s="79" t="s">
        <v>153</v>
      </c>
      <c r="EU3" s="127" t="s">
        <v>148</v>
      </c>
      <c r="EV3" s="127" t="s">
        <v>149</v>
      </c>
      <c r="EW3" s="79" t="s">
        <v>113</v>
      </c>
      <c r="EX3" s="79" t="s">
        <v>114</v>
      </c>
      <c r="EY3" s="79" t="s">
        <v>115</v>
      </c>
      <c r="EZ3" s="79" t="s">
        <v>116</v>
      </c>
      <c r="FA3" s="127" t="s">
        <v>150</v>
      </c>
      <c r="FB3" s="127" t="s">
        <v>151</v>
      </c>
      <c r="FC3" s="79" t="s">
        <v>117</v>
      </c>
      <c r="FD3" s="79" t="s">
        <v>118</v>
      </c>
      <c r="FE3" s="106" t="s">
        <v>119</v>
      </c>
      <c r="FF3" s="144" t="s">
        <v>183</v>
      </c>
      <c r="FG3" s="144" t="s">
        <v>184</v>
      </c>
      <c r="FH3" s="79" t="s">
        <v>120</v>
      </c>
      <c r="FI3" s="144" t="s">
        <v>185</v>
      </c>
      <c r="FJ3" s="144" t="s">
        <v>186</v>
      </c>
      <c r="FK3" s="107" t="s">
        <v>121</v>
      </c>
      <c r="FL3" s="107" t="s">
        <v>187</v>
      </c>
      <c r="FM3" s="107" t="s">
        <v>188</v>
      </c>
      <c r="FN3" s="107" t="s">
        <v>122</v>
      </c>
      <c r="FO3" s="145" t="s">
        <v>189</v>
      </c>
      <c r="FP3" s="145" t="s">
        <v>196</v>
      </c>
      <c r="FQ3" s="108" t="s">
        <v>123</v>
      </c>
      <c r="FR3" s="109"/>
      <c r="FS3" s="109"/>
      <c r="FT3" s="109"/>
      <c r="FU3" s="109"/>
      <c r="FV3" s="109"/>
      <c r="FW3" s="109"/>
      <c r="FX3" s="109"/>
      <c r="FY3" s="109"/>
      <c r="FZ3" s="109"/>
      <c r="GA3" s="109"/>
      <c r="GB3" s="109"/>
      <c r="GC3" s="109"/>
      <c r="GD3" s="109"/>
      <c r="GE3" s="109"/>
      <c r="GF3" s="109"/>
      <c r="GG3" s="109"/>
      <c r="GH3" s="109"/>
      <c r="GI3" s="109"/>
    </row>
    <row r="4" spans="1:191" ht="19" x14ac:dyDescent="0.2">
      <c r="A4" s="128" t="s">
        <v>152</v>
      </c>
      <c r="B4" t="s">
        <v>197</v>
      </c>
      <c r="C4">
        <v>2008</v>
      </c>
      <c r="D4" t="str">
        <f>N4</f>
        <v>10.1016/j.epsl.2008.04.015</v>
      </c>
      <c r="E4" s="155">
        <f>AG4</f>
        <v>3.9</v>
      </c>
      <c r="F4" s="132" t="str">
        <f>AI4</f>
        <v>NA</v>
      </c>
      <c r="G4" s="132" t="str">
        <f>AJ4</f>
        <v>NA</v>
      </c>
      <c r="H4" s="133">
        <f>EZ4</f>
        <v>303.06588649022501</v>
      </c>
      <c r="I4" s="133">
        <f t="shared" ref="I4:J4" si="0">FA4</f>
        <v>20</v>
      </c>
      <c r="J4" s="133">
        <f t="shared" si="0"/>
        <v>20</v>
      </c>
      <c r="K4" t="s">
        <v>198</v>
      </c>
      <c r="L4" s="134" t="s">
        <v>199</v>
      </c>
      <c r="M4" s="146" t="s">
        <v>200</v>
      </c>
      <c r="N4" s="147" t="s">
        <v>201</v>
      </c>
      <c r="O4" t="s">
        <v>156</v>
      </c>
      <c r="P4" t="s">
        <v>157</v>
      </c>
      <c r="Q4" t="s">
        <v>161</v>
      </c>
      <c r="R4" t="s">
        <v>161</v>
      </c>
      <c r="S4" t="s">
        <v>161</v>
      </c>
      <c r="T4" t="s">
        <v>161</v>
      </c>
      <c r="U4" s="135" t="s">
        <v>161</v>
      </c>
      <c r="V4">
        <v>4.4999999999999998E-2</v>
      </c>
      <c r="W4" t="s">
        <v>161</v>
      </c>
      <c r="X4" t="s">
        <v>158</v>
      </c>
      <c r="Y4" s="136">
        <v>12.75</v>
      </c>
      <c r="Z4" s="136">
        <v>-78.73</v>
      </c>
      <c r="AA4" s="136">
        <v>12.75</v>
      </c>
      <c r="AB4" s="136">
        <v>-78.73</v>
      </c>
      <c r="AC4" s="136">
        <v>-2827</v>
      </c>
      <c r="AD4" s="136">
        <v>-2827</v>
      </c>
      <c r="AE4" t="s">
        <v>159</v>
      </c>
      <c r="AF4" t="s">
        <v>160</v>
      </c>
      <c r="AG4" s="132">
        <v>3.9</v>
      </c>
      <c r="AH4" s="3" t="s">
        <v>161</v>
      </c>
      <c r="AI4" t="s">
        <v>161</v>
      </c>
      <c r="AJ4" t="s">
        <v>161</v>
      </c>
      <c r="AK4" t="s">
        <v>161</v>
      </c>
      <c r="AL4" t="s">
        <v>161</v>
      </c>
      <c r="AM4" s="137" t="s">
        <v>202</v>
      </c>
      <c r="AN4" t="s">
        <v>161</v>
      </c>
      <c r="AO4" t="s">
        <v>161</v>
      </c>
      <c r="AP4" t="s">
        <v>161</v>
      </c>
      <c r="AQ4" t="s">
        <v>161</v>
      </c>
      <c r="AR4" t="s">
        <v>161</v>
      </c>
      <c r="AS4" t="s">
        <v>161</v>
      </c>
      <c r="AT4" t="s">
        <v>161</v>
      </c>
      <c r="AU4" t="s">
        <v>162</v>
      </c>
      <c r="AV4" t="s">
        <v>163</v>
      </c>
      <c r="AW4" t="s">
        <v>164</v>
      </c>
      <c r="AX4" s="138" t="s">
        <v>165</v>
      </c>
      <c r="AY4" t="s">
        <v>203</v>
      </c>
      <c r="AZ4" t="s">
        <v>166</v>
      </c>
      <c r="BA4" t="s">
        <v>167</v>
      </c>
      <c r="BB4" t="s">
        <v>168</v>
      </c>
      <c r="BC4">
        <v>2</v>
      </c>
      <c r="BD4" s="139">
        <v>8.9999999999999858E-2</v>
      </c>
      <c r="BE4" s="139">
        <v>20.664999999999999</v>
      </c>
      <c r="BF4" t="s">
        <v>169</v>
      </c>
      <c r="BG4">
        <v>0.25</v>
      </c>
      <c r="BH4">
        <v>1</v>
      </c>
      <c r="BI4" t="s">
        <v>161</v>
      </c>
      <c r="BJ4" s="3" t="s">
        <v>161</v>
      </c>
      <c r="BK4">
        <v>0.8</v>
      </c>
      <c r="BL4" t="s">
        <v>161</v>
      </c>
      <c r="BM4" t="s">
        <v>161</v>
      </c>
      <c r="BN4" t="s">
        <v>233</v>
      </c>
      <c r="BO4" s="149" t="s">
        <v>234</v>
      </c>
      <c r="BP4" s="150" t="s">
        <v>161</v>
      </c>
      <c r="BQ4" s="150" t="s">
        <v>161</v>
      </c>
      <c r="BR4" s="150" t="s">
        <v>161</v>
      </c>
      <c r="BS4" s="150" t="s">
        <v>161</v>
      </c>
      <c r="BT4" s="150" t="s">
        <v>161</v>
      </c>
      <c r="BU4" s="150" t="s">
        <v>235</v>
      </c>
      <c r="BV4" s="150" t="s">
        <v>171</v>
      </c>
      <c r="BW4" s="150" t="s">
        <v>171</v>
      </c>
      <c r="BX4" s="151">
        <v>28.3</v>
      </c>
      <c r="BY4" t="s">
        <v>161</v>
      </c>
      <c r="BZ4" t="s">
        <v>161</v>
      </c>
      <c r="CA4" t="s">
        <v>161</v>
      </c>
      <c r="CB4" t="s">
        <v>239</v>
      </c>
      <c r="CC4" t="s">
        <v>161</v>
      </c>
      <c r="CD4" t="s">
        <v>161</v>
      </c>
      <c r="CE4" t="s">
        <v>161</v>
      </c>
      <c r="CF4" t="s">
        <v>161</v>
      </c>
      <c r="CG4" t="s">
        <v>161</v>
      </c>
      <c r="CH4" t="s">
        <v>161</v>
      </c>
      <c r="CI4" t="s">
        <v>161</v>
      </c>
      <c r="CJ4" t="s">
        <v>161</v>
      </c>
      <c r="CK4" t="s">
        <v>161</v>
      </c>
      <c r="CL4" t="s">
        <v>161</v>
      </c>
      <c r="CM4" t="s">
        <v>161</v>
      </c>
      <c r="CN4" t="s">
        <v>161</v>
      </c>
      <c r="CO4" t="s">
        <v>161</v>
      </c>
      <c r="CP4" t="s">
        <v>161</v>
      </c>
      <c r="CQ4" t="s">
        <v>161</v>
      </c>
      <c r="CR4" t="s">
        <v>161</v>
      </c>
      <c r="CS4" t="s">
        <v>161</v>
      </c>
      <c r="CT4" t="s">
        <v>161</v>
      </c>
      <c r="CU4" s="141">
        <v>35.5</v>
      </c>
      <c r="CV4" t="s">
        <v>161</v>
      </c>
      <c r="CW4" t="s">
        <v>161</v>
      </c>
      <c r="CX4" s="153" t="s">
        <v>161</v>
      </c>
      <c r="CY4" t="s">
        <v>172</v>
      </c>
      <c r="CZ4" t="s">
        <v>173</v>
      </c>
      <c r="DA4" t="s">
        <v>173</v>
      </c>
      <c r="DB4" t="s">
        <v>173</v>
      </c>
      <c r="DC4" t="s">
        <v>172</v>
      </c>
      <c r="DD4" t="s">
        <v>173</v>
      </c>
      <c r="DE4" t="s">
        <v>173</v>
      </c>
      <c r="DF4" t="s">
        <v>173</v>
      </c>
      <c r="DG4" t="s">
        <v>172</v>
      </c>
      <c r="DH4" t="s">
        <v>173</v>
      </c>
      <c r="DI4" t="s">
        <v>173</v>
      </c>
      <c r="DJ4" t="s">
        <v>173</v>
      </c>
      <c r="DK4" s="137">
        <v>416</v>
      </c>
      <c r="DL4" t="s">
        <v>161</v>
      </c>
      <c r="DM4" s="137" t="s">
        <v>161</v>
      </c>
      <c r="DN4" t="s">
        <v>236</v>
      </c>
      <c r="DO4">
        <v>39.5</v>
      </c>
      <c r="DP4" t="s">
        <v>174</v>
      </c>
      <c r="DQ4" t="s">
        <v>161</v>
      </c>
      <c r="DR4" t="s">
        <v>233</v>
      </c>
      <c r="DS4" t="s">
        <v>161</v>
      </c>
      <c r="DT4" t="s">
        <v>161</v>
      </c>
      <c r="DU4">
        <v>1.0271999999999999</v>
      </c>
      <c r="DV4" t="s">
        <v>175</v>
      </c>
      <c r="DW4" t="s">
        <v>175</v>
      </c>
      <c r="DX4" t="s">
        <v>182</v>
      </c>
      <c r="DY4" t="s">
        <v>175</v>
      </c>
      <c r="DZ4" t="s">
        <v>175</v>
      </c>
      <c r="EA4" t="s">
        <v>237</v>
      </c>
      <c r="EB4" t="s">
        <v>161</v>
      </c>
      <c r="EC4" t="s">
        <v>238</v>
      </c>
      <c r="ED4" t="s">
        <v>238</v>
      </c>
      <c r="EE4" t="s">
        <v>161</v>
      </c>
      <c r="EF4" t="s">
        <v>161</v>
      </c>
      <c r="EG4" t="s">
        <v>161</v>
      </c>
      <c r="EH4" t="s">
        <v>240</v>
      </c>
      <c r="EI4" t="s">
        <v>241</v>
      </c>
      <c r="EJ4" t="s">
        <v>161</v>
      </c>
      <c r="EK4" s="154">
        <v>296</v>
      </c>
      <c r="EL4" t="s">
        <v>161</v>
      </c>
      <c r="EM4" t="s">
        <v>161</v>
      </c>
      <c r="EN4" t="s">
        <v>161</v>
      </c>
      <c r="EO4" t="s">
        <v>161</v>
      </c>
      <c r="EP4" t="s">
        <v>161</v>
      </c>
      <c r="EQ4" t="s">
        <v>161</v>
      </c>
      <c r="ER4" t="s">
        <v>161</v>
      </c>
      <c r="ES4" s="142">
        <v>8.1720000000000006</v>
      </c>
      <c r="ET4" s="140" t="s">
        <v>176</v>
      </c>
      <c r="EU4" s="140" t="s">
        <v>161</v>
      </c>
      <c r="EV4" s="140" t="s">
        <v>161</v>
      </c>
      <c r="EW4" s="143">
        <v>303.06588649022501</v>
      </c>
      <c r="EX4" s="140" t="s">
        <v>161</v>
      </c>
      <c r="EY4" t="s">
        <v>161</v>
      </c>
      <c r="EZ4" s="133">
        <f>EW4</f>
        <v>303.06588649022501</v>
      </c>
      <c r="FA4">
        <v>20</v>
      </c>
      <c r="FB4">
        <v>20</v>
      </c>
      <c r="FC4" t="s">
        <v>170</v>
      </c>
      <c r="FD4" t="s">
        <v>177</v>
      </c>
      <c r="FE4" t="s">
        <v>178</v>
      </c>
      <c r="FF4" t="s">
        <v>178</v>
      </c>
      <c r="FG4" t="s">
        <v>178</v>
      </c>
      <c r="FH4" t="s">
        <v>178</v>
      </c>
      <c r="FI4" t="s">
        <v>178</v>
      </c>
      <c r="FJ4" t="s">
        <v>178</v>
      </c>
      <c r="FK4" t="s">
        <v>178</v>
      </c>
      <c r="FL4" t="s">
        <v>178</v>
      </c>
      <c r="FM4" t="s">
        <v>178</v>
      </c>
      <c r="FN4" t="s">
        <v>178</v>
      </c>
      <c r="FO4" t="s">
        <v>178</v>
      </c>
      <c r="FP4" t="s">
        <v>178</v>
      </c>
    </row>
    <row r="5" spans="1:191" ht="19" x14ac:dyDescent="0.2">
      <c r="A5" s="128" t="s">
        <v>152</v>
      </c>
      <c r="B5" t="s">
        <v>197</v>
      </c>
      <c r="C5">
        <v>2008</v>
      </c>
      <c r="D5" t="str">
        <f>N5</f>
        <v>10.1016/j.epsl.2008.04.015</v>
      </c>
      <c r="E5" s="155">
        <f>AG5</f>
        <v>4.5999999999999996</v>
      </c>
      <c r="F5" s="132" t="str">
        <f>AI5</f>
        <v>NA</v>
      </c>
      <c r="G5" s="132" t="str">
        <f>AJ5</f>
        <v>NA</v>
      </c>
      <c r="H5" s="133">
        <f>EZ5</f>
        <v>264</v>
      </c>
      <c r="I5" s="133">
        <f t="shared" ref="I5:I6" si="1">FA5</f>
        <v>20</v>
      </c>
      <c r="J5" s="133">
        <f t="shared" ref="J5:J6" si="2">FB5</f>
        <v>20</v>
      </c>
      <c r="K5" t="s">
        <v>198</v>
      </c>
      <c r="L5" s="134" t="s">
        <v>199</v>
      </c>
      <c r="M5" s="146" t="s">
        <v>200</v>
      </c>
      <c r="N5" s="147" t="s">
        <v>201</v>
      </c>
      <c r="O5" t="s">
        <v>156</v>
      </c>
      <c r="P5" t="s">
        <v>157</v>
      </c>
      <c r="Q5" t="s">
        <v>161</v>
      </c>
      <c r="R5" t="s">
        <v>161</v>
      </c>
      <c r="S5" t="s">
        <v>161</v>
      </c>
      <c r="T5" t="s">
        <v>161</v>
      </c>
      <c r="U5" s="135" t="s">
        <v>161</v>
      </c>
      <c r="V5">
        <v>0.11</v>
      </c>
      <c r="W5" t="s">
        <v>161</v>
      </c>
      <c r="X5" t="s">
        <v>158</v>
      </c>
      <c r="Y5" s="136">
        <v>12.75</v>
      </c>
      <c r="Z5" s="136">
        <v>-78.73</v>
      </c>
      <c r="AA5" s="136">
        <v>12.75</v>
      </c>
      <c r="AB5" s="136">
        <v>-78.73</v>
      </c>
      <c r="AC5" s="136">
        <v>-2827</v>
      </c>
      <c r="AD5" s="136">
        <v>-2827</v>
      </c>
      <c r="AE5" t="s">
        <v>159</v>
      </c>
      <c r="AF5" t="s">
        <v>160</v>
      </c>
      <c r="AG5" s="2">
        <v>4.5999999999999996</v>
      </c>
      <c r="AH5" s="3" t="s">
        <v>161</v>
      </c>
      <c r="AI5" t="s">
        <v>161</v>
      </c>
      <c r="AJ5" t="s">
        <v>161</v>
      </c>
      <c r="AK5" t="s">
        <v>161</v>
      </c>
      <c r="AL5" t="s">
        <v>161</v>
      </c>
      <c r="AM5" s="137" t="s">
        <v>202</v>
      </c>
      <c r="AN5" t="s">
        <v>161</v>
      </c>
      <c r="AO5" t="s">
        <v>161</v>
      </c>
      <c r="AP5" t="s">
        <v>161</v>
      </c>
      <c r="AQ5" t="s">
        <v>161</v>
      </c>
      <c r="AR5" t="s">
        <v>161</v>
      </c>
      <c r="AS5" t="s">
        <v>161</v>
      </c>
      <c r="AT5" t="s">
        <v>161</v>
      </c>
      <c r="AU5" t="s">
        <v>162</v>
      </c>
      <c r="AV5" t="s">
        <v>163</v>
      </c>
      <c r="AW5" t="s">
        <v>164</v>
      </c>
      <c r="AX5" s="138" t="s">
        <v>165</v>
      </c>
      <c r="AY5" t="s">
        <v>203</v>
      </c>
      <c r="AZ5" t="s">
        <v>166</v>
      </c>
      <c r="BA5" t="s">
        <v>167</v>
      </c>
      <c r="BB5" t="s">
        <v>179</v>
      </c>
      <c r="BC5">
        <v>3</v>
      </c>
      <c r="BD5" s="139">
        <v>0.23390406390465188</v>
      </c>
      <c r="BE5" s="139">
        <v>20.783333333333335</v>
      </c>
      <c r="BF5" t="s">
        <v>169</v>
      </c>
      <c r="BG5">
        <v>0.25</v>
      </c>
      <c r="BH5">
        <v>1</v>
      </c>
      <c r="BI5" t="s">
        <v>161</v>
      </c>
      <c r="BJ5" s="3" t="s">
        <v>161</v>
      </c>
      <c r="BK5">
        <v>0.8</v>
      </c>
      <c r="BL5" t="s">
        <v>161</v>
      </c>
      <c r="BM5" t="s">
        <v>161</v>
      </c>
      <c r="BN5" t="s">
        <v>233</v>
      </c>
      <c r="BO5" s="149" t="s">
        <v>234</v>
      </c>
      <c r="BP5" s="150" t="s">
        <v>161</v>
      </c>
      <c r="BQ5" s="150" t="s">
        <v>161</v>
      </c>
      <c r="BR5" s="150" t="s">
        <v>161</v>
      </c>
      <c r="BS5" s="150" t="s">
        <v>161</v>
      </c>
      <c r="BT5" s="150" t="s">
        <v>161</v>
      </c>
      <c r="BU5" s="150" t="s">
        <v>235</v>
      </c>
      <c r="BV5" s="150" t="s">
        <v>171</v>
      </c>
      <c r="BW5" s="150" t="s">
        <v>171</v>
      </c>
      <c r="BX5" s="152">
        <v>28.5</v>
      </c>
      <c r="BY5" t="s">
        <v>161</v>
      </c>
      <c r="BZ5" t="s">
        <v>161</v>
      </c>
      <c r="CA5" t="s">
        <v>161</v>
      </c>
      <c r="CB5" t="s">
        <v>239</v>
      </c>
      <c r="CC5" t="s">
        <v>161</v>
      </c>
      <c r="CD5" t="s">
        <v>161</v>
      </c>
      <c r="CE5" t="s">
        <v>161</v>
      </c>
      <c r="CF5" t="s">
        <v>161</v>
      </c>
      <c r="CG5" t="s">
        <v>161</v>
      </c>
      <c r="CH5" t="s">
        <v>161</v>
      </c>
      <c r="CI5" t="s">
        <v>161</v>
      </c>
      <c r="CJ5" t="s">
        <v>161</v>
      </c>
      <c r="CK5" t="s">
        <v>161</v>
      </c>
      <c r="CL5" t="s">
        <v>161</v>
      </c>
      <c r="CM5" t="s">
        <v>161</v>
      </c>
      <c r="CN5" t="s">
        <v>161</v>
      </c>
      <c r="CO5" t="s">
        <v>161</v>
      </c>
      <c r="CP5" t="s">
        <v>161</v>
      </c>
      <c r="CQ5" t="s">
        <v>161</v>
      </c>
      <c r="CR5" t="s">
        <v>161</v>
      </c>
      <c r="CS5" t="s">
        <v>161</v>
      </c>
      <c r="CT5" t="s">
        <v>161</v>
      </c>
      <c r="CU5" s="141">
        <v>35</v>
      </c>
      <c r="CV5" t="s">
        <v>161</v>
      </c>
      <c r="CW5" t="s">
        <v>161</v>
      </c>
      <c r="CX5" s="153" t="s">
        <v>161</v>
      </c>
      <c r="CY5" t="s">
        <v>172</v>
      </c>
      <c r="CZ5" t="s">
        <v>173</v>
      </c>
      <c r="DA5" t="s">
        <v>173</v>
      </c>
      <c r="DB5" t="s">
        <v>173</v>
      </c>
      <c r="DC5" t="s">
        <v>172</v>
      </c>
      <c r="DD5" t="s">
        <v>173</v>
      </c>
      <c r="DE5" t="s">
        <v>173</v>
      </c>
      <c r="DF5" t="s">
        <v>173</v>
      </c>
      <c r="DG5" t="s">
        <v>172</v>
      </c>
      <c r="DH5" t="s">
        <v>173</v>
      </c>
      <c r="DI5" t="s">
        <v>173</v>
      </c>
      <c r="DJ5" t="s">
        <v>173</v>
      </c>
      <c r="DK5" s="137">
        <v>416</v>
      </c>
      <c r="DL5" t="s">
        <v>161</v>
      </c>
      <c r="DM5" s="137" t="s">
        <v>161</v>
      </c>
      <c r="DN5" t="s">
        <v>236</v>
      </c>
      <c r="DO5">
        <v>39.5</v>
      </c>
      <c r="DP5" t="s">
        <v>174</v>
      </c>
      <c r="DQ5" t="s">
        <v>161</v>
      </c>
      <c r="DR5" t="s">
        <v>233</v>
      </c>
      <c r="DS5" t="s">
        <v>161</v>
      </c>
      <c r="DT5" t="s">
        <v>161</v>
      </c>
      <c r="DU5">
        <v>2.0272000000000001</v>
      </c>
      <c r="DV5" t="s">
        <v>175</v>
      </c>
      <c r="DW5" t="s">
        <v>175</v>
      </c>
      <c r="DX5" t="s">
        <v>182</v>
      </c>
      <c r="DY5" t="s">
        <v>175</v>
      </c>
      <c r="DZ5" t="s">
        <v>175</v>
      </c>
      <c r="EA5" t="s">
        <v>237</v>
      </c>
      <c r="EB5" t="s">
        <v>161</v>
      </c>
      <c r="EC5" t="s">
        <v>238</v>
      </c>
      <c r="ED5" t="s">
        <v>238</v>
      </c>
      <c r="EE5" t="s">
        <v>161</v>
      </c>
      <c r="EF5" t="s">
        <v>161</v>
      </c>
      <c r="EG5" t="s">
        <v>161</v>
      </c>
      <c r="EH5" t="s">
        <v>240</v>
      </c>
      <c r="EI5" t="s">
        <v>241</v>
      </c>
      <c r="EJ5" t="s">
        <v>161</v>
      </c>
      <c r="EK5">
        <v>296</v>
      </c>
      <c r="EL5" t="s">
        <v>161</v>
      </c>
      <c r="EM5" t="s">
        <v>161</v>
      </c>
      <c r="EN5" t="s">
        <v>161</v>
      </c>
      <c r="EO5" t="s">
        <v>161</v>
      </c>
      <c r="EP5" t="s">
        <v>161</v>
      </c>
      <c r="EQ5" t="s">
        <v>161</v>
      </c>
      <c r="ER5" t="s">
        <v>161</v>
      </c>
      <c r="ES5">
        <v>8.1809999999999992</v>
      </c>
      <c r="ET5" s="140" t="s">
        <v>176</v>
      </c>
      <c r="EU5" s="140" t="s">
        <v>161</v>
      </c>
      <c r="EV5" s="140" t="s">
        <v>161</v>
      </c>
      <c r="EW5">
        <v>264</v>
      </c>
      <c r="EX5" s="140" t="s">
        <v>161</v>
      </c>
      <c r="EY5" t="s">
        <v>161</v>
      </c>
      <c r="EZ5" s="133">
        <f t="shared" ref="EZ5:EZ35" si="3">EW5</f>
        <v>264</v>
      </c>
      <c r="FA5">
        <v>20</v>
      </c>
      <c r="FB5">
        <v>20</v>
      </c>
      <c r="FC5" t="s">
        <v>170</v>
      </c>
      <c r="FD5" t="s">
        <v>177</v>
      </c>
      <c r="FE5" t="s">
        <v>178</v>
      </c>
      <c r="FF5" t="s">
        <v>178</v>
      </c>
      <c r="FG5" t="s">
        <v>178</v>
      </c>
      <c r="FH5" t="s">
        <v>178</v>
      </c>
      <c r="FI5" t="s">
        <v>178</v>
      </c>
      <c r="FJ5" t="s">
        <v>178</v>
      </c>
      <c r="FK5" t="s">
        <v>178</v>
      </c>
      <c r="FL5" t="s">
        <v>178</v>
      </c>
      <c r="FM5" t="s">
        <v>178</v>
      </c>
      <c r="FN5" t="s">
        <v>178</v>
      </c>
      <c r="FO5" t="s">
        <v>178</v>
      </c>
      <c r="FP5" t="s">
        <v>178</v>
      </c>
    </row>
    <row r="6" spans="1:191" ht="19" x14ac:dyDescent="0.2">
      <c r="A6" s="128" t="s">
        <v>152</v>
      </c>
      <c r="B6" t="s">
        <v>197</v>
      </c>
      <c r="C6">
        <v>2008</v>
      </c>
      <c r="D6" t="str">
        <f t="shared" ref="D6:D35" si="4">N6</f>
        <v>10.1016/j.epsl.2008.04.015</v>
      </c>
      <c r="E6" s="155">
        <f t="shared" ref="E6:E35" si="5">AG6</f>
        <v>5</v>
      </c>
      <c r="F6" s="132" t="str">
        <f t="shared" ref="F6:F35" si="6">AI6</f>
        <v>NA</v>
      </c>
      <c r="G6" s="132" t="str">
        <f t="shared" ref="G6:G35" si="7">AJ6</f>
        <v>NA</v>
      </c>
      <c r="H6" s="133">
        <f t="shared" ref="H6:H35" si="8">EZ6</f>
        <v>272</v>
      </c>
      <c r="I6" s="133">
        <f t="shared" si="1"/>
        <v>20</v>
      </c>
      <c r="J6" s="133">
        <f t="shared" si="2"/>
        <v>20</v>
      </c>
      <c r="K6" t="s">
        <v>198</v>
      </c>
      <c r="L6" s="134" t="s">
        <v>199</v>
      </c>
      <c r="M6" s="146" t="s">
        <v>200</v>
      </c>
      <c r="N6" s="147" t="s">
        <v>201</v>
      </c>
      <c r="O6" t="s">
        <v>156</v>
      </c>
      <c r="P6" t="s">
        <v>157</v>
      </c>
      <c r="Q6" t="s">
        <v>161</v>
      </c>
      <c r="R6" t="s">
        <v>161</v>
      </c>
      <c r="S6" t="s">
        <v>161</v>
      </c>
      <c r="T6" t="s">
        <v>161</v>
      </c>
      <c r="U6" s="135" t="s">
        <v>161</v>
      </c>
      <c r="V6">
        <v>0.14499999999999999</v>
      </c>
      <c r="W6" t="s">
        <v>161</v>
      </c>
      <c r="X6" t="s">
        <v>158</v>
      </c>
      <c r="Y6" s="136">
        <v>12.75</v>
      </c>
      <c r="Z6" s="136">
        <v>-78.73</v>
      </c>
      <c r="AA6" s="136">
        <v>12.75</v>
      </c>
      <c r="AB6" s="136">
        <v>-78.73</v>
      </c>
      <c r="AC6" s="136">
        <v>-2827</v>
      </c>
      <c r="AD6" s="136">
        <v>-2827</v>
      </c>
      <c r="AE6" t="s">
        <v>159</v>
      </c>
      <c r="AF6" t="s">
        <v>160</v>
      </c>
      <c r="AG6" s="2">
        <v>5</v>
      </c>
      <c r="AH6" s="3" t="s">
        <v>161</v>
      </c>
      <c r="AI6" t="s">
        <v>161</v>
      </c>
      <c r="AJ6" t="s">
        <v>161</v>
      </c>
      <c r="AK6" t="s">
        <v>161</v>
      </c>
      <c r="AL6" t="s">
        <v>161</v>
      </c>
      <c r="AM6" s="137" t="s">
        <v>202</v>
      </c>
      <c r="AN6" t="s">
        <v>161</v>
      </c>
      <c r="AO6" t="s">
        <v>161</v>
      </c>
      <c r="AP6" t="s">
        <v>161</v>
      </c>
      <c r="AQ6" t="s">
        <v>161</v>
      </c>
      <c r="AR6" t="s">
        <v>161</v>
      </c>
      <c r="AS6" t="s">
        <v>161</v>
      </c>
      <c r="AT6" t="s">
        <v>161</v>
      </c>
      <c r="AU6" t="s">
        <v>162</v>
      </c>
      <c r="AV6" t="s">
        <v>163</v>
      </c>
      <c r="AW6" t="s">
        <v>164</v>
      </c>
      <c r="AX6" s="138" t="s">
        <v>165</v>
      </c>
      <c r="AY6" t="s">
        <v>203</v>
      </c>
      <c r="AZ6" t="s">
        <v>166</v>
      </c>
      <c r="BA6" t="s">
        <v>167</v>
      </c>
      <c r="BB6" t="s">
        <v>180</v>
      </c>
      <c r="BC6">
        <v>2</v>
      </c>
      <c r="BD6" s="139">
        <v>0.14000000000000054</v>
      </c>
      <c r="BE6" s="139">
        <v>20.59</v>
      </c>
      <c r="BF6" t="s">
        <v>169</v>
      </c>
      <c r="BG6">
        <v>0.25</v>
      </c>
      <c r="BH6">
        <v>1</v>
      </c>
      <c r="BI6" t="s">
        <v>161</v>
      </c>
      <c r="BJ6" s="3" t="s">
        <v>161</v>
      </c>
      <c r="BK6">
        <v>0.8</v>
      </c>
      <c r="BL6" t="s">
        <v>161</v>
      </c>
      <c r="BM6" t="s">
        <v>161</v>
      </c>
      <c r="BN6" t="s">
        <v>233</v>
      </c>
      <c r="BO6" s="149" t="s">
        <v>234</v>
      </c>
      <c r="BP6" s="150" t="s">
        <v>161</v>
      </c>
      <c r="BQ6" s="150" t="s">
        <v>161</v>
      </c>
      <c r="BR6" s="150" t="s">
        <v>161</v>
      </c>
      <c r="BS6" s="150" t="s">
        <v>161</v>
      </c>
      <c r="BT6" s="150" t="s">
        <v>161</v>
      </c>
      <c r="BU6" s="150" t="s">
        <v>235</v>
      </c>
      <c r="BV6" s="150" t="s">
        <v>171</v>
      </c>
      <c r="BW6" s="150" t="s">
        <v>171</v>
      </c>
      <c r="BX6" s="152">
        <v>28.1</v>
      </c>
      <c r="BY6" t="s">
        <v>161</v>
      </c>
      <c r="BZ6" t="s">
        <v>161</v>
      </c>
      <c r="CA6" t="s">
        <v>161</v>
      </c>
      <c r="CB6" t="s">
        <v>239</v>
      </c>
      <c r="CC6" t="s">
        <v>161</v>
      </c>
      <c r="CD6" t="s">
        <v>161</v>
      </c>
      <c r="CE6" t="s">
        <v>161</v>
      </c>
      <c r="CF6" t="s">
        <v>161</v>
      </c>
      <c r="CG6" t="s">
        <v>161</v>
      </c>
      <c r="CH6" t="s">
        <v>161</v>
      </c>
      <c r="CI6" t="s">
        <v>161</v>
      </c>
      <c r="CJ6" t="s">
        <v>161</v>
      </c>
      <c r="CK6" t="s">
        <v>161</v>
      </c>
      <c r="CL6" t="s">
        <v>161</v>
      </c>
      <c r="CM6" t="s">
        <v>161</v>
      </c>
      <c r="CN6" t="s">
        <v>161</v>
      </c>
      <c r="CO6" t="s">
        <v>161</v>
      </c>
      <c r="CP6" t="s">
        <v>161</v>
      </c>
      <c r="CQ6" t="s">
        <v>161</v>
      </c>
      <c r="CR6" t="s">
        <v>161</v>
      </c>
      <c r="CS6" t="s">
        <v>161</v>
      </c>
      <c r="CT6" t="s">
        <v>161</v>
      </c>
      <c r="CU6" s="141">
        <v>35</v>
      </c>
      <c r="CV6" t="s">
        <v>161</v>
      </c>
      <c r="CW6" t="s">
        <v>161</v>
      </c>
      <c r="CX6" s="153" t="s">
        <v>161</v>
      </c>
      <c r="CY6" t="s">
        <v>172</v>
      </c>
      <c r="CZ6" t="s">
        <v>173</v>
      </c>
      <c r="DA6" t="s">
        <v>173</v>
      </c>
      <c r="DB6" t="s">
        <v>173</v>
      </c>
      <c r="DC6" t="s">
        <v>172</v>
      </c>
      <c r="DD6" t="s">
        <v>173</v>
      </c>
      <c r="DE6" t="s">
        <v>173</v>
      </c>
      <c r="DF6" t="s">
        <v>173</v>
      </c>
      <c r="DG6" t="s">
        <v>172</v>
      </c>
      <c r="DH6" t="s">
        <v>173</v>
      </c>
      <c r="DI6" t="s">
        <v>173</v>
      </c>
      <c r="DJ6" t="s">
        <v>173</v>
      </c>
      <c r="DK6" s="137">
        <v>416</v>
      </c>
      <c r="DL6" t="s">
        <v>161</v>
      </c>
      <c r="DM6" s="137" t="s">
        <v>161</v>
      </c>
      <c r="DN6" t="s">
        <v>236</v>
      </c>
      <c r="DO6">
        <v>39.5</v>
      </c>
      <c r="DP6" t="s">
        <v>174</v>
      </c>
      <c r="DQ6" t="s">
        <v>161</v>
      </c>
      <c r="DR6" t="s">
        <v>233</v>
      </c>
      <c r="DS6" t="s">
        <v>161</v>
      </c>
      <c r="DT6" t="s">
        <v>161</v>
      </c>
      <c r="DU6">
        <v>3.0272000000000001</v>
      </c>
      <c r="DV6" t="s">
        <v>175</v>
      </c>
      <c r="DW6" t="s">
        <v>175</v>
      </c>
      <c r="DX6" t="s">
        <v>182</v>
      </c>
      <c r="DY6" t="s">
        <v>175</v>
      </c>
      <c r="DZ6" t="s">
        <v>175</v>
      </c>
      <c r="EA6" t="s">
        <v>237</v>
      </c>
      <c r="EB6" t="s">
        <v>161</v>
      </c>
      <c r="EC6" t="s">
        <v>238</v>
      </c>
      <c r="ED6" t="s">
        <v>238</v>
      </c>
      <c r="EE6" t="s">
        <v>161</v>
      </c>
      <c r="EF6" t="s">
        <v>161</v>
      </c>
      <c r="EG6" t="s">
        <v>161</v>
      </c>
      <c r="EH6" t="s">
        <v>240</v>
      </c>
      <c r="EI6" t="s">
        <v>241</v>
      </c>
      <c r="EJ6" t="s">
        <v>161</v>
      </c>
      <c r="EK6">
        <v>289</v>
      </c>
      <c r="EL6" t="s">
        <v>161</v>
      </c>
      <c r="EM6" t="s">
        <v>161</v>
      </c>
      <c r="EN6" t="s">
        <v>161</v>
      </c>
      <c r="EO6" t="s">
        <v>161</v>
      </c>
      <c r="EP6" t="s">
        <v>161</v>
      </c>
      <c r="EQ6" t="s">
        <v>161</v>
      </c>
      <c r="ER6" t="s">
        <v>161</v>
      </c>
      <c r="ES6">
        <v>8.1720000000000006</v>
      </c>
      <c r="ET6" s="140" t="s">
        <v>176</v>
      </c>
      <c r="EU6" s="140" t="s">
        <v>161</v>
      </c>
      <c r="EV6" s="140" t="s">
        <v>161</v>
      </c>
      <c r="EW6">
        <v>272</v>
      </c>
      <c r="EX6" s="140" t="s">
        <v>161</v>
      </c>
      <c r="EY6" t="s">
        <v>161</v>
      </c>
      <c r="EZ6" s="133">
        <f t="shared" si="3"/>
        <v>272</v>
      </c>
      <c r="FA6">
        <v>20</v>
      </c>
      <c r="FB6">
        <v>20</v>
      </c>
      <c r="FC6" t="s">
        <v>170</v>
      </c>
      <c r="FD6" t="s">
        <v>177</v>
      </c>
      <c r="FE6" t="s">
        <v>178</v>
      </c>
      <c r="FF6" t="s">
        <v>178</v>
      </c>
      <c r="FG6" t="s">
        <v>178</v>
      </c>
      <c r="FH6" t="s">
        <v>178</v>
      </c>
      <c r="FI6" t="s">
        <v>178</v>
      </c>
      <c r="FJ6" t="s">
        <v>178</v>
      </c>
      <c r="FK6" t="s">
        <v>178</v>
      </c>
      <c r="FL6" t="s">
        <v>178</v>
      </c>
      <c r="FM6" t="s">
        <v>178</v>
      </c>
      <c r="FN6" t="s">
        <v>178</v>
      </c>
      <c r="FO6" t="s">
        <v>178</v>
      </c>
      <c r="FP6" t="s">
        <v>178</v>
      </c>
    </row>
    <row r="7" spans="1:191" ht="19" x14ac:dyDescent="0.2">
      <c r="A7" s="128" t="s">
        <v>152</v>
      </c>
      <c r="B7" t="s">
        <v>197</v>
      </c>
      <c r="C7">
        <v>2008</v>
      </c>
      <c r="D7" t="str">
        <f t="shared" si="4"/>
        <v>10.1016/j.epsl.2008.04.015</v>
      </c>
      <c r="E7" s="155">
        <f t="shared" si="5"/>
        <v>7.8</v>
      </c>
      <c r="F7" s="132" t="str">
        <f t="shared" si="6"/>
        <v>NA</v>
      </c>
      <c r="G7" s="132" t="str">
        <f t="shared" si="7"/>
        <v>NA</v>
      </c>
      <c r="H7" s="133">
        <f t="shared" si="8"/>
        <v>264</v>
      </c>
      <c r="I7" s="133">
        <f t="shared" ref="I7:I35" si="9">FA7</f>
        <v>20</v>
      </c>
      <c r="J7" s="133">
        <f t="shared" ref="J7:J35" si="10">FB7</f>
        <v>20</v>
      </c>
      <c r="K7" t="s">
        <v>198</v>
      </c>
      <c r="L7" s="134" t="s">
        <v>199</v>
      </c>
      <c r="M7" s="146" t="s">
        <v>200</v>
      </c>
      <c r="N7" s="147" t="s">
        <v>201</v>
      </c>
      <c r="O7" t="s">
        <v>156</v>
      </c>
      <c r="P7" t="s">
        <v>157</v>
      </c>
      <c r="Q7" t="s">
        <v>161</v>
      </c>
      <c r="R7" t="s">
        <v>161</v>
      </c>
      <c r="S7" t="s">
        <v>161</v>
      </c>
      <c r="T7" t="s">
        <v>161</v>
      </c>
      <c r="U7" s="135" t="s">
        <v>161</v>
      </c>
      <c r="V7">
        <v>0.31</v>
      </c>
      <c r="W7" t="s">
        <v>161</v>
      </c>
      <c r="X7" t="s">
        <v>158</v>
      </c>
      <c r="Y7" s="136">
        <v>12.75</v>
      </c>
      <c r="Z7" s="136">
        <v>-78.73</v>
      </c>
      <c r="AA7" s="136">
        <v>12.75</v>
      </c>
      <c r="AB7" s="136">
        <v>-78.73</v>
      </c>
      <c r="AC7" s="136">
        <v>-2827</v>
      </c>
      <c r="AD7" s="136">
        <v>-2827</v>
      </c>
      <c r="AE7" t="s">
        <v>159</v>
      </c>
      <c r="AF7" t="s">
        <v>160</v>
      </c>
      <c r="AG7" s="2">
        <v>7.8</v>
      </c>
      <c r="AH7" s="3" t="s">
        <v>161</v>
      </c>
      <c r="AI7" t="s">
        <v>161</v>
      </c>
      <c r="AJ7" t="s">
        <v>161</v>
      </c>
      <c r="AK7" t="s">
        <v>161</v>
      </c>
      <c r="AL7" t="s">
        <v>161</v>
      </c>
      <c r="AM7" s="137" t="s">
        <v>202</v>
      </c>
      <c r="AN7" t="s">
        <v>161</v>
      </c>
      <c r="AO7" t="s">
        <v>161</v>
      </c>
      <c r="AP7" t="s">
        <v>161</v>
      </c>
      <c r="AQ7" t="s">
        <v>161</v>
      </c>
      <c r="AR7" t="s">
        <v>161</v>
      </c>
      <c r="AS7" t="s">
        <v>161</v>
      </c>
      <c r="AT7" t="s">
        <v>161</v>
      </c>
      <c r="AU7" t="s">
        <v>162</v>
      </c>
      <c r="AV7" t="s">
        <v>163</v>
      </c>
      <c r="AW7" t="s">
        <v>164</v>
      </c>
      <c r="AX7" s="138" t="s">
        <v>165</v>
      </c>
      <c r="AY7" t="s">
        <v>203</v>
      </c>
      <c r="AZ7" t="s">
        <v>166</v>
      </c>
      <c r="BA7" t="s">
        <v>167</v>
      </c>
      <c r="BB7" t="s">
        <v>204</v>
      </c>
      <c r="BC7">
        <v>2</v>
      </c>
      <c r="BD7" s="139">
        <v>6.0000000000002267E-2</v>
      </c>
      <c r="BE7" s="139">
        <v>20.82</v>
      </c>
      <c r="BF7" t="s">
        <v>169</v>
      </c>
      <c r="BG7">
        <v>0.25</v>
      </c>
      <c r="BH7">
        <v>1</v>
      </c>
      <c r="BI7" t="s">
        <v>161</v>
      </c>
      <c r="BJ7" s="3" t="s">
        <v>161</v>
      </c>
      <c r="BK7">
        <v>0.8</v>
      </c>
      <c r="BL7" t="s">
        <v>161</v>
      </c>
      <c r="BM7" t="s">
        <v>161</v>
      </c>
      <c r="BN7" t="s">
        <v>233</v>
      </c>
      <c r="BO7" s="149" t="s">
        <v>234</v>
      </c>
      <c r="BP7" s="150" t="s">
        <v>161</v>
      </c>
      <c r="BQ7" s="150" t="s">
        <v>161</v>
      </c>
      <c r="BR7" s="150" t="s">
        <v>161</v>
      </c>
      <c r="BS7" s="150" t="s">
        <v>161</v>
      </c>
      <c r="BT7" s="150" t="s">
        <v>161</v>
      </c>
      <c r="BU7" s="150" t="s">
        <v>235</v>
      </c>
      <c r="BV7" s="150" t="s">
        <v>171</v>
      </c>
      <c r="BW7" s="150" t="s">
        <v>171</v>
      </c>
      <c r="BX7" s="152">
        <v>28.3</v>
      </c>
      <c r="BY7" t="s">
        <v>161</v>
      </c>
      <c r="BZ7" t="s">
        <v>161</v>
      </c>
      <c r="CA7" t="s">
        <v>161</v>
      </c>
      <c r="CB7" t="s">
        <v>239</v>
      </c>
      <c r="CC7" t="s">
        <v>161</v>
      </c>
      <c r="CD7" t="s">
        <v>161</v>
      </c>
      <c r="CE7" t="s">
        <v>161</v>
      </c>
      <c r="CF7" t="s">
        <v>161</v>
      </c>
      <c r="CG7" t="s">
        <v>161</v>
      </c>
      <c r="CH7" t="s">
        <v>161</v>
      </c>
      <c r="CI7" t="s">
        <v>161</v>
      </c>
      <c r="CJ7" t="s">
        <v>161</v>
      </c>
      <c r="CK7" t="s">
        <v>161</v>
      </c>
      <c r="CL7" t="s">
        <v>161</v>
      </c>
      <c r="CM7" t="s">
        <v>161</v>
      </c>
      <c r="CN7" t="s">
        <v>161</v>
      </c>
      <c r="CO7" t="s">
        <v>161</v>
      </c>
      <c r="CP7" t="s">
        <v>161</v>
      </c>
      <c r="CQ7" t="s">
        <v>161</v>
      </c>
      <c r="CR7" t="s">
        <v>161</v>
      </c>
      <c r="CS7" t="s">
        <v>161</v>
      </c>
      <c r="CT7" t="s">
        <v>161</v>
      </c>
      <c r="CU7" s="141">
        <v>35.6</v>
      </c>
      <c r="CV7" t="s">
        <v>161</v>
      </c>
      <c r="CW7" t="s">
        <v>161</v>
      </c>
      <c r="CX7" s="153" t="s">
        <v>161</v>
      </c>
      <c r="CY7" t="s">
        <v>172</v>
      </c>
      <c r="CZ7" t="s">
        <v>173</v>
      </c>
      <c r="DA7" t="s">
        <v>173</v>
      </c>
      <c r="DB7" t="s">
        <v>173</v>
      </c>
      <c r="DC7" t="s">
        <v>172</v>
      </c>
      <c r="DD7" t="s">
        <v>173</v>
      </c>
      <c r="DE7" t="s">
        <v>173</v>
      </c>
      <c r="DF7" t="s">
        <v>173</v>
      </c>
      <c r="DG7" t="s">
        <v>172</v>
      </c>
      <c r="DH7" t="s">
        <v>173</v>
      </c>
      <c r="DI7" t="s">
        <v>173</v>
      </c>
      <c r="DJ7" t="s">
        <v>173</v>
      </c>
      <c r="DK7" s="137">
        <v>416</v>
      </c>
      <c r="DL7" t="s">
        <v>161</v>
      </c>
      <c r="DM7" s="137" t="s">
        <v>161</v>
      </c>
      <c r="DN7" t="s">
        <v>236</v>
      </c>
      <c r="DO7">
        <v>39.5</v>
      </c>
      <c r="DP7" t="s">
        <v>174</v>
      </c>
      <c r="DQ7" t="s">
        <v>161</v>
      </c>
      <c r="DR7" t="s">
        <v>233</v>
      </c>
      <c r="DS7" t="s">
        <v>161</v>
      </c>
      <c r="DT7" t="s">
        <v>161</v>
      </c>
      <c r="DU7">
        <v>4.0271999999999997</v>
      </c>
      <c r="DV7" t="s">
        <v>175</v>
      </c>
      <c r="DW7" t="s">
        <v>175</v>
      </c>
      <c r="DX7" t="s">
        <v>182</v>
      </c>
      <c r="DY7" t="s">
        <v>175</v>
      </c>
      <c r="DZ7" t="s">
        <v>175</v>
      </c>
      <c r="EA7" t="s">
        <v>237</v>
      </c>
      <c r="EB7" t="s">
        <v>161</v>
      </c>
      <c r="EC7" t="s">
        <v>238</v>
      </c>
      <c r="ED7" t="s">
        <v>238</v>
      </c>
      <c r="EE7" t="s">
        <v>161</v>
      </c>
      <c r="EF7" t="s">
        <v>161</v>
      </c>
      <c r="EG7" t="s">
        <v>161</v>
      </c>
      <c r="EH7" t="s">
        <v>240</v>
      </c>
      <c r="EI7" t="s">
        <v>241</v>
      </c>
      <c r="EJ7" t="s">
        <v>161</v>
      </c>
      <c r="EK7">
        <v>302</v>
      </c>
      <c r="EL7" t="s">
        <v>161</v>
      </c>
      <c r="EM7" t="s">
        <v>161</v>
      </c>
      <c r="EN7" t="s">
        <v>161</v>
      </c>
      <c r="EO7" t="s">
        <v>161</v>
      </c>
      <c r="EP7" t="s">
        <v>161</v>
      </c>
      <c r="EQ7" t="s">
        <v>161</v>
      </c>
      <c r="ER7" t="s">
        <v>161</v>
      </c>
      <c r="ES7">
        <v>8.1850000000000005</v>
      </c>
      <c r="ET7" s="140" t="s">
        <v>176</v>
      </c>
      <c r="EU7" s="140" t="s">
        <v>161</v>
      </c>
      <c r="EV7" s="140" t="s">
        <v>161</v>
      </c>
      <c r="EW7">
        <v>264</v>
      </c>
      <c r="EX7" s="140" t="s">
        <v>161</v>
      </c>
      <c r="EY7" t="s">
        <v>161</v>
      </c>
      <c r="EZ7" s="133">
        <f t="shared" si="3"/>
        <v>264</v>
      </c>
      <c r="FA7">
        <v>20</v>
      </c>
      <c r="FB7">
        <v>20</v>
      </c>
      <c r="FC7" t="s">
        <v>170</v>
      </c>
      <c r="FD7" t="s">
        <v>177</v>
      </c>
      <c r="FE7" t="s">
        <v>178</v>
      </c>
      <c r="FF7" t="s">
        <v>178</v>
      </c>
      <c r="FG7" t="s">
        <v>178</v>
      </c>
      <c r="FH7" t="s">
        <v>178</v>
      </c>
      <c r="FI7" t="s">
        <v>178</v>
      </c>
      <c r="FJ7" t="s">
        <v>178</v>
      </c>
      <c r="FK7" t="s">
        <v>178</v>
      </c>
      <c r="FL7" t="s">
        <v>178</v>
      </c>
      <c r="FM7" t="s">
        <v>178</v>
      </c>
      <c r="FN7" t="s">
        <v>178</v>
      </c>
      <c r="FO7" t="s">
        <v>178</v>
      </c>
      <c r="FP7" t="s">
        <v>178</v>
      </c>
    </row>
    <row r="8" spans="1:191" ht="19" x14ac:dyDescent="0.2">
      <c r="A8" s="128" t="s">
        <v>152</v>
      </c>
      <c r="B8" t="s">
        <v>197</v>
      </c>
      <c r="C8">
        <v>2008</v>
      </c>
      <c r="D8" t="str">
        <f t="shared" si="4"/>
        <v>10.1016/j.epsl.2008.04.015</v>
      </c>
      <c r="E8" s="155">
        <f t="shared" si="5"/>
        <v>7.8</v>
      </c>
      <c r="F8" s="132" t="str">
        <f t="shared" si="6"/>
        <v>NA</v>
      </c>
      <c r="G8" s="132" t="str">
        <f t="shared" si="7"/>
        <v>NA</v>
      </c>
      <c r="H8" s="133">
        <f t="shared" si="8"/>
        <v>270</v>
      </c>
      <c r="I8" s="133">
        <f t="shared" si="9"/>
        <v>20</v>
      </c>
      <c r="J8" s="133">
        <f t="shared" si="10"/>
        <v>20</v>
      </c>
      <c r="K8" t="s">
        <v>198</v>
      </c>
      <c r="L8" s="134" t="s">
        <v>199</v>
      </c>
      <c r="M8" s="146" t="s">
        <v>200</v>
      </c>
      <c r="N8" s="147" t="s">
        <v>201</v>
      </c>
      <c r="O8" t="s">
        <v>156</v>
      </c>
      <c r="P8" t="s">
        <v>157</v>
      </c>
      <c r="Q8" t="s">
        <v>161</v>
      </c>
      <c r="R8" t="s">
        <v>161</v>
      </c>
      <c r="S8" t="s">
        <v>161</v>
      </c>
      <c r="T8" t="s">
        <v>161</v>
      </c>
      <c r="U8" s="135" t="s">
        <v>161</v>
      </c>
      <c r="V8">
        <v>0.31</v>
      </c>
      <c r="W8" t="s">
        <v>161</v>
      </c>
      <c r="X8" t="s">
        <v>158</v>
      </c>
      <c r="Y8" s="136">
        <v>12.75</v>
      </c>
      <c r="Z8" s="136">
        <v>-78.73</v>
      </c>
      <c r="AA8" s="136">
        <v>12.75</v>
      </c>
      <c r="AB8" s="136">
        <v>-78.73</v>
      </c>
      <c r="AC8" s="136">
        <v>-2827</v>
      </c>
      <c r="AD8" s="136">
        <v>-2827</v>
      </c>
      <c r="AE8" t="s">
        <v>159</v>
      </c>
      <c r="AF8" t="s">
        <v>160</v>
      </c>
      <c r="AG8" s="148">
        <v>7.8</v>
      </c>
      <c r="AH8" s="3" t="s">
        <v>161</v>
      </c>
      <c r="AI8" t="s">
        <v>161</v>
      </c>
      <c r="AJ8" t="s">
        <v>161</v>
      </c>
      <c r="AK8" t="s">
        <v>161</v>
      </c>
      <c r="AL8" t="s">
        <v>161</v>
      </c>
      <c r="AM8" s="137" t="s">
        <v>202</v>
      </c>
      <c r="AN8" t="s">
        <v>161</v>
      </c>
      <c r="AO8" t="s">
        <v>161</v>
      </c>
      <c r="AP8" t="s">
        <v>161</v>
      </c>
      <c r="AQ8" t="s">
        <v>161</v>
      </c>
      <c r="AR8" t="s">
        <v>161</v>
      </c>
      <c r="AS8" t="s">
        <v>161</v>
      </c>
      <c r="AT8" t="s">
        <v>161</v>
      </c>
      <c r="AU8" t="s">
        <v>162</v>
      </c>
      <c r="AV8" t="s">
        <v>163</v>
      </c>
      <c r="AW8" t="s">
        <v>164</v>
      </c>
      <c r="AX8" s="138" t="s">
        <v>165</v>
      </c>
      <c r="AY8" t="s">
        <v>203</v>
      </c>
      <c r="AZ8" t="s">
        <v>166</v>
      </c>
      <c r="BA8" t="s">
        <v>167</v>
      </c>
      <c r="BB8" t="s">
        <v>205</v>
      </c>
      <c r="BC8">
        <v>2</v>
      </c>
      <c r="BD8" s="139">
        <v>1.9999999999999574E-2</v>
      </c>
      <c r="BE8" s="139">
        <v>20.72</v>
      </c>
      <c r="BF8" t="s">
        <v>169</v>
      </c>
      <c r="BG8">
        <v>0.25</v>
      </c>
      <c r="BH8">
        <v>1</v>
      </c>
      <c r="BI8" t="s">
        <v>161</v>
      </c>
      <c r="BJ8" s="3" t="s">
        <v>161</v>
      </c>
      <c r="BK8">
        <v>0.8</v>
      </c>
      <c r="BL8" t="s">
        <v>161</v>
      </c>
      <c r="BM8" t="s">
        <v>161</v>
      </c>
      <c r="BN8" t="s">
        <v>233</v>
      </c>
      <c r="BO8" s="149" t="s">
        <v>234</v>
      </c>
      <c r="BP8" s="150" t="s">
        <v>161</v>
      </c>
      <c r="BQ8" s="150" t="s">
        <v>161</v>
      </c>
      <c r="BR8" s="150" t="s">
        <v>161</v>
      </c>
      <c r="BS8" s="150" t="s">
        <v>161</v>
      </c>
      <c r="BT8" s="150" t="s">
        <v>161</v>
      </c>
      <c r="BU8" s="150" t="s">
        <v>235</v>
      </c>
      <c r="BV8" s="150" t="s">
        <v>171</v>
      </c>
      <c r="BW8" s="150" t="s">
        <v>171</v>
      </c>
      <c r="BX8" s="152">
        <v>28.3</v>
      </c>
      <c r="BY8" t="s">
        <v>161</v>
      </c>
      <c r="BZ8" t="s">
        <v>161</v>
      </c>
      <c r="CA8" t="s">
        <v>161</v>
      </c>
      <c r="CB8" t="s">
        <v>239</v>
      </c>
      <c r="CC8" t="s">
        <v>161</v>
      </c>
      <c r="CD8" t="s">
        <v>161</v>
      </c>
      <c r="CE8" t="s">
        <v>161</v>
      </c>
      <c r="CF8" t="s">
        <v>161</v>
      </c>
      <c r="CG8" t="s">
        <v>161</v>
      </c>
      <c r="CH8" t="s">
        <v>161</v>
      </c>
      <c r="CI8" t="s">
        <v>161</v>
      </c>
      <c r="CJ8" t="s">
        <v>161</v>
      </c>
      <c r="CK8" t="s">
        <v>161</v>
      </c>
      <c r="CL8" t="s">
        <v>161</v>
      </c>
      <c r="CM8" t="s">
        <v>161</v>
      </c>
      <c r="CN8" t="s">
        <v>161</v>
      </c>
      <c r="CO8" t="s">
        <v>161</v>
      </c>
      <c r="CP8" t="s">
        <v>161</v>
      </c>
      <c r="CQ8" t="s">
        <v>161</v>
      </c>
      <c r="CR8" t="s">
        <v>161</v>
      </c>
      <c r="CS8" t="s">
        <v>161</v>
      </c>
      <c r="CT8" t="s">
        <v>161</v>
      </c>
      <c r="CU8" s="141">
        <v>35.6</v>
      </c>
      <c r="CV8" t="s">
        <v>161</v>
      </c>
      <c r="CW8" t="s">
        <v>161</v>
      </c>
      <c r="CX8" s="153" t="s">
        <v>161</v>
      </c>
      <c r="CY8" t="s">
        <v>172</v>
      </c>
      <c r="CZ8" t="s">
        <v>173</v>
      </c>
      <c r="DA8" t="s">
        <v>173</v>
      </c>
      <c r="DB8" t="s">
        <v>173</v>
      </c>
      <c r="DC8" t="s">
        <v>172</v>
      </c>
      <c r="DD8" t="s">
        <v>173</v>
      </c>
      <c r="DE8" t="s">
        <v>173</v>
      </c>
      <c r="DF8" t="s">
        <v>173</v>
      </c>
      <c r="DG8" t="s">
        <v>172</v>
      </c>
      <c r="DH8" t="s">
        <v>173</v>
      </c>
      <c r="DI8" t="s">
        <v>173</v>
      </c>
      <c r="DJ8" t="s">
        <v>173</v>
      </c>
      <c r="DK8" s="137">
        <v>416</v>
      </c>
      <c r="DL8" t="s">
        <v>161</v>
      </c>
      <c r="DM8" s="137" t="s">
        <v>161</v>
      </c>
      <c r="DN8" t="s">
        <v>236</v>
      </c>
      <c r="DO8">
        <v>39.5</v>
      </c>
      <c r="DP8" t="s">
        <v>174</v>
      </c>
      <c r="DQ8" t="s">
        <v>161</v>
      </c>
      <c r="DR8" t="s">
        <v>233</v>
      </c>
      <c r="DS8" t="s">
        <v>161</v>
      </c>
      <c r="DT8" t="s">
        <v>161</v>
      </c>
      <c r="DU8">
        <v>5.0271999999999997</v>
      </c>
      <c r="DV8" t="s">
        <v>175</v>
      </c>
      <c r="DW8" t="s">
        <v>175</v>
      </c>
      <c r="DX8" t="s">
        <v>182</v>
      </c>
      <c r="DY8" t="s">
        <v>175</v>
      </c>
      <c r="DZ8" t="s">
        <v>175</v>
      </c>
      <c r="EA8" t="s">
        <v>237</v>
      </c>
      <c r="EB8" t="s">
        <v>161</v>
      </c>
      <c r="EC8" t="s">
        <v>238</v>
      </c>
      <c r="ED8" t="s">
        <v>238</v>
      </c>
      <c r="EE8" t="s">
        <v>161</v>
      </c>
      <c r="EF8" t="s">
        <v>161</v>
      </c>
      <c r="EG8" t="s">
        <v>161</v>
      </c>
      <c r="EH8" t="s">
        <v>240</v>
      </c>
      <c r="EI8" t="s">
        <v>241</v>
      </c>
      <c r="EJ8" t="s">
        <v>161</v>
      </c>
      <c r="EK8">
        <v>299</v>
      </c>
      <c r="EL8" t="s">
        <v>161</v>
      </c>
      <c r="EM8" t="s">
        <v>161</v>
      </c>
      <c r="EN8" t="s">
        <v>161</v>
      </c>
      <c r="EO8" t="s">
        <v>161</v>
      </c>
      <c r="EP8" t="s">
        <v>161</v>
      </c>
      <c r="EQ8" t="s">
        <v>161</v>
      </c>
      <c r="ER8" t="s">
        <v>161</v>
      </c>
      <c r="ES8">
        <v>8.1769999999999996</v>
      </c>
      <c r="ET8" s="140" t="s">
        <v>176</v>
      </c>
      <c r="EU8" s="140" t="s">
        <v>161</v>
      </c>
      <c r="EV8" s="140" t="s">
        <v>161</v>
      </c>
      <c r="EW8">
        <v>270</v>
      </c>
      <c r="EX8" s="140" t="s">
        <v>161</v>
      </c>
      <c r="EY8" t="s">
        <v>161</v>
      </c>
      <c r="EZ8" s="133">
        <f t="shared" si="3"/>
        <v>270</v>
      </c>
      <c r="FA8">
        <v>20</v>
      </c>
      <c r="FB8">
        <v>20</v>
      </c>
      <c r="FC8" t="s">
        <v>170</v>
      </c>
      <c r="FD8" t="s">
        <v>177</v>
      </c>
      <c r="FE8" t="s">
        <v>178</v>
      </c>
      <c r="FF8" t="s">
        <v>178</v>
      </c>
      <c r="FG8" t="s">
        <v>178</v>
      </c>
      <c r="FH8" t="s">
        <v>178</v>
      </c>
      <c r="FI8" t="s">
        <v>178</v>
      </c>
      <c r="FJ8" t="s">
        <v>178</v>
      </c>
      <c r="FK8" t="s">
        <v>178</v>
      </c>
      <c r="FL8" t="s">
        <v>178</v>
      </c>
      <c r="FM8" t="s">
        <v>178</v>
      </c>
      <c r="FN8" t="s">
        <v>178</v>
      </c>
      <c r="FO8" t="s">
        <v>178</v>
      </c>
      <c r="FP8" t="s">
        <v>178</v>
      </c>
    </row>
    <row r="9" spans="1:191" ht="19" x14ac:dyDescent="0.2">
      <c r="A9" s="128" t="s">
        <v>152</v>
      </c>
      <c r="B9" t="s">
        <v>197</v>
      </c>
      <c r="C9">
        <v>2008</v>
      </c>
      <c r="D9" t="str">
        <f t="shared" si="4"/>
        <v>10.1016/j.epsl.2008.04.015</v>
      </c>
      <c r="E9" s="155">
        <f t="shared" si="5"/>
        <v>9.5</v>
      </c>
      <c r="F9" s="132" t="str">
        <f t="shared" si="6"/>
        <v>NA</v>
      </c>
      <c r="G9" s="132" t="str">
        <f t="shared" si="7"/>
        <v>NA</v>
      </c>
      <c r="H9" s="133">
        <f t="shared" si="8"/>
        <v>272</v>
      </c>
      <c r="I9" s="133">
        <f t="shared" si="9"/>
        <v>20</v>
      </c>
      <c r="J9" s="133">
        <f t="shared" si="10"/>
        <v>20</v>
      </c>
      <c r="K9" t="s">
        <v>198</v>
      </c>
      <c r="L9" s="134" t="s">
        <v>199</v>
      </c>
      <c r="M9" s="146" t="s">
        <v>200</v>
      </c>
      <c r="N9" s="147" t="s">
        <v>201</v>
      </c>
      <c r="O9" t="s">
        <v>156</v>
      </c>
      <c r="P9" t="s">
        <v>157</v>
      </c>
      <c r="Q9" t="s">
        <v>161</v>
      </c>
      <c r="R9" t="s">
        <v>161</v>
      </c>
      <c r="S9" t="s">
        <v>161</v>
      </c>
      <c r="T9" t="s">
        <v>161</v>
      </c>
      <c r="U9" s="135" t="s">
        <v>161</v>
      </c>
      <c r="V9">
        <v>0.39</v>
      </c>
      <c r="W9" t="s">
        <v>161</v>
      </c>
      <c r="X9" t="s">
        <v>158</v>
      </c>
      <c r="Y9" s="136">
        <v>12.75</v>
      </c>
      <c r="Z9" s="136">
        <v>-78.73</v>
      </c>
      <c r="AA9" s="136">
        <v>12.75</v>
      </c>
      <c r="AB9" s="136">
        <v>-78.73</v>
      </c>
      <c r="AC9" s="136">
        <v>-2827</v>
      </c>
      <c r="AD9" s="136">
        <v>-2827</v>
      </c>
      <c r="AE9" t="s">
        <v>159</v>
      </c>
      <c r="AF9" t="s">
        <v>160</v>
      </c>
      <c r="AG9" s="148">
        <v>9.5</v>
      </c>
      <c r="AH9" s="3" t="s">
        <v>161</v>
      </c>
      <c r="AI9" t="s">
        <v>161</v>
      </c>
      <c r="AJ9" t="s">
        <v>161</v>
      </c>
      <c r="AK9" t="s">
        <v>161</v>
      </c>
      <c r="AL9" t="s">
        <v>161</v>
      </c>
      <c r="AM9" s="137" t="s">
        <v>202</v>
      </c>
      <c r="AN9" t="s">
        <v>161</v>
      </c>
      <c r="AO9" t="s">
        <v>161</v>
      </c>
      <c r="AP9" t="s">
        <v>161</v>
      </c>
      <c r="AQ9" t="s">
        <v>161</v>
      </c>
      <c r="AR9" t="s">
        <v>161</v>
      </c>
      <c r="AS9" t="s">
        <v>161</v>
      </c>
      <c r="AT9" t="s">
        <v>161</v>
      </c>
      <c r="AU9" t="s">
        <v>162</v>
      </c>
      <c r="AV9" t="s">
        <v>163</v>
      </c>
      <c r="AW9" t="s">
        <v>164</v>
      </c>
      <c r="AX9" s="138" t="s">
        <v>165</v>
      </c>
      <c r="AY9" t="s">
        <v>203</v>
      </c>
      <c r="AZ9" t="s">
        <v>166</v>
      </c>
      <c r="BA9" t="s">
        <v>167</v>
      </c>
      <c r="BB9" t="s">
        <v>206</v>
      </c>
      <c r="BC9">
        <v>2</v>
      </c>
      <c r="BD9" s="139">
        <v>0.10999999999999943</v>
      </c>
      <c r="BE9" s="139">
        <v>20.675000000000001</v>
      </c>
      <c r="BF9" t="s">
        <v>169</v>
      </c>
      <c r="BG9">
        <v>0.25</v>
      </c>
      <c r="BH9">
        <v>1</v>
      </c>
      <c r="BI9" t="s">
        <v>161</v>
      </c>
      <c r="BJ9" s="3" t="s">
        <v>161</v>
      </c>
      <c r="BK9">
        <v>0.8</v>
      </c>
      <c r="BL9" t="s">
        <v>161</v>
      </c>
      <c r="BM9" t="s">
        <v>161</v>
      </c>
      <c r="BN9" t="s">
        <v>233</v>
      </c>
      <c r="BO9" s="149" t="s">
        <v>234</v>
      </c>
      <c r="BP9" s="150" t="s">
        <v>161</v>
      </c>
      <c r="BQ9" s="150" t="s">
        <v>161</v>
      </c>
      <c r="BR9" s="150" t="s">
        <v>161</v>
      </c>
      <c r="BS9" s="150" t="s">
        <v>161</v>
      </c>
      <c r="BT9" s="150" t="s">
        <v>161</v>
      </c>
      <c r="BU9" s="150" t="s">
        <v>235</v>
      </c>
      <c r="BV9" s="150" t="s">
        <v>171</v>
      </c>
      <c r="BW9" s="150" t="s">
        <v>171</v>
      </c>
      <c r="BX9" s="152">
        <v>27.5</v>
      </c>
      <c r="BY9" t="s">
        <v>161</v>
      </c>
      <c r="BZ9" t="s">
        <v>161</v>
      </c>
      <c r="CA9" t="s">
        <v>161</v>
      </c>
      <c r="CB9" t="s">
        <v>239</v>
      </c>
      <c r="CC9" t="s">
        <v>161</v>
      </c>
      <c r="CD9" t="s">
        <v>161</v>
      </c>
      <c r="CE9" t="s">
        <v>161</v>
      </c>
      <c r="CF9" t="s">
        <v>161</v>
      </c>
      <c r="CG9" t="s">
        <v>161</v>
      </c>
      <c r="CH9" t="s">
        <v>161</v>
      </c>
      <c r="CI9" t="s">
        <v>161</v>
      </c>
      <c r="CJ9" t="s">
        <v>161</v>
      </c>
      <c r="CK9" t="s">
        <v>161</v>
      </c>
      <c r="CL9" t="s">
        <v>161</v>
      </c>
      <c r="CM9" t="s">
        <v>161</v>
      </c>
      <c r="CN9" t="s">
        <v>161</v>
      </c>
      <c r="CO9" t="s">
        <v>161</v>
      </c>
      <c r="CP9" t="s">
        <v>161</v>
      </c>
      <c r="CQ9" t="s">
        <v>161</v>
      </c>
      <c r="CR9" t="s">
        <v>161</v>
      </c>
      <c r="CS9" t="s">
        <v>161</v>
      </c>
      <c r="CT9" t="s">
        <v>161</v>
      </c>
      <c r="CU9" s="141">
        <v>36.1</v>
      </c>
      <c r="CV9" t="s">
        <v>161</v>
      </c>
      <c r="CW9" t="s">
        <v>161</v>
      </c>
      <c r="CX9" s="153" t="s">
        <v>161</v>
      </c>
      <c r="CY9" t="s">
        <v>172</v>
      </c>
      <c r="CZ9" t="s">
        <v>173</v>
      </c>
      <c r="DA9" t="s">
        <v>173</v>
      </c>
      <c r="DB9" t="s">
        <v>173</v>
      </c>
      <c r="DC9" t="s">
        <v>172</v>
      </c>
      <c r="DD9" t="s">
        <v>173</v>
      </c>
      <c r="DE9" t="s">
        <v>173</v>
      </c>
      <c r="DF9" t="s">
        <v>173</v>
      </c>
      <c r="DG9" t="s">
        <v>172</v>
      </c>
      <c r="DH9" t="s">
        <v>173</v>
      </c>
      <c r="DI9" t="s">
        <v>173</v>
      </c>
      <c r="DJ9" t="s">
        <v>173</v>
      </c>
      <c r="DK9" s="137">
        <v>416</v>
      </c>
      <c r="DL9" t="s">
        <v>161</v>
      </c>
      <c r="DM9" s="137" t="s">
        <v>161</v>
      </c>
      <c r="DN9" t="s">
        <v>236</v>
      </c>
      <c r="DO9">
        <v>39.5</v>
      </c>
      <c r="DP9" t="s">
        <v>174</v>
      </c>
      <c r="DQ9" t="s">
        <v>161</v>
      </c>
      <c r="DR9" t="s">
        <v>233</v>
      </c>
      <c r="DS9" t="s">
        <v>161</v>
      </c>
      <c r="DT9" t="s">
        <v>161</v>
      </c>
      <c r="DU9">
        <v>6.0271999999999997</v>
      </c>
      <c r="DV9" t="s">
        <v>175</v>
      </c>
      <c r="DW9" t="s">
        <v>175</v>
      </c>
      <c r="DX9" t="s">
        <v>182</v>
      </c>
      <c r="DY9" t="s">
        <v>175</v>
      </c>
      <c r="DZ9" t="s">
        <v>175</v>
      </c>
      <c r="EA9" t="s">
        <v>237</v>
      </c>
      <c r="EB9" t="s">
        <v>161</v>
      </c>
      <c r="EC9" t="s">
        <v>238</v>
      </c>
      <c r="ED9" t="s">
        <v>238</v>
      </c>
      <c r="EE9" t="s">
        <v>161</v>
      </c>
      <c r="EF9" t="s">
        <v>161</v>
      </c>
      <c r="EG9" t="s">
        <v>161</v>
      </c>
      <c r="EH9" t="s">
        <v>240</v>
      </c>
      <c r="EI9" t="s">
        <v>241</v>
      </c>
      <c r="EJ9" t="s">
        <v>161</v>
      </c>
      <c r="EK9">
        <v>301</v>
      </c>
      <c r="EL9" t="s">
        <v>161</v>
      </c>
      <c r="EM9" t="s">
        <v>161</v>
      </c>
      <c r="EN9" t="s">
        <v>161</v>
      </c>
      <c r="EO9" t="s">
        <v>161</v>
      </c>
      <c r="EP9" t="s">
        <v>161</v>
      </c>
      <c r="EQ9" t="s">
        <v>161</v>
      </c>
      <c r="ER9" t="s">
        <v>161</v>
      </c>
      <c r="ES9">
        <v>8.1790000000000003</v>
      </c>
      <c r="ET9" s="140" t="s">
        <v>176</v>
      </c>
      <c r="EU9" s="140" t="s">
        <v>161</v>
      </c>
      <c r="EV9" s="140" t="s">
        <v>161</v>
      </c>
      <c r="EW9">
        <v>272</v>
      </c>
      <c r="EX9" s="140" t="s">
        <v>161</v>
      </c>
      <c r="EY9" t="s">
        <v>161</v>
      </c>
      <c r="EZ9" s="133">
        <f t="shared" si="3"/>
        <v>272</v>
      </c>
      <c r="FA9">
        <v>20</v>
      </c>
      <c r="FB9">
        <v>20</v>
      </c>
      <c r="FC9" t="s">
        <v>170</v>
      </c>
      <c r="FD9" t="s">
        <v>177</v>
      </c>
      <c r="FE9" t="s">
        <v>178</v>
      </c>
      <c r="FF9" t="s">
        <v>178</v>
      </c>
      <c r="FG9" t="s">
        <v>178</v>
      </c>
      <c r="FH9" t="s">
        <v>178</v>
      </c>
      <c r="FI9" t="s">
        <v>178</v>
      </c>
      <c r="FJ9" t="s">
        <v>178</v>
      </c>
      <c r="FK9" t="s">
        <v>178</v>
      </c>
      <c r="FL9" t="s">
        <v>178</v>
      </c>
      <c r="FM9" t="s">
        <v>178</v>
      </c>
      <c r="FN9" t="s">
        <v>178</v>
      </c>
      <c r="FO9" t="s">
        <v>178</v>
      </c>
      <c r="FP9" t="s">
        <v>178</v>
      </c>
    </row>
    <row r="10" spans="1:191" ht="19" x14ac:dyDescent="0.2">
      <c r="A10" s="128" t="s">
        <v>152</v>
      </c>
      <c r="B10" t="s">
        <v>197</v>
      </c>
      <c r="C10">
        <v>2008</v>
      </c>
      <c r="D10" t="str">
        <f t="shared" si="4"/>
        <v>10.1016/j.epsl.2008.04.015</v>
      </c>
      <c r="E10" s="155">
        <f t="shared" si="5"/>
        <v>10.3</v>
      </c>
      <c r="F10" s="132" t="str">
        <f t="shared" si="6"/>
        <v>NA</v>
      </c>
      <c r="G10" s="132" t="str">
        <f t="shared" si="7"/>
        <v>NA</v>
      </c>
      <c r="H10" s="133">
        <f t="shared" si="8"/>
        <v>259</v>
      </c>
      <c r="I10" s="133">
        <f t="shared" si="9"/>
        <v>20</v>
      </c>
      <c r="J10" s="133">
        <f t="shared" si="10"/>
        <v>20</v>
      </c>
      <c r="K10" t="s">
        <v>198</v>
      </c>
      <c r="L10" s="134" t="s">
        <v>199</v>
      </c>
      <c r="M10" s="146" t="s">
        <v>200</v>
      </c>
      <c r="N10" s="147" t="s">
        <v>201</v>
      </c>
      <c r="O10" t="s">
        <v>156</v>
      </c>
      <c r="P10" t="s">
        <v>157</v>
      </c>
      <c r="Q10" t="s">
        <v>161</v>
      </c>
      <c r="R10" t="s">
        <v>161</v>
      </c>
      <c r="S10" t="s">
        <v>161</v>
      </c>
      <c r="T10" t="s">
        <v>161</v>
      </c>
      <c r="U10" s="135" t="s">
        <v>161</v>
      </c>
      <c r="V10">
        <v>0.43</v>
      </c>
      <c r="W10" t="s">
        <v>161</v>
      </c>
      <c r="X10" t="s">
        <v>158</v>
      </c>
      <c r="Y10" s="136">
        <v>12.75</v>
      </c>
      <c r="Z10" s="136">
        <v>-78.73</v>
      </c>
      <c r="AA10" s="136">
        <v>12.75</v>
      </c>
      <c r="AB10" s="136">
        <v>-78.73</v>
      </c>
      <c r="AC10" s="136">
        <v>-2827</v>
      </c>
      <c r="AD10" s="136">
        <v>-2827</v>
      </c>
      <c r="AE10" t="s">
        <v>159</v>
      </c>
      <c r="AF10" t="s">
        <v>160</v>
      </c>
      <c r="AG10" s="148">
        <v>10.3</v>
      </c>
      <c r="AH10" s="3" t="s">
        <v>161</v>
      </c>
      <c r="AI10" t="s">
        <v>161</v>
      </c>
      <c r="AJ10" t="s">
        <v>161</v>
      </c>
      <c r="AK10" t="s">
        <v>161</v>
      </c>
      <c r="AL10" t="s">
        <v>161</v>
      </c>
      <c r="AM10" s="137" t="s">
        <v>202</v>
      </c>
      <c r="AN10" t="s">
        <v>161</v>
      </c>
      <c r="AO10" t="s">
        <v>161</v>
      </c>
      <c r="AP10" t="s">
        <v>161</v>
      </c>
      <c r="AQ10" t="s">
        <v>161</v>
      </c>
      <c r="AR10" t="s">
        <v>161</v>
      </c>
      <c r="AS10" t="s">
        <v>161</v>
      </c>
      <c r="AT10" t="s">
        <v>161</v>
      </c>
      <c r="AU10" t="s">
        <v>162</v>
      </c>
      <c r="AV10" t="s">
        <v>163</v>
      </c>
      <c r="AW10" t="s">
        <v>164</v>
      </c>
      <c r="AX10" s="138" t="s">
        <v>165</v>
      </c>
      <c r="AY10" t="s">
        <v>203</v>
      </c>
      <c r="AZ10" t="s">
        <v>166</v>
      </c>
      <c r="BA10" t="s">
        <v>167</v>
      </c>
      <c r="BB10" t="s">
        <v>207</v>
      </c>
      <c r="BC10">
        <v>2</v>
      </c>
      <c r="BD10" s="139">
        <v>7.000000000000027E-2</v>
      </c>
      <c r="BE10" s="139">
        <v>20.925000000000001</v>
      </c>
      <c r="BF10" t="s">
        <v>169</v>
      </c>
      <c r="BG10">
        <v>0.25</v>
      </c>
      <c r="BH10">
        <v>1</v>
      </c>
      <c r="BI10" t="s">
        <v>161</v>
      </c>
      <c r="BJ10" s="3" t="s">
        <v>161</v>
      </c>
      <c r="BK10">
        <v>0.8</v>
      </c>
      <c r="BL10" t="s">
        <v>161</v>
      </c>
      <c r="BM10" t="s">
        <v>161</v>
      </c>
      <c r="BN10" t="s">
        <v>233</v>
      </c>
      <c r="BO10" s="149" t="s">
        <v>234</v>
      </c>
      <c r="BP10" s="150" t="s">
        <v>161</v>
      </c>
      <c r="BQ10" s="150" t="s">
        <v>161</v>
      </c>
      <c r="BR10" s="150" t="s">
        <v>161</v>
      </c>
      <c r="BS10" s="150" t="s">
        <v>161</v>
      </c>
      <c r="BT10" s="150" t="s">
        <v>161</v>
      </c>
      <c r="BU10" s="150" t="s">
        <v>235</v>
      </c>
      <c r="BV10" s="150" t="s">
        <v>171</v>
      </c>
      <c r="BW10" s="150" t="s">
        <v>171</v>
      </c>
      <c r="BX10" s="152">
        <v>27.5</v>
      </c>
      <c r="BY10" t="s">
        <v>161</v>
      </c>
      <c r="BZ10" t="s">
        <v>161</v>
      </c>
      <c r="CA10" t="s">
        <v>161</v>
      </c>
      <c r="CB10" t="s">
        <v>239</v>
      </c>
      <c r="CC10" t="s">
        <v>161</v>
      </c>
      <c r="CD10" t="s">
        <v>161</v>
      </c>
      <c r="CE10" t="s">
        <v>161</v>
      </c>
      <c r="CF10" t="s">
        <v>161</v>
      </c>
      <c r="CG10" t="s">
        <v>161</v>
      </c>
      <c r="CH10" t="s">
        <v>161</v>
      </c>
      <c r="CI10" t="s">
        <v>161</v>
      </c>
      <c r="CJ10" t="s">
        <v>161</v>
      </c>
      <c r="CK10" t="s">
        <v>161</v>
      </c>
      <c r="CL10" t="s">
        <v>161</v>
      </c>
      <c r="CM10" t="s">
        <v>161</v>
      </c>
      <c r="CN10" t="s">
        <v>161</v>
      </c>
      <c r="CO10" t="s">
        <v>161</v>
      </c>
      <c r="CP10" t="s">
        <v>161</v>
      </c>
      <c r="CQ10" t="s">
        <v>161</v>
      </c>
      <c r="CR10" t="s">
        <v>161</v>
      </c>
      <c r="CS10" t="s">
        <v>161</v>
      </c>
      <c r="CT10" t="s">
        <v>161</v>
      </c>
      <c r="CU10" s="141">
        <v>36.4</v>
      </c>
      <c r="CV10" t="s">
        <v>161</v>
      </c>
      <c r="CW10" t="s">
        <v>161</v>
      </c>
      <c r="CX10" s="153" t="s">
        <v>161</v>
      </c>
      <c r="CY10" t="s">
        <v>172</v>
      </c>
      <c r="CZ10" t="s">
        <v>173</v>
      </c>
      <c r="DA10" t="s">
        <v>173</v>
      </c>
      <c r="DB10" t="s">
        <v>173</v>
      </c>
      <c r="DC10" t="s">
        <v>172</v>
      </c>
      <c r="DD10" t="s">
        <v>173</v>
      </c>
      <c r="DE10" t="s">
        <v>173</v>
      </c>
      <c r="DF10" t="s">
        <v>173</v>
      </c>
      <c r="DG10" t="s">
        <v>172</v>
      </c>
      <c r="DH10" t="s">
        <v>173</v>
      </c>
      <c r="DI10" t="s">
        <v>173</v>
      </c>
      <c r="DJ10" t="s">
        <v>173</v>
      </c>
      <c r="DK10" s="137">
        <v>416</v>
      </c>
      <c r="DL10" t="s">
        <v>161</v>
      </c>
      <c r="DM10" s="137" t="s">
        <v>161</v>
      </c>
      <c r="DN10" t="s">
        <v>236</v>
      </c>
      <c r="DO10">
        <v>39.5</v>
      </c>
      <c r="DP10" t="s">
        <v>174</v>
      </c>
      <c r="DQ10" t="s">
        <v>161</v>
      </c>
      <c r="DR10" t="s">
        <v>233</v>
      </c>
      <c r="DS10" t="s">
        <v>161</v>
      </c>
      <c r="DT10" t="s">
        <v>161</v>
      </c>
      <c r="DU10">
        <v>7.0271999999999997</v>
      </c>
      <c r="DV10" t="s">
        <v>175</v>
      </c>
      <c r="DW10" t="s">
        <v>175</v>
      </c>
      <c r="DX10" t="s">
        <v>182</v>
      </c>
      <c r="DY10" t="s">
        <v>175</v>
      </c>
      <c r="DZ10" t="s">
        <v>175</v>
      </c>
      <c r="EA10" t="s">
        <v>237</v>
      </c>
      <c r="EB10" t="s">
        <v>161</v>
      </c>
      <c r="EC10" t="s">
        <v>238</v>
      </c>
      <c r="ED10" t="s">
        <v>238</v>
      </c>
      <c r="EE10" t="s">
        <v>161</v>
      </c>
      <c r="EF10" t="s">
        <v>161</v>
      </c>
      <c r="EG10" t="s">
        <v>161</v>
      </c>
      <c r="EH10" t="s">
        <v>240</v>
      </c>
      <c r="EI10" t="s">
        <v>241</v>
      </c>
      <c r="EJ10" t="s">
        <v>161</v>
      </c>
      <c r="EK10">
        <v>313</v>
      </c>
      <c r="EL10" t="s">
        <v>161</v>
      </c>
      <c r="EM10" t="s">
        <v>161</v>
      </c>
      <c r="EN10" t="s">
        <v>161</v>
      </c>
      <c r="EO10" t="s">
        <v>161</v>
      </c>
      <c r="EP10" t="s">
        <v>161</v>
      </c>
      <c r="EQ10" t="s">
        <v>161</v>
      </c>
      <c r="ER10" t="s">
        <v>161</v>
      </c>
      <c r="ES10">
        <v>8.1969999999999992</v>
      </c>
      <c r="ET10" s="140" t="s">
        <v>176</v>
      </c>
      <c r="EU10" s="140" t="s">
        <v>161</v>
      </c>
      <c r="EV10" s="140" t="s">
        <v>161</v>
      </c>
      <c r="EW10">
        <v>259</v>
      </c>
      <c r="EX10" s="140" t="s">
        <v>161</v>
      </c>
      <c r="EY10" t="s">
        <v>161</v>
      </c>
      <c r="EZ10" s="133">
        <f t="shared" si="3"/>
        <v>259</v>
      </c>
      <c r="FA10">
        <v>20</v>
      </c>
      <c r="FB10">
        <v>20</v>
      </c>
      <c r="FC10" t="s">
        <v>170</v>
      </c>
      <c r="FD10" t="s">
        <v>177</v>
      </c>
      <c r="FE10" t="s">
        <v>178</v>
      </c>
      <c r="FF10" t="s">
        <v>178</v>
      </c>
      <c r="FG10" t="s">
        <v>178</v>
      </c>
      <c r="FH10" t="s">
        <v>178</v>
      </c>
      <c r="FI10" t="s">
        <v>178</v>
      </c>
      <c r="FJ10" t="s">
        <v>178</v>
      </c>
      <c r="FK10" t="s">
        <v>178</v>
      </c>
      <c r="FL10" t="s">
        <v>178</v>
      </c>
      <c r="FM10" t="s">
        <v>178</v>
      </c>
      <c r="FN10" t="s">
        <v>178</v>
      </c>
      <c r="FO10" t="s">
        <v>178</v>
      </c>
      <c r="FP10" t="s">
        <v>178</v>
      </c>
    </row>
    <row r="11" spans="1:191" ht="19" x14ac:dyDescent="0.2">
      <c r="A11" s="128" t="s">
        <v>152</v>
      </c>
      <c r="B11" t="s">
        <v>197</v>
      </c>
      <c r="C11">
        <v>2008</v>
      </c>
      <c r="D11" t="str">
        <f t="shared" si="4"/>
        <v>10.1016/j.epsl.2008.04.015</v>
      </c>
      <c r="E11" s="155">
        <f t="shared" si="5"/>
        <v>11.7</v>
      </c>
      <c r="F11" s="132" t="str">
        <f t="shared" si="6"/>
        <v>NA</v>
      </c>
      <c r="G11" s="132" t="str">
        <f t="shared" si="7"/>
        <v>NA</v>
      </c>
      <c r="H11" s="133">
        <f t="shared" si="8"/>
        <v>268</v>
      </c>
      <c r="I11" s="133">
        <f t="shared" si="9"/>
        <v>20</v>
      </c>
      <c r="J11" s="133">
        <f t="shared" si="10"/>
        <v>20</v>
      </c>
      <c r="K11" t="s">
        <v>198</v>
      </c>
      <c r="L11" s="134" t="s">
        <v>199</v>
      </c>
      <c r="M11" s="146" t="s">
        <v>200</v>
      </c>
      <c r="N11" s="147" t="s">
        <v>201</v>
      </c>
      <c r="O11" t="s">
        <v>156</v>
      </c>
      <c r="P11" t="s">
        <v>157</v>
      </c>
      <c r="Q11" t="s">
        <v>161</v>
      </c>
      <c r="R11" t="s">
        <v>161</v>
      </c>
      <c r="S11" t="s">
        <v>161</v>
      </c>
      <c r="T11" t="s">
        <v>161</v>
      </c>
      <c r="U11" s="135" t="s">
        <v>161</v>
      </c>
      <c r="V11">
        <v>0.48</v>
      </c>
      <c r="W11" t="s">
        <v>161</v>
      </c>
      <c r="X11" t="s">
        <v>158</v>
      </c>
      <c r="Y11" s="136">
        <v>12.75</v>
      </c>
      <c r="Z11" s="136">
        <v>-78.73</v>
      </c>
      <c r="AA11" s="136">
        <v>12.75</v>
      </c>
      <c r="AB11" s="136">
        <v>-78.73</v>
      </c>
      <c r="AC11" s="136">
        <v>-2827</v>
      </c>
      <c r="AD11" s="136">
        <v>-2827</v>
      </c>
      <c r="AE11" t="s">
        <v>159</v>
      </c>
      <c r="AF11" t="s">
        <v>160</v>
      </c>
      <c r="AG11" s="148">
        <v>11.7</v>
      </c>
      <c r="AH11" s="3" t="s">
        <v>161</v>
      </c>
      <c r="AI11" t="s">
        <v>161</v>
      </c>
      <c r="AJ11" t="s">
        <v>161</v>
      </c>
      <c r="AK11" t="s">
        <v>161</v>
      </c>
      <c r="AL11" t="s">
        <v>161</v>
      </c>
      <c r="AM11" s="137" t="s">
        <v>202</v>
      </c>
      <c r="AN11" t="s">
        <v>161</v>
      </c>
      <c r="AO11" t="s">
        <v>161</v>
      </c>
      <c r="AP11" t="s">
        <v>161</v>
      </c>
      <c r="AQ11" t="s">
        <v>161</v>
      </c>
      <c r="AR11" t="s">
        <v>161</v>
      </c>
      <c r="AS11" t="s">
        <v>161</v>
      </c>
      <c r="AT11" t="s">
        <v>161</v>
      </c>
      <c r="AU11" t="s">
        <v>162</v>
      </c>
      <c r="AV11" t="s">
        <v>163</v>
      </c>
      <c r="AW11" t="s">
        <v>164</v>
      </c>
      <c r="AX11" s="138" t="s">
        <v>165</v>
      </c>
      <c r="AY11" t="s">
        <v>203</v>
      </c>
      <c r="AZ11" t="s">
        <v>166</v>
      </c>
      <c r="BA11" t="s">
        <v>167</v>
      </c>
      <c r="BB11" t="s">
        <v>208</v>
      </c>
      <c r="BC11">
        <v>2</v>
      </c>
      <c r="BD11" s="139">
        <v>8.0000000000001847E-2</v>
      </c>
      <c r="BE11" s="139">
        <v>20.72</v>
      </c>
      <c r="BF11" t="s">
        <v>169</v>
      </c>
      <c r="BG11">
        <v>0.25</v>
      </c>
      <c r="BH11">
        <v>1</v>
      </c>
      <c r="BI11" t="s">
        <v>161</v>
      </c>
      <c r="BJ11" s="3" t="s">
        <v>161</v>
      </c>
      <c r="BK11">
        <v>0.8</v>
      </c>
      <c r="BL11" t="s">
        <v>161</v>
      </c>
      <c r="BM11" t="s">
        <v>161</v>
      </c>
      <c r="BN11" t="s">
        <v>233</v>
      </c>
      <c r="BO11" s="149" t="s">
        <v>234</v>
      </c>
      <c r="BP11" s="150" t="s">
        <v>161</v>
      </c>
      <c r="BQ11" s="150" t="s">
        <v>161</v>
      </c>
      <c r="BR11" s="150" t="s">
        <v>161</v>
      </c>
      <c r="BS11" s="150" t="s">
        <v>161</v>
      </c>
      <c r="BT11" s="150" t="s">
        <v>161</v>
      </c>
      <c r="BU11" s="150" t="s">
        <v>235</v>
      </c>
      <c r="BV11" s="150" t="s">
        <v>171</v>
      </c>
      <c r="BW11" s="150" t="s">
        <v>171</v>
      </c>
      <c r="BX11" s="152">
        <v>26.9</v>
      </c>
      <c r="BY11" t="s">
        <v>161</v>
      </c>
      <c r="BZ11" t="s">
        <v>161</v>
      </c>
      <c r="CA11" t="s">
        <v>161</v>
      </c>
      <c r="CB11" t="s">
        <v>239</v>
      </c>
      <c r="CC11" t="s">
        <v>161</v>
      </c>
      <c r="CD11" t="s">
        <v>161</v>
      </c>
      <c r="CE11" t="s">
        <v>161</v>
      </c>
      <c r="CF11" t="s">
        <v>161</v>
      </c>
      <c r="CG11" t="s">
        <v>161</v>
      </c>
      <c r="CH11" t="s">
        <v>161</v>
      </c>
      <c r="CI11" t="s">
        <v>161</v>
      </c>
      <c r="CJ11" t="s">
        <v>161</v>
      </c>
      <c r="CK11" t="s">
        <v>161</v>
      </c>
      <c r="CL11" t="s">
        <v>161</v>
      </c>
      <c r="CM11" t="s">
        <v>161</v>
      </c>
      <c r="CN11" t="s">
        <v>161</v>
      </c>
      <c r="CO11" t="s">
        <v>161</v>
      </c>
      <c r="CP11" t="s">
        <v>161</v>
      </c>
      <c r="CQ11" t="s">
        <v>161</v>
      </c>
      <c r="CR11" t="s">
        <v>161</v>
      </c>
      <c r="CS11" t="s">
        <v>161</v>
      </c>
      <c r="CT11" t="s">
        <v>161</v>
      </c>
      <c r="CU11" s="141">
        <v>36.5</v>
      </c>
      <c r="CV11" t="s">
        <v>161</v>
      </c>
      <c r="CW11" t="s">
        <v>161</v>
      </c>
      <c r="CX11" s="153" t="s">
        <v>161</v>
      </c>
      <c r="CY11" t="s">
        <v>172</v>
      </c>
      <c r="CZ11" t="s">
        <v>173</v>
      </c>
      <c r="DA11" t="s">
        <v>173</v>
      </c>
      <c r="DB11" t="s">
        <v>173</v>
      </c>
      <c r="DC11" t="s">
        <v>172</v>
      </c>
      <c r="DD11" t="s">
        <v>173</v>
      </c>
      <c r="DE11" t="s">
        <v>173</v>
      </c>
      <c r="DF11" t="s">
        <v>173</v>
      </c>
      <c r="DG11" t="s">
        <v>172</v>
      </c>
      <c r="DH11" t="s">
        <v>173</v>
      </c>
      <c r="DI11" t="s">
        <v>173</v>
      </c>
      <c r="DJ11" t="s">
        <v>173</v>
      </c>
      <c r="DK11" s="137">
        <v>416</v>
      </c>
      <c r="DL11" t="s">
        <v>161</v>
      </c>
      <c r="DM11" s="137" t="s">
        <v>161</v>
      </c>
      <c r="DN11" t="s">
        <v>236</v>
      </c>
      <c r="DO11">
        <v>39.5</v>
      </c>
      <c r="DP11" t="s">
        <v>174</v>
      </c>
      <c r="DQ11" t="s">
        <v>161</v>
      </c>
      <c r="DR11" t="s">
        <v>233</v>
      </c>
      <c r="DS11" t="s">
        <v>161</v>
      </c>
      <c r="DT11" t="s">
        <v>161</v>
      </c>
      <c r="DU11">
        <v>8.0272000000000006</v>
      </c>
      <c r="DV11" t="s">
        <v>175</v>
      </c>
      <c r="DW11" t="s">
        <v>175</v>
      </c>
      <c r="DX11" t="s">
        <v>182</v>
      </c>
      <c r="DY11" t="s">
        <v>175</v>
      </c>
      <c r="DZ11" t="s">
        <v>175</v>
      </c>
      <c r="EA11" t="s">
        <v>237</v>
      </c>
      <c r="EB11" t="s">
        <v>161</v>
      </c>
      <c r="EC11" t="s">
        <v>238</v>
      </c>
      <c r="ED11" t="s">
        <v>238</v>
      </c>
      <c r="EE11" t="s">
        <v>161</v>
      </c>
      <c r="EF11" t="s">
        <v>161</v>
      </c>
      <c r="EG11" t="s">
        <v>161</v>
      </c>
      <c r="EH11" t="s">
        <v>240</v>
      </c>
      <c r="EI11" t="s">
        <v>241</v>
      </c>
      <c r="EJ11" t="s">
        <v>161</v>
      </c>
      <c r="EK11">
        <v>305</v>
      </c>
      <c r="EL11" t="s">
        <v>161</v>
      </c>
      <c r="EM11" t="s">
        <v>161</v>
      </c>
      <c r="EN11" t="s">
        <v>161</v>
      </c>
      <c r="EO11" t="s">
        <v>161</v>
      </c>
      <c r="EP11" t="s">
        <v>161</v>
      </c>
      <c r="EQ11" t="s">
        <v>161</v>
      </c>
      <c r="ER11" t="s">
        <v>161</v>
      </c>
      <c r="ES11">
        <v>8.1869999999999994</v>
      </c>
      <c r="ET11" s="140" t="s">
        <v>176</v>
      </c>
      <c r="EU11" s="140" t="s">
        <v>161</v>
      </c>
      <c r="EV11" s="140" t="s">
        <v>161</v>
      </c>
      <c r="EW11">
        <v>268</v>
      </c>
      <c r="EX11" s="140" t="s">
        <v>161</v>
      </c>
      <c r="EY11" t="s">
        <v>161</v>
      </c>
      <c r="EZ11" s="133">
        <f t="shared" si="3"/>
        <v>268</v>
      </c>
      <c r="FA11">
        <v>20</v>
      </c>
      <c r="FB11">
        <v>20</v>
      </c>
      <c r="FC11" t="s">
        <v>170</v>
      </c>
      <c r="FD11" t="s">
        <v>177</v>
      </c>
      <c r="FE11" t="s">
        <v>178</v>
      </c>
      <c r="FF11" t="s">
        <v>178</v>
      </c>
      <c r="FG11" t="s">
        <v>178</v>
      </c>
      <c r="FH11" t="s">
        <v>178</v>
      </c>
      <c r="FI11" t="s">
        <v>178</v>
      </c>
      <c r="FJ11" t="s">
        <v>178</v>
      </c>
      <c r="FK11" t="s">
        <v>178</v>
      </c>
      <c r="FL11" t="s">
        <v>178</v>
      </c>
      <c r="FM11" t="s">
        <v>178</v>
      </c>
      <c r="FN11" t="s">
        <v>178</v>
      </c>
      <c r="FO11" t="s">
        <v>178</v>
      </c>
      <c r="FP11" t="s">
        <v>178</v>
      </c>
    </row>
    <row r="12" spans="1:191" ht="19" x14ac:dyDescent="0.2">
      <c r="A12" s="128" t="s">
        <v>152</v>
      </c>
      <c r="B12" t="s">
        <v>197</v>
      </c>
      <c r="C12">
        <v>2008</v>
      </c>
      <c r="D12" t="str">
        <f t="shared" si="4"/>
        <v>10.1016/j.epsl.2008.04.015</v>
      </c>
      <c r="E12" s="155">
        <f t="shared" si="5"/>
        <v>14</v>
      </c>
      <c r="F12" s="132" t="str">
        <f t="shared" si="6"/>
        <v>NA</v>
      </c>
      <c r="G12" s="132" t="str">
        <f t="shared" si="7"/>
        <v>NA</v>
      </c>
      <c r="H12" s="133">
        <f t="shared" si="8"/>
        <v>258</v>
      </c>
      <c r="I12" s="133">
        <f t="shared" si="9"/>
        <v>20</v>
      </c>
      <c r="J12" s="133">
        <f t="shared" si="10"/>
        <v>20</v>
      </c>
      <c r="K12" t="s">
        <v>198</v>
      </c>
      <c r="L12" s="134" t="s">
        <v>199</v>
      </c>
      <c r="M12" s="146" t="s">
        <v>200</v>
      </c>
      <c r="N12" s="147" t="s">
        <v>201</v>
      </c>
      <c r="O12" t="s">
        <v>156</v>
      </c>
      <c r="P12" t="s">
        <v>157</v>
      </c>
      <c r="Q12" t="s">
        <v>161</v>
      </c>
      <c r="R12" t="s">
        <v>161</v>
      </c>
      <c r="S12" t="s">
        <v>161</v>
      </c>
      <c r="T12" t="s">
        <v>161</v>
      </c>
      <c r="U12" s="135" t="s">
        <v>161</v>
      </c>
      <c r="V12">
        <v>0.56999999999999995</v>
      </c>
      <c r="W12" t="s">
        <v>161</v>
      </c>
      <c r="X12" t="s">
        <v>158</v>
      </c>
      <c r="Y12" s="136">
        <v>12.75</v>
      </c>
      <c r="Z12" s="136">
        <v>-78.73</v>
      </c>
      <c r="AA12" s="136">
        <v>12.75</v>
      </c>
      <c r="AB12" s="136">
        <v>-78.73</v>
      </c>
      <c r="AC12" s="136">
        <v>-2827</v>
      </c>
      <c r="AD12" s="136">
        <v>-2827</v>
      </c>
      <c r="AE12" t="s">
        <v>159</v>
      </c>
      <c r="AF12" t="s">
        <v>160</v>
      </c>
      <c r="AG12" s="148">
        <v>14</v>
      </c>
      <c r="AH12" s="3" t="s">
        <v>161</v>
      </c>
      <c r="AI12" t="s">
        <v>161</v>
      </c>
      <c r="AJ12" t="s">
        <v>161</v>
      </c>
      <c r="AK12" t="s">
        <v>161</v>
      </c>
      <c r="AL12" t="s">
        <v>161</v>
      </c>
      <c r="AM12" s="137" t="s">
        <v>202</v>
      </c>
      <c r="AN12" t="s">
        <v>161</v>
      </c>
      <c r="AO12" t="s">
        <v>161</v>
      </c>
      <c r="AP12" t="s">
        <v>161</v>
      </c>
      <c r="AQ12" t="s">
        <v>161</v>
      </c>
      <c r="AR12" t="s">
        <v>161</v>
      </c>
      <c r="AS12" t="s">
        <v>161</v>
      </c>
      <c r="AT12" t="s">
        <v>161</v>
      </c>
      <c r="AU12" t="s">
        <v>162</v>
      </c>
      <c r="AV12" t="s">
        <v>163</v>
      </c>
      <c r="AW12" t="s">
        <v>164</v>
      </c>
      <c r="AX12" s="138" t="s">
        <v>165</v>
      </c>
      <c r="AY12" t="s">
        <v>203</v>
      </c>
      <c r="AZ12" t="s">
        <v>166</v>
      </c>
      <c r="BA12" t="s">
        <v>167</v>
      </c>
      <c r="BB12" t="s">
        <v>209</v>
      </c>
      <c r="BC12">
        <v>2</v>
      </c>
      <c r="BD12" s="139">
        <v>0.19000000000000128</v>
      </c>
      <c r="BE12" s="139">
        <v>20.975000000000001</v>
      </c>
      <c r="BF12" t="s">
        <v>169</v>
      </c>
      <c r="BG12">
        <v>0.25</v>
      </c>
      <c r="BH12">
        <v>1</v>
      </c>
      <c r="BI12" t="s">
        <v>161</v>
      </c>
      <c r="BJ12" s="3" t="s">
        <v>161</v>
      </c>
      <c r="BK12">
        <v>0.8</v>
      </c>
      <c r="BL12" t="s">
        <v>161</v>
      </c>
      <c r="BM12" t="s">
        <v>161</v>
      </c>
      <c r="BN12" t="s">
        <v>233</v>
      </c>
      <c r="BO12" s="149" t="s">
        <v>234</v>
      </c>
      <c r="BP12" s="150" t="s">
        <v>161</v>
      </c>
      <c r="BQ12" s="150" t="s">
        <v>161</v>
      </c>
      <c r="BR12" s="150" t="s">
        <v>161</v>
      </c>
      <c r="BS12" s="150" t="s">
        <v>161</v>
      </c>
      <c r="BT12" s="150" t="s">
        <v>161</v>
      </c>
      <c r="BU12" s="150" t="s">
        <v>235</v>
      </c>
      <c r="BV12" s="150" t="s">
        <v>171</v>
      </c>
      <c r="BW12" s="150" t="s">
        <v>171</v>
      </c>
      <c r="BX12" s="152">
        <v>27.3</v>
      </c>
      <c r="BY12" t="s">
        <v>161</v>
      </c>
      <c r="BZ12" t="s">
        <v>161</v>
      </c>
      <c r="CA12" t="s">
        <v>161</v>
      </c>
      <c r="CB12" t="s">
        <v>239</v>
      </c>
      <c r="CC12" t="s">
        <v>161</v>
      </c>
      <c r="CD12" t="s">
        <v>161</v>
      </c>
      <c r="CE12" t="s">
        <v>161</v>
      </c>
      <c r="CF12" t="s">
        <v>161</v>
      </c>
      <c r="CG12" t="s">
        <v>161</v>
      </c>
      <c r="CH12" t="s">
        <v>161</v>
      </c>
      <c r="CI12" t="s">
        <v>161</v>
      </c>
      <c r="CJ12" t="s">
        <v>161</v>
      </c>
      <c r="CK12" t="s">
        <v>161</v>
      </c>
      <c r="CL12" t="s">
        <v>161</v>
      </c>
      <c r="CM12" t="s">
        <v>161</v>
      </c>
      <c r="CN12" t="s">
        <v>161</v>
      </c>
      <c r="CO12" t="s">
        <v>161</v>
      </c>
      <c r="CP12" t="s">
        <v>161</v>
      </c>
      <c r="CQ12" t="s">
        <v>161</v>
      </c>
      <c r="CR12" t="s">
        <v>161</v>
      </c>
      <c r="CS12" t="s">
        <v>161</v>
      </c>
      <c r="CT12" t="s">
        <v>161</v>
      </c>
      <c r="CU12" s="141">
        <v>36.799999999999997</v>
      </c>
      <c r="CV12" t="s">
        <v>161</v>
      </c>
      <c r="CW12" t="s">
        <v>161</v>
      </c>
      <c r="CX12" s="153" t="s">
        <v>161</v>
      </c>
      <c r="CY12" t="s">
        <v>172</v>
      </c>
      <c r="CZ12" t="s">
        <v>173</v>
      </c>
      <c r="DA12" t="s">
        <v>173</v>
      </c>
      <c r="DB12" t="s">
        <v>173</v>
      </c>
      <c r="DC12" t="s">
        <v>172</v>
      </c>
      <c r="DD12" t="s">
        <v>173</v>
      </c>
      <c r="DE12" t="s">
        <v>173</v>
      </c>
      <c r="DF12" t="s">
        <v>173</v>
      </c>
      <c r="DG12" t="s">
        <v>172</v>
      </c>
      <c r="DH12" t="s">
        <v>173</v>
      </c>
      <c r="DI12" t="s">
        <v>173</v>
      </c>
      <c r="DJ12" t="s">
        <v>173</v>
      </c>
      <c r="DK12" s="137">
        <v>416</v>
      </c>
      <c r="DL12" t="s">
        <v>161</v>
      </c>
      <c r="DM12" s="137" t="s">
        <v>161</v>
      </c>
      <c r="DN12" t="s">
        <v>236</v>
      </c>
      <c r="DO12">
        <v>39.5</v>
      </c>
      <c r="DP12" t="s">
        <v>174</v>
      </c>
      <c r="DQ12" t="s">
        <v>161</v>
      </c>
      <c r="DR12" t="s">
        <v>233</v>
      </c>
      <c r="DS12" t="s">
        <v>161</v>
      </c>
      <c r="DT12" t="s">
        <v>161</v>
      </c>
      <c r="DU12">
        <v>9.0272000000000006</v>
      </c>
      <c r="DV12" t="s">
        <v>175</v>
      </c>
      <c r="DW12" t="s">
        <v>175</v>
      </c>
      <c r="DX12" t="s">
        <v>182</v>
      </c>
      <c r="DY12" t="s">
        <v>175</v>
      </c>
      <c r="DZ12" t="s">
        <v>175</v>
      </c>
      <c r="EA12" t="s">
        <v>237</v>
      </c>
      <c r="EB12" t="s">
        <v>161</v>
      </c>
      <c r="EC12" t="s">
        <v>238</v>
      </c>
      <c r="ED12" t="s">
        <v>238</v>
      </c>
      <c r="EE12" t="s">
        <v>161</v>
      </c>
      <c r="EF12" t="s">
        <v>161</v>
      </c>
      <c r="EG12" t="s">
        <v>161</v>
      </c>
      <c r="EH12" t="s">
        <v>240</v>
      </c>
      <c r="EI12" t="s">
        <v>241</v>
      </c>
      <c r="EJ12" t="s">
        <v>161</v>
      </c>
      <c r="EK12">
        <v>319</v>
      </c>
      <c r="EL12" t="s">
        <v>161</v>
      </c>
      <c r="EM12" t="s">
        <v>161</v>
      </c>
      <c r="EN12" t="s">
        <v>161</v>
      </c>
      <c r="EO12" t="s">
        <v>161</v>
      </c>
      <c r="EP12" t="s">
        <v>161</v>
      </c>
      <c r="EQ12" t="s">
        <v>161</v>
      </c>
      <c r="ER12" t="s">
        <v>161</v>
      </c>
      <c r="ES12">
        <v>8.1999999999999993</v>
      </c>
      <c r="ET12" s="140" t="s">
        <v>176</v>
      </c>
      <c r="EU12" s="140" t="s">
        <v>161</v>
      </c>
      <c r="EV12" s="140" t="s">
        <v>161</v>
      </c>
      <c r="EW12">
        <v>258</v>
      </c>
      <c r="EX12" s="140" t="s">
        <v>161</v>
      </c>
      <c r="EY12" t="s">
        <v>161</v>
      </c>
      <c r="EZ12" s="133">
        <f t="shared" si="3"/>
        <v>258</v>
      </c>
      <c r="FA12">
        <v>20</v>
      </c>
      <c r="FB12">
        <v>20</v>
      </c>
      <c r="FC12" t="s">
        <v>170</v>
      </c>
      <c r="FD12" t="s">
        <v>177</v>
      </c>
      <c r="FE12" t="s">
        <v>178</v>
      </c>
      <c r="FF12" t="s">
        <v>178</v>
      </c>
      <c r="FG12" t="s">
        <v>178</v>
      </c>
      <c r="FH12" t="s">
        <v>178</v>
      </c>
      <c r="FI12" t="s">
        <v>178</v>
      </c>
      <c r="FJ12" t="s">
        <v>178</v>
      </c>
      <c r="FK12" t="s">
        <v>178</v>
      </c>
      <c r="FL12" t="s">
        <v>178</v>
      </c>
      <c r="FM12" t="s">
        <v>178</v>
      </c>
      <c r="FN12" t="s">
        <v>178</v>
      </c>
      <c r="FO12" t="s">
        <v>178</v>
      </c>
      <c r="FP12" t="s">
        <v>178</v>
      </c>
    </row>
    <row r="13" spans="1:191" ht="19" x14ac:dyDescent="0.2">
      <c r="A13" s="128" t="s">
        <v>152</v>
      </c>
      <c r="B13" t="s">
        <v>197</v>
      </c>
      <c r="C13">
        <v>2008</v>
      </c>
      <c r="D13" t="str">
        <f t="shared" si="4"/>
        <v>10.1016/j.epsl.2008.04.015</v>
      </c>
      <c r="E13" s="155">
        <f t="shared" si="5"/>
        <v>15.1</v>
      </c>
      <c r="F13" s="132" t="str">
        <f t="shared" si="6"/>
        <v>NA</v>
      </c>
      <c r="G13" s="132" t="str">
        <f t="shared" si="7"/>
        <v>NA</v>
      </c>
      <c r="H13" s="133">
        <f t="shared" si="8"/>
        <v>258</v>
      </c>
      <c r="I13" s="133">
        <f t="shared" si="9"/>
        <v>20</v>
      </c>
      <c r="J13" s="133">
        <f t="shared" si="10"/>
        <v>20</v>
      </c>
      <c r="K13" t="s">
        <v>198</v>
      </c>
      <c r="L13" s="134" t="s">
        <v>199</v>
      </c>
      <c r="M13" s="146" t="s">
        <v>200</v>
      </c>
      <c r="N13" s="147" t="s">
        <v>201</v>
      </c>
      <c r="O13" t="s">
        <v>156</v>
      </c>
      <c r="P13" t="s">
        <v>157</v>
      </c>
      <c r="Q13" t="s">
        <v>161</v>
      </c>
      <c r="R13" t="s">
        <v>161</v>
      </c>
      <c r="S13" t="s">
        <v>161</v>
      </c>
      <c r="T13" t="s">
        <v>161</v>
      </c>
      <c r="U13" s="135" t="s">
        <v>161</v>
      </c>
      <c r="V13">
        <v>0.61</v>
      </c>
      <c r="W13" t="s">
        <v>161</v>
      </c>
      <c r="X13" t="s">
        <v>158</v>
      </c>
      <c r="Y13" s="136">
        <v>12.75</v>
      </c>
      <c r="Z13" s="136">
        <v>-78.73</v>
      </c>
      <c r="AA13" s="136">
        <v>12.75</v>
      </c>
      <c r="AB13" s="136">
        <v>-78.73</v>
      </c>
      <c r="AC13" s="136">
        <v>-2827</v>
      </c>
      <c r="AD13" s="136">
        <v>-2827</v>
      </c>
      <c r="AE13" t="s">
        <v>159</v>
      </c>
      <c r="AF13" t="s">
        <v>160</v>
      </c>
      <c r="AG13" s="148">
        <v>15.1</v>
      </c>
      <c r="AH13" s="3" t="s">
        <v>161</v>
      </c>
      <c r="AI13" t="s">
        <v>161</v>
      </c>
      <c r="AJ13" t="s">
        <v>161</v>
      </c>
      <c r="AK13" t="s">
        <v>161</v>
      </c>
      <c r="AL13" t="s">
        <v>161</v>
      </c>
      <c r="AM13" s="137" t="s">
        <v>202</v>
      </c>
      <c r="AN13" t="s">
        <v>161</v>
      </c>
      <c r="AO13" t="s">
        <v>161</v>
      </c>
      <c r="AP13" t="s">
        <v>161</v>
      </c>
      <c r="AQ13" t="s">
        <v>161</v>
      </c>
      <c r="AR13" t="s">
        <v>161</v>
      </c>
      <c r="AS13" t="s">
        <v>161</v>
      </c>
      <c r="AT13" t="s">
        <v>161</v>
      </c>
      <c r="AU13" t="s">
        <v>162</v>
      </c>
      <c r="AV13" t="s">
        <v>163</v>
      </c>
      <c r="AW13" t="s">
        <v>164</v>
      </c>
      <c r="AX13" s="138" t="s">
        <v>165</v>
      </c>
      <c r="AY13" t="s">
        <v>203</v>
      </c>
      <c r="AZ13" t="s">
        <v>166</v>
      </c>
      <c r="BA13" t="s">
        <v>167</v>
      </c>
      <c r="BB13" t="s">
        <v>210</v>
      </c>
      <c r="BC13">
        <v>2</v>
      </c>
      <c r="BD13" s="139">
        <v>0.12999999999999901</v>
      </c>
      <c r="BE13" s="139">
        <v>21.015000000000001</v>
      </c>
      <c r="BF13" t="s">
        <v>169</v>
      </c>
      <c r="BG13">
        <v>0.25</v>
      </c>
      <c r="BH13">
        <v>1</v>
      </c>
      <c r="BI13" t="s">
        <v>161</v>
      </c>
      <c r="BJ13" s="3" t="s">
        <v>161</v>
      </c>
      <c r="BK13">
        <v>0.8</v>
      </c>
      <c r="BL13" t="s">
        <v>161</v>
      </c>
      <c r="BM13" t="s">
        <v>161</v>
      </c>
      <c r="BN13" t="s">
        <v>233</v>
      </c>
      <c r="BO13" s="149" t="s">
        <v>234</v>
      </c>
      <c r="BP13" s="150" t="s">
        <v>161</v>
      </c>
      <c r="BQ13" s="150" t="s">
        <v>161</v>
      </c>
      <c r="BR13" s="150" t="s">
        <v>161</v>
      </c>
      <c r="BS13" s="150" t="s">
        <v>161</v>
      </c>
      <c r="BT13" s="150" t="s">
        <v>161</v>
      </c>
      <c r="BU13" s="150" t="s">
        <v>235</v>
      </c>
      <c r="BV13" s="150" t="s">
        <v>171</v>
      </c>
      <c r="BW13" s="150" t="s">
        <v>171</v>
      </c>
      <c r="BX13" s="152">
        <v>27.4</v>
      </c>
      <c r="BY13" t="s">
        <v>161</v>
      </c>
      <c r="BZ13" t="s">
        <v>161</v>
      </c>
      <c r="CA13" t="s">
        <v>161</v>
      </c>
      <c r="CB13" t="s">
        <v>239</v>
      </c>
      <c r="CC13" t="s">
        <v>161</v>
      </c>
      <c r="CD13" t="s">
        <v>161</v>
      </c>
      <c r="CE13" t="s">
        <v>161</v>
      </c>
      <c r="CF13" t="s">
        <v>161</v>
      </c>
      <c r="CG13" t="s">
        <v>161</v>
      </c>
      <c r="CH13" t="s">
        <v>161</v>
      </c>
      <c r="CI13" t="s">
        <v>161</v>
      </c>
      <c r="CJ13" t="s">
        <v>161</v>
      </c>
      <c r="CK13" t="s">
        <v>161</v>
      </c>
      <c r="CL13" t="s">
        <v>161</v>
      </c>
      <c r="CM13" t="s">
        <v>161</v>
      </c>
      <c r="CN13" t="s">
        <v>161</v>
      </c>
      <c r="CO13" t="s">
        <v>161</v>
      </c>
      <c r="CP13" t="s">
        <v>161</v>
      </c>
      <c r="CQ13" t="s">
        <v>161</v>
      </c>
      <c r="CR13" t="s">
        <v>161</v>
      </c>
      <c r="CS13" t="s">
        <v>161</v>
      </c>
      <c r="CT13" t="s">
        <v>161</v>
      </c>
      <c r="CU13" s="141">
        <v>37.1</v>
      </c>
      <c r="CV13" t="s">
        <v>161</v>
      </c>
      <c r="CW13" t="s">
        <v>161</v>
      </c>
      <c r="CX13" s="153" t="s">
        <v>161</v>
      </c>
      <c r="CY13" t="s">
        <v>172</v>
      </c>
      <c r="CZ13" t="s">
        <v>173</v>
      </c>
      <c r="DA13" t="s">
        <v>173</v>
      </c>
      <c r="DB13" t="s">
        <v>173</v>
      </c>
      <c r="DC13" t="s">
        <v>172</v>
      </c>
      <c r="DD13" t="s">
        <v>173</v>
      </c>
      <c r="DE13" t="s">
        <v>173</v>
      </c>
      <c r="DF13" t="s">
        <v>173</v>
      </c>
      <c r="DG13" t="s">
        <v>172</v>
      </c>
      <c r="DH13" t="s">
        <v>173</v>
      </c>
      <c r="DI13" t="s">
        <v>173</v>
      </c>
      <c r="DJ13" t="s">
        <v>173</v>
      </c>
      <c r="DK13" s="137">
        <v>416</v>
      </c>
      <c r="DL13" t="s">
        <v>161</v>
      </c>
      <c r="DM13" s="137" t="s">
        <v>161</v>
      </c>
      <c r="DN13" t="s">
        <v>236</v>
      </c>
      <c r="DO13">
        <v>39.5</v>
      </c>
      <c r="DP13" t="s">
        <v>174</v>
      </c>
      <c r="DQ13" t="s">
        <v>161</v>
      </c>
      <c r="DR13" t="s">
        <v>233</v>
      </c>
      <c r="DS13" t="s">
        <v>161</v>
      </c>
      <c r="DT13" t="s">
        <v>161</v>
      </c>
      <c r="DU13">
        <v>10.027200000000001</v>
      </c>
      <c r="DV13" t="s">
        <v>175</v>
      </c>
      <c r="DW13" t="s">
        <v>175</v>
      </c>
      <c r="DX13" t="s">
        <v>182</v>
      </c>
      <c r="DY13" t="s">
        <v>175</v>
      </c>
      <c r="DZ13" t="s">
        <v>175</v>
      </c>
      <c r="EA13" t="s">
        <v>237</v>
      </c>
      <c r="EB13" t="s">
        <v>161</v>
      </c>
      <c r="EC13" t="s">
        <v>238</v>
      </c>
      <c r="ED13" t="s">
        <v>238</v>
      </c>
      <c r="EE13" t="s">
        <v>161</v>
      </c>
      <c r="EF13" t="s">
        <v>161</v>
      </c>
      <c r="EG13" t="s">
        <v>161</v>
      </c>
      <c r="EH13" t="s">
        <v>240</v>
      </c>
      <c r="EI13" t="s">
        <v>241</v>
      </c>
      <c r="EJ13" t="s">
        <v>161</v>
      </c>
      <c r="EK13">
        <v>323</v>
      </c>
      <c r="EL13" t="s">
        <v>161</v>
      </c>
      <c r="EM13" t="s">
        <v>161</v>
      </c>
      <c r="EN13" t="s">
        <v>161</v>
      </c>
      <c r="EO13" t="s">
        <v>161</v>
      </c>
      <c r="EP13" t="s">
        <v>161</v>
      </c>
      <c r="EQ13" t="s">
        <v>161</v>
      </c>
      <c r="ER13" t="s">
        <v>161</v>
      </c>
      <c r="ES13">
        <v>8.2010000000000005</v>
      </c>
      <c r="ET13" s="140" t="s">
        <v>176</v>
      </c>
      <c r="EU13" s="140" t="s">
        <v>161</v>
      </c>
      <c r="EV13" s="140" t="s">
        <v>161</v>
      </c>
      <c r="EW13">
        <v>258</v>
      </c>
      <c r="EX13" s="140" t="s">
        <v>161</v>
      </c>
      <c r="EY13" t="s">
        <v>161</v>
      </c>
      <c r="EZ13" s="133">
        <f t="shared" si="3"/>
        <v>258</v>
      </c>
      <c r="FA13">
        <v>20</v>
      </c>
      <c r="FB13">
        <v>20</v>
      </c>
      <c r="FC13" t="s">
        <v>170</v>
      </c>
      <c r="FD13" t="s">
        <v>177</v>
      </c>
      <c r="FE13" t="s">
        <v>178</v>
      </c>
      <c r="FF13" t="s">
        <v>178</v>
      </c>
      <c r="FG13" t="s">
        <v>178</v>
      </c>
      <c r="FH13" t="s">
        <v>178</v>
      </c>
      <c r="FI13" t="s">
        <v>178</v>
      </c>
      <c r="FJ13" t="s">
        <v>178</v>
      </c>
      <c r="FK13" t="s">
        <v>178</v>
      </c>
      <c r="FL13" t="s">
        <v>178</v>
      </c>
      <c r="FM13" t="s">
        <v>178</v>
      </c>
      <c r="FN13" t="s">
        <v>178</v>
      </c>
      <c r="FO13" t="s">
        <v>178</v>
      </c>
      <c r="FP13" t="s">
        <v>178</v>
      </c>
    </row>
    <row r="14" spans="1:191" ht="19" x14ac:dyDescent="0.2">
      <c r="A14" s="128" t="s">
        <v>152</v>
      </c>
      <c r="B14" t="s">
        <v>197</v>
      </c>
      <c r="C14">
        <v>2008</v>
      </c>
      <c r="D14" t="str">
        <f t="shared" si="4"/>
        <v>10.1016/j.epsl.2008.04.015</v>
      </c>
      <c r="E14" s="155">
        <f t="shared" si="5"/>
        <v>15.1</v>
      </c>
      <c r="F14" s="132" t="str">
        <f t="shared" si="6"/>
        <v>NA</v>
      </c>
      <c r="G14" s="132" t="str">
        <f t="shared" si="7"/>
        <v>NA</v>
      </c>
      <c r="H14" s="133">
        <f t="shared" si="8"/>
        <v>251</v>
      </c>
      <c r="I14" s="133">
        <f t="shared" si="9"/>
        <v>20</v>
      </c>
      <c r="J14" s="133">
        <f t="shared" si="10"/>
        <v>20</v>
      </c>
      <c r="K14" t="s">
        <v>198</v>
      </c>
      <c r="L14" s="134" t="s">
        <v>199</v>
      </c>
      <c r="M14" s="146" t="s">
        <v>200</v>
      </c>
      <c r="N14" s="147" t="s">
        <v>201</v>
      </c>
      <c r="O14" t="s">
        <v>156</v>
      </c>
      <c r="P14" t="s">
        <v>157</v>
      </c>
      <c r="Q14" t="s">
        <v>161</v>
      </c>
      <c r="R14" t="s">
        <v>161</v>
      </c>
      <c r="S14" t="s">
        <v>161</v>
      </c>
      <c r="T14" t="s">
        <v>161</v>
      </c>
      <c r="U14" s="135" t="s">
        <v>161</v>
      </c>
      <c r="V14">
        <v>0.61</v>
      </c>
      <c r="W14" t="s">
        <v>161</v>
      </c>
      <c r="X14" t="s">
        <v>158</v>
      </c>
      <c r="Y14" s="136">
        <v>12.75</v>
      </c>
      <c r="Z14" s="136">
        <v>-78.73</v>
      </c>
      <c r="AA14" s="136">
        <v>12.75</v>
      </c>
      <c r="AB14" s="136">
        <v>-78.73</v>
      </c>
      <c r="AC14" s="136">
        <v>-2827</v>
      </c>
      <c r="AD14" s="136">
        <v>-2827</v>
      </c>
      <c r="AE14" t="s">
        <v>159</v>
      </c>
      <c r="AF14" t="s">
        <v>160</v>
      </c>
      <c r="AG14" s="148">
        <v>15.1</v>
      </c>
      <c r="AH14" s="3" t="s">
        <v>161</v>
      </c>
      <c r="AI14" t="s">
        <v>161</v>
      </c>
      <c r="AJ14" t="s">
        <v>161</v>
      </c>
      <c r="AK14" t="s">
        <v>161</v>
      </c>
      <c r="AL14" t="s">
        <v>161</v>
      </c>
      <c r="AM14" s="137" t="s">
        <v>202</v>
      </c>
      <c r="AN14" t="s">
        <v>161</v>
      </c>
      <c r="AO14" t="s">
        <v>161</v>
      </c>
      <c r="AP14" t="s">
        <v>161</v>
      </c>
      <c r="AQ14" t="s">
        <v>161</v>
      </c>
      <c r="AR14" t="s">
        <v>161</v>
      </c>
      <c r="AS14" t="s">
        <v>161</v>
      </c>
      <c r="AT14" t="s">
        <v>161</v>
      </c>
      <c r="AU14" t="s">
        <v>162</v>
      </c>
      <c r="AV14" t="s">
        <v>163</v>
      </c>
      <c r="AW14" t="s">
        <v>164</v>
      </c>
      <c r="AX14" s="138" t="s">
        <v>165</v>
      </c>
      <c r="AY14" t="s">
        <v>203</v>
      </c>
      <c r="AZ14" t="s">
        <v>166</v>
      </c>
      <c r="BA14" t="s">
        <v>167</v>
      </c>
      <c r="BB14" t="s">
        <v>211</v>
      </c>
      <c r="BC14">
        <v>2</v>
      </c>
      <c r="BD14" s="139">
        <v>0.12000000000000098</v>
      </c>
      <c r="BE14" s="139">
        <v>21.15</v>
      </c>
      <c r="BF14" t="s">
        <v>169</v>
      </c>
      <c r="BG14">
        <v>0.25</v>
      </c>
      <c r="BH14">
        <v>1</v>
      </c>
      <c r="BI14" t="s">
        <v>161</v>
      </c>
      <c r="BJ14" s="3" t="s">
        <v>161</v>
      </c>
      <c r="BK14">
        <v>0.8</v>
      </c>
      <c r="BL14" t="s">
        <v>161</v>
      </c>
      <c r="BM14" t="s">
        <v>161</v>
      </c>
      <c r="BN14" t="s">
        <v>233</v>
      </c>
      <c r="BO14" s="149" t="s">
        <v>234</v>
      </c>
      <c r="BP14" s="150" t="s">
        <v>161</v>
      </c>
      <c r="BQ14" s="150" t="s">
        <v>161</v>
      </c>
      <c r="BR14" s="150" t="s">
        <v>161</v>
      </c>
      <c r="BS14" s="150" t="s">
        <v>161</v>
      </c>
      <c r="BT14" s="150" t="s">
        <v>161</v>
      </c>
      <c r="BU14" s="150" t="s">
        <v>235</v>
      </c>
      <c r="BV14" s="150" t="s">
        <v>171</v>
      </c>
      <c r="BW14" s="150" t="s">
        <v>171</v>
      </c>
      <c r="BX14" s="152">
        <v>27.4</v>
      </c>
      <c r="BY14" t="s">
        <v>161</v>
      </c>
      <c r="BZ14" t="s">
        <v>161</v>
      </c>
      <c r="CA14" t="s">
        <v>161</v>
      </c>
      <c r="CB14" t="s">
        <v>239</v>
      </c>
      <c r="CC14" t="s">
        <v>161</v>
      </c>
      <c r="CD14" t="s">
        <v>161</v>
      </c>
      <c r="CE14" t="s">
        <v>161</v>
      </c>
      <c r="CF14" t="s">
        <v>161</v>
      </c>
      <c r="CG14" t="s">
        <v>161</v>
      </c>
      <c r="CH14" t="s">
        <v>161</v>
      </c>
      <c r="CI14" t="s">
        <v>161</v>
      </c>
      <c r="CJ14" t="s">
        <v>161</v>
      </c>
      <c r="CK14" t="s">
        <v>161</v>
      </c>
      <c r="CL14" t="s">
        <v>161</v>
      </c>
      <c r="CM14" t="s">
        <v>161</v>
      </c>
      <c r="CN14" t="s">
        <v>161</v>
      </c>
      <c r="CO14" t="s">
        <v>161</v>
      </c>
      <c r="CP14" t="s">
        <v>161</v>
      </c>
      <c r="CQ14" t="s">
        <v>161</v>
      </c>
      <c r="CR14" t="s">
        <v>161</v>
      </c>
      <c r="CS14" t="s">
        <v>161</v>
      </c>
      <c r="CT14" t="s">
        <v>161</v>
      </c>
      <c r="CU14" s="141">
        <v>37.1</v>
      </c>
      <c r="CV14" t="s">
        <v>161</v>
      </c>
      <c r="CW14" t="s">
        <v>161</v>
      </c>
      <c r="CX14" s="153" t="s">
        <v>161</v>
      </c>
      <c r="CY14" t="s">
        <v>172</v>
      </c>
      <c r="CZ14" t="s">
        <v>173</v>
      </c>
      <c r="DA14" t="s">
        <v>173</v>
      </c>
      <c r="DB14" t="s">
        <v>173</v>
      </c>
      <c r="DC14" t="s">
        <v>172</v>
      </c>
      <c r="DD14" t="s">
        <v>173</v>
      </c>
      <c r="DE14" t="s">
        <v>173</v>
      </c>
      <c r="DF14" t="s">
        <v>173</v>
      </c>
      <c r="DG14" t="s">
        <v>172</v>
      </c>
      <c r="DH14" t="s">
        <v>173</v>
      </c>
      <c r="DI14" t="s">
        <v>173</v>
      </c>
      <c r="DJ14" t="s">
        <v>173</v>
      </c>
      <c r="DK14" s="137">
        <v>416</v>
      </c>
      <c r="DL14" t="s">
        <v>161</v>
      </c>
      <c r="DM14" s="137" t="s">
        <v>161</v>
      </c>
      <c r="DN14" t="s">
        <v>236</v>
      </c>
      <c r="DO14">
        <v>39.5</v>
      </c>
      <c r="DP14" t="s">
        <v>174</v>
      </c>
      <c r="DQ14" t="s">
        <v>161</v>
      </c>
      <c r="DR14" t="s">
        <v>233</v>
      </c>
      <c r="DS14" t="s">
        <v>161</v>
      </c>
      <c r="DT14" t="s">
        <v>161</v>
      </c>
      <c r="DU14">
        <v>11.027200000000001</v>
      </c>
      <c r="DV14" t="s">
        <v>175</v>
      </c>
      <c r="DW14" t="s">
        <v>175</v>
      </c>
      <c r="DX14" t="s">
        <v>182</v>
      </c>
      <c r="DY14" t="s">
        <v>175</v>
      </c>
      <c r="DZ14" t="s">
        <v>175</v>
      </c>
      <c r="EA14" t="s">
        <v>237</v>
      </c>
      <c r="EB14" t="s">
        <v>161</v>
      </c>
      <c r="EC14" t="s">
        <v>238</v>
      </c>
      <c r="ED14" t="s">
        <v>238</v>
      </c>
      <c r="EE14" t="s">
        <v>161</v>
      </c>
      <c r="EF14" t="s">
        <v>161</v>
      </c>
      <c r="EG14" t="s">
        <v>161</v>
      </c>
      <c r="EH14" t="s">
        <v>240</v>
      </c>
      <c r="EI14" t="s">
        <v>241</v>
      </c>
      <c r="EJ14" t="s">
        <v>161</v>
      </c>
      <c r="EK14">
        <v>328</v>
      </c>
      <c r="EL14" t="s">
        <v>161</v>
      </c>
      <c r="EM14" t="s">
        <v>161</v>
      </c>
      <c r="EN14" t="s">
        <v>161</v>
      </c>
      <c r="EO14" t="s">
        <v>161</v>
      </c>
      <c r="EP14" t="s">
        <v>161</v>
      </c>
      <c r="EQ14" t="s">
        <v>161</v>
      </c>
      <c r="ER14" t="s">
        <v>161</v>
      </c>
      <c r="ES14">
        <v>8.2110000000000003</v>
      </c>
      <c r="ET14" s="140" t="s">
        <v>176</v>
      </c>
      <c r="EU14" s="140" t="s">
        <v>161</v>
      </c>
      <c r="EV14" s="140" t="s">
        <v>161</v>
      </c>
      <c r="EW14">
        <v>251</v>
      </c>
      <c r="EX14" s="140" t="s">
        <v>161</v>
      </c>
      <c r="EY14" t="s">
        <v>161</v>
      </c>
      <c r="EZ14" s="133">
        <f t="shared" si="3"/>
        <v>251</v>
      </c>
      <c r="FA14">
        <v>20</v>
      </c>
      <c r="FB14">
        <v>20</v>
      </c>
      <c r="FC14" t="s">
        <v>170</v>
      </c>
      <c r="FD14" t="s">
        <v>177</v>
      </c>
      <c r="FE14" t="s">
        <v>178</v>
      </c>
      <c r="FF14" t="s">
        <v>178</v>
      </c>
      <c r="FG14" t="s">
        <v>178</v>
      </c>
      <c r="FH14" t="s">
        <v>178</v>
      </c>
      <c r="FI14" t="s">
        <v>178</v>
      </c>
      <c r="FJ14" t="s">
        <v>178</v>
      </c>
      <c r="FK14" t="s">
        <v>178</v>
      </c>
      <c r="FL14" t="s">
        <v>178</v>
      </c>
      <c r="FM14" t="s">
        <v>178</v>
      </c>
      <c r="FN14" t="s">
        <v>178</v>
      </c>
      <c r="FO14" t="s">
        <v>178</v>
      </c>
      <c r="FP14" t="s">
        <v>178</v>
      </c>
    </row>
    <row r="15" spans="1:191" ht="19" x14ac:dyDescent="0.2">
      <c r="A15" s="128" t="s">
        <v>152</v>
      </c>
      <c r="B15" t="s">
        <v>197</v>
      </c>
      <c r="C15">
        <v>2008</v>
      </c>
      <c r="D15" t="str">
        <f t="shared" si="4"/>
        <v>10.1016/j.epsl.2008.04.015</v>
      </c>
      <c r="E15" s="155">
        <f t="shared" si="5"/>
        <v>17.3</v>
      </c>
      <c r="F15" s="132" t="str">
        <f t="shared" si="6"/>
        <v>NA</v>
      </c>
      <c r="G15" s="132" t="str">
        <f t="shared" si="7"/>
        <v>NA</v>
      </c>
      <c r="H15" s="133">
        <f t="shared" si="8"/>
        <v>251</v>
      </c>
      <c r="I15" s="133">
        <f t="shared" si="9"/>
        <v>20</v>
      </c>
      <c r="J15" s="133">
        <f t="shared" si="10"/>
        <v>20</v>
      </c>
      <c r="K15" t="s">
        <v>198</v>
      </c>
      <c r="L15" s="134" t="s">
        <v>199</v>
      </c>
      <c r="M15" s="146" t="s">
        <v>200</v>
      </c>
      <c r="N15" s="147" t="s">
        <v>201</v>
      </c>
      <c r="O15" t="s">
        <v>156</v>
      </c>
      <c r="P15" t="s">
        <v>157</v>
      </c>
      <c r="Q15" t="s">
        <v>161</v>
      </c>
      <c r="R15" t="s">
        <v>161</v>
      </c>
      <c r="S15" t="s">
        <v>161</v>
      </c>
      <c r="T15" t="s">
        <v>161</v>
      </c>
      <c r="U15" s="135" t="s">
        <v>161</v>
      </c>
      <c r="V15">
        <v>0.71</v>
      </c>
      <c r="W15" t="s">
        <v>161</v>
      </c>
      <c r="X15" t="s">
        <v>158</v>
      </c>
      <c r="Y15" s="136">
        <v>12.75</v>
      </c>
      <c r="Z15" s="136">
        <v>-78.73</v>
      </c>
      <c r="AA15" s="136">
        <v>12.75</v>
      </c>
      <c r="AB15" s="136">
        <v>-78.73</v>
      </c>
      <c r="AC15" s="136">
        <v>-2827</v>
      </c>
      <c r="AD15" s="136">
        <v>-2827</v>
      </c>
      <c r="AE15" t="s">
        <v>159</v>
      </c>
      <c r="AF15" t="s">
        <v>160</v>
      </c>
      <c r="AG15" s="148">
        <v>17.3</v>
      </c>
      <c r="AH15" s="3" t="s">
        <v>161</v>
      </c>
      <c r="AI15" t="s">
        <v>161</v>
      </c>
      <c r="AJ15" t="s">
        <v>161</v>
      </c>
      <c r="AK15" t="s">
        <v>161</v>
      </c>
      <c r="AL15" t="s">
        <v>161</v>
      </c>
      <c r="AM15" s="137" t="s">
        <v>202</v>
      </c>
      <c r="AN15" t="s">
        <v>161</v>
      </c>
      <c r="AO15" t="s">
        <v>161</v>
      </c>
      <c r="AP15" t="s">
        <v>161</v>
      </c>
      <c r="AQ15" t="s">
        <v>161</v>
      </c>
      <c r="AR15" t="s">
        <v>161</v>
      </c>
      <c r="AS15" t="s">
        <v>161</v>
      </c>
      <c r="AT15" t="s">
        <v>161</v>
      </c>
      <c r="AU15" t="s">
        <v>162</v>
      </c>
      <c r="AV15" t="s">
        <v>163</v>
      </c>
      <c r="AW15" t="s">
        <v>164</v>
      </c>
      <c r="AX15" s="138" t="s">
        <v>165</v>
      </c>
      <c r="AY15" t="s">
        <v>203</v>
      </c>
      <c r="AZ15" t="s">
        <v>166</v>
      </c>
      <c r="BA15" t="s">
        <v>167</v>
      </c>
      <c r="BB15" t="s">
        <v>212</v>
      </c>
      <c r="BC15">
        <v>2</v>
      </c>
      <c r="BD15" s="139">
        <v>8.9999999999999858E-2</v>
      </c>
      <c r="BE15" s="139">
        <v>21.045000000000002</v>
      </c>
      <c r="BF15" t="s">
        <v>169</v>
      </c>
      <c r="BG15">
        <v>0.25</v>
      </c>
      <c r="BH15">
        <v>1</v>
      </c>
      <c r="BI15" t="s">
        <v>161</v>
      </c>
      <c r="BJ15" s="3" t="s">
        <v>161</v>
      </c>
      <c r="BK15">
        <v>0.8</v>
      </c>
      <c r="BL15" t="s">
        <v>161</v>
      </c>
      <c r="BM15" t="s">
        <v>161</v>
      </c>
      <c r="BN15" t="s">
        <v>233</v>
      </c>
      <c r="BO15" s="149" t="s">
        <v>234</v>
      </c>
      <c r="BP15" s="150" t="s">
        <v>161</v>
      </c>
      <c r="BQ15" s="150" t="s">
        <v>161</v>
      </c>
      <c r="BR15" s="150" t="s">
        <v>161</v>
      </c>
      <c r="BS15" s="150" t="s">
        <v>161</v>
      </c>
      <c r="BT15" s="150" t="s">
        <v>161</v>
      </c>
      <c r="BU15" s="150" t="s">
        <v>235</v>
      </c>
      <c r="BV15" s="150" t="s">
        <v>171</v>
      </c>
      <c r="BW15" s="150" t="s">
        <v>171</v>
      </c>
      <c r="BX15" s="152">
        <v>26.5</v>
      </c>
      <c r="BY15" t="s">
        <v>161</v>
      </c>
      <c r="BZ15" t="s">
        <v>161</v>
      </c>
      <c r="CA15" t="s">
        <v>161</v>
      </c>
      <c r="CB15" t="s">
        <v>239</v>
      </c>
      <c r="CC15" t="s">
        <v>161</v>
      </c>
      <c r="CD15" t="s">
        <v>161</v>
      </c>
      <c r="CE15" t="s">
        <v>161</v>
      </c>
      <c r="CF15" t="s">
        <v>161</v>
      </c>
      <c r="CG15" t="s">
        <v>161</v>
      </c>
      <c r="CH15" t="s">
        <v>161</v>
      </c>
      <c r="CI15" t="s">
        <v>161</v>
      </c>
      <c r="CJ15" t="s">
        <v>161</v>
      </c>
      <c r="CK15" t="s">
        <v>161</v>
      </c>
      <c r="CL15" t="s">
        <v>161</v>
      </c>
      <c r="CM15" t="s">
        <v>161</v>
      </c>
      <c r="CN15" t="s">
        <v>161</v>
      </c>
      <c r="CO15" t="s">
        <v>161</v>
      </c>
      <c r="CP15" t="s">
        <v>161</v>
      </c>
      <c r="CQ15" t="s">
        <v>161</v>
      </c>
      <c r="CR15" t="s">
        <v>161</v>
      </c>
      <c r="CS15" t="s">
        <v>161</v>
      </c>
      <c r="CT15" t="s">
        <v>161</v>
      </c>
      <c r="CU15" s="141">
        <v>37.1</v>
      </c>
      <c r="CV15" t="s">
        <v>161</v>
      </c>
      <c r="CW15" t="s">
        <v>161</v>
      </c>
      <c r="CX15" s="153" t="s">
        <v>161</v>
      </c>
      <c r="CY15" t="s">
        <v>172</v>
      </c>
      <c r="CZ15" t="s">
        <v>173</v>
      </c>
      <c r="DA15" t="s">
        <v>173</v>
      </c>
      <c r="DB15" t="s">
        <v>173</v>
      </c>
      <c r="DC15" t="s">
        <v>172</v>
      </c>
      <c r="DD15" t="s">
        <v>173</v>
      </c>
      <c r="DE15" t="s">
        <v>173</v>
      </c>
      <c r="DF15" t="s">
        <v>173</v>
      </c>
      <c r="DG15" t="s">
        <v>172</v>
      </c>
      <c r="DH15" t="s">
        <v>173</v>
      </c>
      <c r="DI15" t="s">
        <v>173</v>
      </c>
      <c r="DJ15" t="s">
        <v>173</v>
      </c>
      <c r="DK15" s="137">
        <v>416</v>
      </c>
      <c r="DL15" t="s">
        <v>161</v>
      </c>
      <c r="DM15" s="137" t="s">
        <v>161</v>
      </c>
      <c r="DN15" t="s">
        <v>236</v>
      </c>
      <c r="DO15">
        <v>39.5</v>
      </c>
      <c r="DP15" t="s">
        <v>174</v>
      </c>
      <c r="DQ15" t="s">
        <v>161</v>
      </c>
      <c r="DR15" t="s">
        <v>233</v>
      </c>
      <c r="DS15" t="s">
        <v>161</v>
      </c>
      <c r="DT15" t="s">
        <v>161</v>
      </c>
      <c r="DU15">
        <v>12.027200000000001</v>
      </c>
      <c r="DV15" t="s">
        <v>175</v>
      </c>
      <c r="DW15" t="s">
        <v>175</v>
      </c>
      <c r="DX15" t="s">
        <v>182</v>
      </c>
      <c r="DY15" t="s">
        <v>175</v>
      </c>
      <c r="DZ15" t="s">
        <v>175</v>
      </c>
      <c r="EA15" t="s">
        <v>237</v>
      </c>
      <c r="EB15" t="s">
        <v>161</v>
      </c>
      <c r="EC15" t="s">
        <v>238</v>
      </c>
      <c r="ED15" t="s">
        <v>238</v>
      </c>
      <c r="EE15" t="s">
        <v>161</v>
      </c>
      <c r="EF15" t="s">
        <v>161</v>
      </c>
      <c r="EG15" t="s">
        <v>161</v>
      </c>
      <c r="EH15" t="s">
        <v>240</v>
      </c>
      <c r="EI15" t="s">
        <v>241</v>
      </c>
      <c r="EJ15" t="s">
        <v>161</v>
      </c>
      <c r="EK15">
        <v>322</v>
      </c>
      <c r="EL15" t="s">
        <v>161</v>
      </c>
      <c r="EM15" t="s">
        <v>161</v>
      </c>
      <c r="EN15" t="s">
        <v>161</v>
      </c>
      <c r="EO15" t="s">
        <v>161</v>
      </c>
      <c r="EP15" t="s">
        <v>161</v>
      </c>
      <c r="EQ15" t="s">
        <v>161</v>
      </c>
      <c r="ER15" t="s">
        <v>161</v>
      </c>
      <c r="ES15">
        <v>8.2129999999999992</v>
      </c>
      <c r="ET15" s="140" t="s">
        <v>176</v>
      </c>
      <c r="EU15" s="140" t="s">
        <v>161</v>
      </c>
      <c r="EV15" s="140" t="s">
        <v>161</v>
      </c>
      <c r="EW15">
        <v>251</v>
      </c>
      <c r="EX15" s="140" t="s">
        <v>161</v>
      </c>
      <c r="EY15" t="s">
        <v>161</v>
      </c>
      <c r="EZ15" s="133">
        <f t="shared" si="3"/>
        <v>251</v>
      </c>
      <c r="FA15">
        <v>20</v>
      </c>
      <c r="FB15">
        <v>20</v>
      </c>
      <c r="FC15" t="s">
        <v>170</v>
      </c>
      <c r="FD15" t="s">
        <v>177</v>
      </c>
      <c r="FE15" t="s">
        <v>178</v>
      </c>
      <c r="FF15" t="s">
        <v>178</v>
      </c>
      <c r="FG15" t="s">
        <v>178</v>
      </c>
      <c r="FH15" t="s">
        <v>178</v>
      </c>
      <c r="FI15" t="s">
        <v>178</v>
      </c>
      <c r="FJ15" t="s">
        <v>178</v>
      </c>
      <c r="FK15" t="s">
        <v>178</v>
      </c>
      <c r="FL15" t="s">
        <v>178</v>
      </c>
      <c r="FM15" t="s">
        <v>178</v>
      </c>
      <c r="FN15" t="s">
        <v>178</v>
      </c>
      <c r="FO15" t="s">
        <v>178</v>
      </c>
      <c r="FP15" t="s">
        <v>178</v>
      </c>
    </row>
    <row r="16" spans="1:191" ht="19" x14ac:dyDescent="0.2">
      <c r="A16" s="128" t="s">
        <v>152</v>
      </c>
      <c r="B16" t="s">
        <v>197</v>
      </c>
      <c r="C16">
        <v>2008</v>
      </c>
      <c r="D16" t="str">
        <f t="shared" si="4"/>
        <v>10.1016/j.epsl.2008.04.015</v>
      </c>
      <c r="E16" s="155">
        <f t="shared" si="5"/>
        <v>19.2</v>
      </c>
      <c r="F16" s="132" t="str">
        <f t="shared" si="6"/>
        <v>NA</v>
      </c>
      <c r="G16" s="132" t="str">
        <f t="shared" si="7"/>
        <v>NA</v>
      </c>
      <c r="H16" s="133">
        <f t="shared" si="8"/>
        <v>210</v>
      </c>
      <c r="I16" s="133">
        <f t="shared" si="9"/>
        <v>20</v>
      </c>
      <c r="J16" s="133">
        <f t="shared" si="10"/>
        <v>20</v>
      </c>
      <c r="K16" t="s">
        <v>198</v>
      </c>
      <c r="L16" s="134" t="s">
        <v>199</v>
      </c>
      <c r="M16" s="146" t="s">
        <v>200</v>
      </c>
      <c r="N16" s="147" t="s">
        <v>201</v>
      </c>
      <c r="O16" t="s">
        <v>156</v>
      </c>
      <c r="P16" t="s">
        <v>157</v>
      </c>
      <c r="Q16" t="s">
        <v>161</v>
      </c>
      <c r="R16" t="s">
        <v>161</v>
      </c>
      <c r="S16" t="s">
        <v>161</v>
      </c>
      <c r="T16" t="s">
        <v>161</v>
      </c>
      <c r="U16" s="135" t="s">
        <v>161</v>
      </c>
      <c r="V16">
        <v>0.82</v>
      </c>
      <c r="W16" t="s">
        <v>161</v>
      </c>
      <c r="X16" t="s">
        <v>158</v>
      </c>
      <c r="Y16" s="136">
        <v>12.75</v>
      </c>
      <c r="Z16" s="136">
        <v>-78.73</v>
      </c>
      <c r="AA16" s="136">
        <v>12.75</v>
      </c>
      <c r="AB16" s="136">
        <v>-78.73</v>
      </c>
      <c r="AC16" s="136">
        <v>-2827</v>
      </c>
      <c r="AD16" s="136">
        <v>-2827</v>
      </c>
      <c r="AE16" t="s">
        <v>159</v>
      </c>
      <c r="AF16" t="s">
        <v>160</v>
      </c>
      <c r="AG16" s="148">
        <v>19.2</v>
      </c>
      <c r="AH16" s="3" t="s">
        <v>161</v>
      </c>
      <c r="AI16" t="s">
        <v>161</v>
      </c>
      <c r="AJ16" t="s">
        <v>161</v>
      </c>
      <c r="AK16" t="s">
        <v>161</v>
      </c>
      <c r="AL16" t="s">
        <v>161</v>
      </c>
      <c r="AM16" s="137" t="s">
        <v>202</v>
      </c>
      <c r="AN16" t="s">
        <v>161</v>
      </c>
      <c r="AO16" t="s">
        <v>161</v>
      </c>
      <c r="AP16" t="s">
        <v>161</v>
      </c>
      <c r="AQ16" t="s">
        <v>161</v>
      </c>
      <c r="AR16" t="s">
        <v>161</v>
      </c>
      <c r="AS16" t="s">
        <v>161</v>
      </c>
      <c r="AT16" t="s">
        <v>161</v>
      </c>
      <c r="AU16" t="s">
        <v>162</v>
      </c>
      <c r="AV16" t="s">
        <v>163</v>
      </c>
      <c r="AW16" t="s">
        <v>164</v>
      </c>
      <c r="AX16" s="138" t="s">
        <v>165</v>
      </c>
      <c r="AY16" t="s">
        <v>203</v>
      </c>
      <c r="AZ16" t="s">
        <v>166</v>
      </c>
      <c r="BA16" t="s">
        <v>167</v>
      </c>
      <c r="BB16" t="s">
        <v>213</v>
      </c>
      <c r="BC16">
        <v>2</v>
      </c>
      <c r="BD16" s="139">
        <v>7.9999999999998295E-2</v>
      </c>
      <c r="BE16" s="139">
        <v>21.75</v>
      </c>
      <c r="BF16" t="s">
        <v>169</v>
      </c>
      <c r="BG16">
        <v>0.25</v>
      </c>
      <c r="BH16">
        <v>1</v>
      </c>
      <c r="BI16" t="s">
        <v>161</v>
      </c>
      <c r="BJ16" s="3" t="s">
        <v>161</v>
      </c>
      <c r="BK16">
        <v>0.8</v>
      </c>
      <c r="BL16" t="s">
        <v>161</v>
      </c>
      <c r="BM16" t="s">
        <v>161</v>
      </c>
      <c r="BN16" t="s">
        <v>233</v>
      </c>
      <c r="BO16" s="149" t="s">
        <v>234</v>
      </c>
      <c r="BP16" s="150" t="s">
        <v>161</v>
      </c>
      <c r="BQ16" s="150" t="s">
        <v>161</v>
      </c>
      <c r="BR16" s="150" t="s">
        <v>161</v>
      </c>
      <c r="BS16" s="150" t="s">
        <v>161</v>
      </c>
      <c r="BT16" s="150" t="s">
        <v>161</v>
      </c>
      <c r="BU16" s="150" t="s">
        <v>235</v>
      </c>
      <c r="BV16" s="150" t="s">
        <v>171</v>
      </c>
      <c r="BW16" s="150" t="s">
        <v>171</v>
      </c>
      <c r="BX16" s="152">
        <v>26</v>
      </c>
      <c r="BY16" t="s">
        <v>161</v>
      </c>
      <c r="BZ16" t="s">
        <v>161</v>
      </c>
      <c r="CA16" t="s">
        <v>161</v>
      </c>
      <c r="CB16" t="s">
        <v>239</v>
      </c>
      <c r="CC16" t="s">
        <v>161</v>
      </c>
      <c r="CD16" t="s">
        <v>161</v>
      </c>
      <c r="CE16" t="s">
        <v>161</v>
      </c>
      <c r="CF16" t="s">
        <v>161</v>
      </c>
      <c r="CG16" t="s">
        <v>161</v>
      </c>
      <c r="CH16" t="s">
        <v>161</v>
      </c>
      <c r="CI16" t="s">
        <v>161</v>
      </c>
      <c r="CJ16" t="s">
        <v>161</v>
      </c>
      <c r="CK16" t="s">
        <v>161</v>
      </c>
      <c r="CL16" t="s">
        <v>161</v>
      </c>
      <c r="CM16" t="s">
        <v>161</v>
      </c>
      <c r="CN16" t="s">
        <v>161</v>
      </c>
      <c r="CO16" t="s">
        <v>161</v>
      </c>
      <c r="CP16" t="s">
        <v>161</v>
      </c>
      <c r="CQ16" t="s">
        <v>161</v>
      </c>
      <c r="CR16" t="s">
        <v>161</v>
      </c>
      <c r="CS16" t="s">
        <v>161</v>
      </c>
      <c r="CT16" t="s">
        <v>161</v>
      </c>
      <c r="CU16" s="141">
        <v>37</v>
      </c>
      <c r="CV16" t="s">
        <v>161</v>
      </c>
      <c r="CW16" t="s">
        <v>161</v>
      </c>
      <c r="CX16" s="153" t="s">
        <v>161</v>
      </c>
      <c r="CY16" t="s">
        <v>172</v>
      </c>
      <c r="CZ16" t="s">
        <v>173</v>
      </c>
      <c r="DA16" t="s">
        <v>173</v>
      </c>
      <c r="DB16" t="s">
        <v>173</v>
      </c>
      <c r="DC16" t="s">
        <v>172</v>
      </c>
      <c r="DD16" t="s">
        <v>173</v>
      </c>
      <c r="DE16" t="s">
        <v>173</v>
      </c>
      <c r="DF16" t="s">
        <v>173</v>
      </c>
      <c r="DG16" t="s">
        <v>172</v>
      </c>
      <c r="DH16" t="s">
        <v>173</v>
      </c>
      <c r="DI16" t="s">
        <v>173</v>
      </c>
      <c r="DJ16" t="s">
        <v>173</v>
      </c>
      <c r="DK16" s="137">
        <v>416</v>
      </c>
      <c r="DL16" t="s">
        <v>161</v>
      </c>
      <c r="DM16" s="137" t="s">
        <v>161</v>
      </c>
      <c r="DN16" t="s">
        <v>236</v>
      </c>
      <c r="DO16">
        <v>39.5</v>
      </c>
      <c r="DP16" t="s">
        <v>174</v>
      </c>
      <c r="DQ16" t="s">
        <v>161</v>
      </c>
      <c r="DR16" t="s">
        <v>233</v>
      </c>
      <c r="DS16" t="s">
        <v>161</v>
      </c>
      <c r="DT16" t="s">
        <v>161</v>
      </c>
      <c r="DU16">
        <v>13.027200000000001</v>
      </c>
      <c r="DV16" t="s">
        <v>175</v>
      </c>
      <c r="DW16" t="s">
        <v>175</v>
      </c>
      <c r="DX16" t="s">
        <v>182</v>
      </c>
      <c r="DY16" t="s">
        <v>175</v>
      </c>
      <c r="DZ16" t="s">
        <v>175</v>
      </c>
      <c r="EA16" t="s">
        <v>237</v>
      </c>
      <c r="EB16" t="s">
        <v>161</v>
      </c>
      <c r="EC16" t="s">
        <v>238</v>
      </c>
      <c r="ED16" t="s">
        <v>238</v>
      </c>
      <c r="EE16" t="s">
        <v>161</v>
      </c>
      <c r="EF16" t="s">
        <v>161</v>
      </c>
      <c r="EG16" t="s">
        <v>161</v>
      </c>
      <c r="EH16" t="s">
        <v>240</v>
      </c>
      <c r="EI16" t="s">
        <v>241</v>
      </c>
      <c r="EJ16" t="s">
        <v>161</v>
      </c>
      <c r="EK16">
        <v>346</v>
      </c>
      <c r="EL16" t="s">
        <v>161</v>
      </c>
      <c r="EM16" t="s">
        <v>161</v>
      </c>
      <c r="EN16" t="s">
        <v>161</v>
      </c>
      <c r="EO16" t="s">
        <v>161</v>
      </c>
      <c r="EP16" t="s">
        <v>161</v>
      </c>
      <c r="EQ16" t="s">
        <v>161</v>
      </c>
      <c r="ER16" t="s">
        <v>161</v>
      </c>
      <c r="ES16">
        <v>8.2710000000000008</v>
      </c>
      <c r="ET16" s="140" t="s">
        <v>176</v>
      </c>
      <c r="EU16" s="140" t="s">
        <v>161</v>
      </c>
      <c r="EV16" s="140" t="s">
        <v>161</v>
      </c>
      <c r="EW16">
        <v>210</v>
      </c>
      <c r="EX16" s="140" t="s">
        <v>161</v>
      </c>
      <c r="EY16" t="s">
        <v>161</v>
      </c>
      <c r="EZ16" s="133">
        <f t="shared" si="3"/>
        <v>210</v>
      </c>
      <c r="FA16">
        <v>20</v>
      </c>
      <c r="FB16">
        <v>20</v>
      </c>
      <c r="FC16" t="s">
        <v>170</v>
      </c>
      <c r="FD16" t="s">
        <v>177</v>
      </c>
      <c r="FE16" t="s">
        <v>178</v>
      </c>
      <c r="FF16" t="s">
        <v>178</v>
      </c>
      <c r="FG16" t="s">
        <v>178</v>
      </c>
      <c r="FH16" t="s">
        <v>178</v>
      </c>
      <c r="FI16" t="s">
        <v>178</v>
      </c>
      <c r="FJ16" t="s">
        <v>178</v>
      </c>
      <c r="FK16" t="s">
        <v>178</v>
      </c>
      <c r="FL16" t="s">
        <v>178</v>
      </c>
      <c r="FM16" t="s">
        <v>178</v>
      </c>
      <c r="FN16" t="s">
        <v>178</v>
      </c>
      <c r="FO16" t="s">
        <v>178</v>
      </c>
      <c r="FP16" t="s">
        <v>178</v>
      </c>
    </row>
    <row r="17" spans="1:172" ht="19" x14ac:dyDescent="0.2">
      <c r="A17" s="128" t="s">
        <v>152</v>
      </c>
      <c r="B17" t="s">
        <v>197</v>
      </c>
      <c r="C17">
        <v>2008</v>
      </c>
      <c r="D17" t="str">
        <f t="shared" si="4"/>
        <v>10.1016/j.epsl.2008.04.015</v>
      </c>
      <c r="E17" s="155">
        <f t="shared" si="5"/>
        <v>21.1</v>
      </c>
      <c r="F17" s="132" t="str">
        <f t="shared" si="6"/>
        <v>NA</v>
      </c>
      <c r="G17" s="132" t="str">
        <f t="shared" si="7"/>
        <v>NA</v>
      </c>
      <c r="H17" s="133">
        <f t="shared" si="8"/>
        <v>235</v>
      </c>
      <c r="I17" s="133">
        <f t="shared" si="9"/>
        <v>20</v>
      </c>
      <c r="J17" s="133">
        <f t="shared" si="10"/>
        <v>20</v>
      </c>
      <c r="K17" t="s">
        <v>198</v>
      </c>
      <c r="L17" s="134" t="s">
        <v>199</v>
      </c>
      <c r="M17" s="146" t="s">
        <v>200</v>
      </c>
      <c r="N17" s="147" t="s">
        <v>201</v>
      </c>
      <c r="O17" t="s">
        <v>156</v>
      </c>
      <c r="P17" t="s">
        <v>157</v>
      </c>
      <c r="Q17" t="s">
        <v>161</v>
      </c>
      <c r="R17" t="s">
        <v>161</v>
      </c>
      <c r="S17" t="s">
        <v>161</v>
      </c>
      <c r="T17" t="s">
        <v>161</v>
      </c>
      <c r="U17" s="135" t="s">
        <v>161</v>
      </c>
      <c r="V17">
        <v>0.03</v>
      </c>
      <c r="W17" t="s">
        <v>161</v>
      </c>
      <c r="X17" t="s">
        <v>158</v>
      </c>
      <c r="Y17" s="136">
        <v>12.75</v>
      </c>
      <c r="Z17" s="136">
        <v>-78.73</v>
      </c>
      <c r="AA17" s="136">
        <v>12.75</v>
      </c>
      <c r="AB17" s="136">
        <v>-78.73</v>
      </c>
      <c r="AC17" s="136">
        <v>-2827</v>
      </c>
      <c r="AD17" s="136">
        <v>-2827</v>
      </c>
      <c r="AE17" t="s">
        <v>159</v>
      </c>
      <c r="AF17" t="s">
        <v>160</v>
      </c>
      <c r="AG17" s="148">
        <v>21.1</v>
      </c>
      <c r="AH17" s="3" t="s">
        <v>161</v>
      </c>
      <c r="AI17" t="s">
        <v>161</v>
      </c>
      <c r="AJ17" t="s">
        <v>161</v>
      </c>
      <c r="AK17" t="s">
        <v>161</v>
      </c>
      <c r="AL17" t="s">
        <v>161</v>
      </c>
      <c r="AM17" s="137" t="s">
        <v>202</v>
      </c>
      <c r="AN17" t="s">
        <v>161</v>
      </c>
      <c r="AO17" t="s">
        <v>161</v>
      </c>
      <c r="AP17" t="s">
        <v>161</v>
      </c>
      <c r="AQ17" t="s">
        <v>161</v>
      </c>
      <c r="AR17" t="s">
        <v>161</v>
      </c>
      <c r="AS17" t="s">
        <v>161</v>
      </c>
      <c r="AT17" t="s">
        <v>161</v>
      </c>
      <c r="AU17" t="s">
        <v>162</v>
      </c>
      <c r="AV17" t="s">
        <v>163</v>
      </c>
      <c r="AW17" t="s">
        <v>164</v>
      </c>
      <c r="AX17" s="138" t="s">
        <v>165</v>
      </c>
      <c r="AY17" t="s">
        <v>203</v>
      </c>
      <c r="AZ17" t="s">
        <v>166</v>
      </c>
      <c r="BA17" t="s">
        <v>167</v>
      </c>
      <c r="BB17" t="s">
        <v>214</v>
      </c>
      <c r="BC17">
        <v>3</v>
      </c>
      <c r="BD17" s="139">
        <v>0.10477489097001121</v>
      </c>
      <c r="BE17" s="139">
        <v>21.226666666666663</v>
      </c>
      <c r="BF17" t="s">
        <v>169</v>
      </c>
      <c r="BG17">
        <v>0.25</v>
      </c>
      <c r="BH17">
        <v>1</v>
      </c>
      <c r="BI17" t="s">
        <v>161</v>
      </c>
      <c r="BJ17" s="3" t="s">
        <v>161</v>
      </c>
      <c r="BK17">
        <v>0.8</v>
      </c>
      <c r="BL17" t="s">
        <v>161</v>
      </c>
      <c r="BM17" t="s">
        <v>161</v>
      </c>
      <c r="BN17" t="s">
        <v>233</v>
      </c>
      <c r="BO17" s="149" t="s">
        <v>234</v>
      </c>
      <c r="BP17" s="150" t="s">
        <v>161</v>
      </c>
      <c r="BQ17" s="150" t="s">
        <v>161</v>
      </c>
      <c r="BR17" s="150" t="s">
        <v>161</v>
      </c>
      <c r="BS17" s="150" t="s">
        <v>161</v>
      </c>
      <c r="BT17" s="150" t="s">
        <v>161</v>
      </c>
      <c r="BU17" s="150" t="s">
        <v>235</v>
      </c>
      <c r="BV17" s="150" t="s">
        <v>171</v>
      </c>
      <c r="BW17" s="150" t="s">
        <v>171</v>
      </c>
      <c r="BX17" s="152">
        <v>25.7</v>
      </c>
      <c r="BY17" t="s">
        <v>161</v>
      </c>
      <c r="BZ17" t="s">
        <v>161</v>
      </c>
      <c r="CA17" t="s">
        <v>161</v>
      </c>
      <c r="CB17" t="s">
        <v>239</v>
      </c>
      <c r="CC17" t="s">
        <v>161</v>
      </c>
      <c r="CD17" t="s">
        <v>161</v>
      </c>
      <c r="CE17" t="s">
        <v>161</v>
      </c>
      <c r="CF17" t="s">
        <v>161</v>
      </c>
      <c r="CG17" t="s">
        <v>161</v>
      </c>
      <c r="CH17" t="s">
        <v>161</v>
      </c>
      <c r="CI17" t="s">
        <v>161</v>
      </c>
      <c r="CJ17" t="s">
        <v>161</v>
      </c>
      <c r="CK17" t="s">
        <v>161</v>
      </c>
      <c r="CL17" t="s">
        <v>161</v>
      </c>
      <c r="CM17" t="s">
        <v>161</v>
      </c>
      <c r="CN17" t="s">
        <v>161</v>
      </c>
      <c r="CO17" t="s">
        <v>161</v>
      </c>
      <c r="CP17" t="s">
        <v>161</v>
      </c>
      <c r="CQ17" t="s">
        <v>161</v>
      </c>
      <c r="CR17" t="s">
        <v>161</v>
      </c>
      <c r="CS17" t="s">
        <v>161</v>
      </c>
      <c r="CT17" t="s">
        <v>161</v>
      </c>
      <c r="CU17" s="141">
        <v>37</v>
      </c>
      <c r="CV17" t="s">
        <v>161</v>
      </c>
      <c r="CW17" t="s">
        <v>161</v>
      </c>
      <c r="CX17" s="153" t="s">
        <v>161</v>
      </c>
      <c r="CY17" t="s">
        <v>172</v>
      </c>
      <c r="CZ17" t="s">
        <v>173</v>
      </c>
      <c r="DA17" t="s">
        <v>173</v>
      </c>
      <c r="DB17" t="s">
        <v>173</v>
      </c>
      <c r="DC17" t="s">
        <v>172</v>
      </c>
      <c r="DD17" t="s">
        <v>173</v>
      </c>
      <c r="DE17" t="s">
        <v>173</v>
      </c>
      <c r="DF17" t="s">
        <v>173</v>
      </c>
      <c r="DG17" t="s">
        <v>172</v>
      </c>
      <c r="DH17" t="s">
        <v>173</v>
      </c>
      <c r="DI17" t="s">
        <v>173</v>
      </c>
      <c r="DJ17" t="s">
        <v>173</v>
      </c>
      <c r="DK17" s="137">
        <v>416</v>
      </c>
      <c r="DL17" t="s">
        <v>161</v>
      </c>
      <c r="DM17" s="137" t="s">
        <v>161</v>
      </c>
      <c r="DN17" t="s">
        <v>236</v>
      </c>
      <c r="DO17">
        <v>39.5</v>
      </c>
      <c r="DP17" t="s">
        <v>174</v>
      </c>
      <c r="DQ17" t="s">
        <v>161</v>
      </c>
      <c r="DR17" t="s">
        <v>233</v>
      </c>
      <c r="DS17" t="s">
        <v>161</v>
      </c>
      <c r="DT17" t="s">
        <v>161</v>
      </c>
      <c r="DU17">
        <v>14.027200000000001</v>
      </c>
      <c r="DV17" t="s">
        <v>175</v>
      </c>
      <c r="DW17" t="s">
        <v>175</v>
      </c>
      <c r="DX17" t="s">
        <v>182</v>
      </c>
      <c r="DY17" t="s">
        <v>175</v>
      </c>
      <c r="DZ17" t="s">
        <v>175</v>
      </c>
      <c r="EA17" t="s">
        <v>237</v>
      </c>
      <c r="EB17" t="s">
        <v>161</v>
      </c>
      <c r="EC17" t="s">
        <v>238</v>
      </c>
      <c r="ED17" t="s">
        <v>238</v>
      </c>
      <c r="EE17" t="s">
        <v>161</v>
      </c>
      <c r="EF17" t="s">
        <v>161</v>
      </c>
      <c r="EG17" t="s">
        <v>161</v>
      </c>
      <c r="EH17" t="s">
        <v>240</v>
      </c>
      <c r="EI17" t="s">
        <v>241</v>
      </c>
      <c r="EJ17" t="s">
        <v>161</v>
      </c>
      <c r="EK17">
        <v>324</v>
      </c>
      <c r="EL17" t="s">
        <v>161</v>
      </c>
      <c r="EM17" t="s">
        <v>161</v>
      </c>
      <c r="EN17" t="s">
        <v>161</v>
      </c>
      <c r="EO17" t="s">
        <v>161</v>
      </c>
      <c r="EP17" t="s">
        <v>161</v>
      </c>
      <c r="EQ17" t="s">
        <v>161</v>
      </c>
      <c r="ER17" t="s">
        <v>161</v>
      </c>
      <c r="ES17">
        <v>8.2349999999999994</v>
      </c>
      <c r="ET17" s="140" t="s">
        <v>176</v>
      </c>
      <c r="EU17" s="140" t="s">
        <v>161</v>
      </c>
      <c r="EV17" s="140" t="s">
        <v>161</v>
      </c>
      <c r="EW17">
        <v>235</v>
      </c>
      <c r="EX17" s="140" t="s">
        <v>161</v>
      </c>
      <c r="EY17" t="s">
        <v>161</v>
      </c>
      <c r="EZ17" s="133">
        <f t="shared" si="3"/>
        <v>235</v>
      </c>
      <c r="FA17">
        <v>20</v>
      </c>
      <c r="FB17">
        <v>20</v>
      </c>
      <c r="FC17" t="s">
        <v>170</v>
      </c>
      <c r="FD17" t="s">
        <v>177</v>
      </c>
      <c r="FE17" t="s">
        <v>178</v>
      </c>
      <c r="FF17" t="s">
        <v>178</v>
      </c>
      <c r="FG17" t="s">
        <v>178</v>
      </c>
      <c r="FH17" t="s">
        <v>178</v>
      </c>
      <c r="FI17" t="s">
        <v>178</v>
      </c>
      <c r="FJ17" t="s">
        <v>178</v>
      </c>
      <c r="FK17" t="s">
        <v>178</v>
      </c>
      <c r="FL17" t="s">
        <v>178</v>
      </c>
      <c r="FM17" t="s">
        <v>178</v>
      </c>
      <c r="FN17" t="s">
        <v>178</v>
      </c>
      <c r="FO17" t="s">
        <v>178</v>
      </c>
      <c r="FP17" t="s">
        <v>178</v>
      </c>
    </row>
    <row r="18" spans="1:172" ht="19" x14ac:dyDescent="0.2">
      <c r="A18" s="128" t="s">
        <v>152</v>
      </c>
      <c r="B18" t="s">
        <v>197</v>
      </c>
      <c r="C18">
        <v>2008</v>
      </c>
      <c r="D18" t="str">
        <f t="shared" si="4"/>
        <v>10.1016/j.epsl.2008.04.015</v>
      </c>
      <c r="E18" s="155">
        <f t="shared" si="5"/>
        <v>22.5</v>
      </c>
      <c r="F18" s="132" t="str">
        <f t="shared" si="6"/>
        <v>NA</v>
      </c>
      <c r="G18" s="132" t="str">
        <f t="shared" si="7"/>
        <v>NA</v>
      </c>
      <c r="H18" s="133">
        <f t="shared" si="8"/>
        <v>239</v>
      </c>
      <c r="I18" s="133">
        <f t="shared" si="9"/>
        <v>20</v>
      </c>
      <c r="J18" s="133">
        <f t="shared" si="10"/>
        <v>20</v>
      </c>
      <c r="K18" t="s">
        <v>198</v>
      </c>
      <c r="L18" s="134" t="s">
        <v>199</v>
      </c>
      <c r="M18" s="146" t="s">
        <v>200</v>
      </c>
      <c r="N18" s="147" t="s">
        <v>201</v>
      </c>
      <c r="O18" t="s">
        <v>156</v>
      </c>
      <c r="P18" t="s">
        <v>157</v>
      </c>
      <c r="Q18" t="s">
        <v>161</v>
      </c>
      <c r="R18" t="s">
        <v>161</v>
      </c>
      <c r="S18" t="s">
        <v>161</v>
      </c>
      <c r="T18" t="s">
        <v>161</v>
      </c>
      <c r="U18" s="135" t="s">
        <v>161</v>
      </c>
      <c r="V18">
        <v>1.02</v>
      </c>
      <c r="W18" t="s">
        <v>161</v>
      </c>
      <c r="X18" t="s">
        <v>158</v>
      </c>
      <c r="Y18" s="136">
        <v>12.75</v>
      </c>
      <c r="Z18" s="136">
        <v>-78.73</v>
      </c>
      <c r="AA18" s="136">
        <v>12.75</v>
      </c>
      <c r="AB18" s="136">
        <v>-78.73</v>
      </c>
      <c r="AC18" s="136">
        <v>-2827</v>
      </c>
      <c r="AD18" s="136">
        <v>-2827</v>
      </c>
      <c r="AE18" t="s">
        <v>159</v>
      </c>
      <c r="AF18" t="s">
        <v>160</v>
      </c>
      <c r="AG18" s="148">
        <v>22.5</v>
      </c>
      <c r="AH18" s="3" t="s">
        <v>161</v>
      </c>
      <c r="AI18" t="s">
        <v>161</v>
      </c>
      <c r="AJ18" t="s">
        <v>161</v>
      </c>
      <c r="AK18" t="s">
        <v>161</v>
      </c>
      <c r="AL18" t="s">
        <v>161</v>
      </c>
      <c r="AM18" s="137" t="s">
        <v>202</v>
      </c>
      <c r="AN18" t="s">
        <v>161</v>
      </c>
      <c r="AO18" t="s">
        <v>161</v>
      </c>
      <c r="AP18" t="s">
        <v>161</v>
      </c>
      <c r="AQ18" t="s">
        <v>161</v>
      </c>
      <c r="AR18" t="s">
        <v>161</v>
      </c>
      <c r="AS18" t="s">
        <v>161</v>
      </c>
      <c r="AT18" t="s">
        <v>161</v>
      </c>
      <c r="AU18" t="s">
        <v>162</v>
      </c>
      <c r="AV18" t="s">
        <v>163</v>
      </c>
      <c r="AW18" t="s">
        <v>164</v>
      </c>
      <c r="AX18" s="138" t="s">
        <v>165</v>
      </c>
      <c r="AY18" t="s">
        <v>203</v>
      </c>
      <c r="AZ18" t="s">
        <v>166</v>
      </c>
      <c r="BA18" t="s">
        <v>167</v>
      </c>
      <c r="BB18" t="s">
        <v>215</v>
      </c>
      <c r="BC18">
        <v>2</v>
      </c>
      <c r="BD18" s="139">
        <v>0.22000000000000242</v>
      </c>
      <c r="BE18" s="139">
        <v>21.259999999999998</v>
      </c>
      <c r="BF18" t="s">
        <v>169</v>
      </c>
      <c r="BG18">
        <v>0.25</v>
      </c>
      <c r="BH18">
        <v>1</v>
      </c>
      <c r="BI18" t="s">
        <v>161</v>
      </c>
      <c r="BJ18" s="3" t="s">
        <v>161</v>
      </c>
      <c r="BK18">
        <v>0.8</v>
      </c>
      <c r="BL18" t="s">
        <v>161</v>
      </c>
      <c r="BM18" t="s">
        <v>161</v>
      </c>
      <c r="BN18" t="s">
        <v>233</v>
      </c>
      <c r="BO18" s="149" t="s">
        <v>234</v>
      </c>
      <c r="BP18" s="150" t="s">
        <v>161</v>
      </c>
      <c r="BQ18" s="150" t="s">
        <v>161</v>
      </c>
      <c r="BR18" s="150" t="s">
        <v>161</v>
      </c>
      <c r="BS18" s="150" t="s">
        <v>161</v>
      </c>
      <c r="BT18" s="150" t="s">
        <v>161</v>
      </c>
      <c r="BU18" s="150" t="s">
        <v>235</v>
      </c>
      <c r="BV18" s="150" t="s">
        <v>171</v>
      </c>
      <c r="BW18" s="150" t="s">
        <v>171</v>
      </c>
      <c r="BX18" s="152">
        <v>26.4</v>
      </c>
      <c r="BY18" t="s">
        <v>161</v>
      </c>
      <c r="BZ18" t="s">
        <v>161</v>
      </c>
      <c r="CA18" t="s">
        <v>161</v>
      </c>
      <c r="CB18" t="s">
        <v>239</v>
      </c>
      <c r="CC18" t="s">
        <v>161</v>
      </c>
      <c r="CD18" t="s">
        <v>161</v>
      </c>
      <c r="CE18" t="s">
        <v>161</v>
      </c>
      <c r="CF18" t="s">
        <v>161</v>
      </c>
      <c r="CG18" t="s">
        <v>161</v>
      </c>
      <c r="CH18" t="s">
        <v>161</v>
      </c>
      <c r="CI18" t="s">
        <v>161</v>
      </c>
      <c r="CJ18" t="s">
        <v>161</v>
      </c>
      <c r="CK18" t="s">
        <v>161</v>
      </c>
      <c r="CL18" t="s">
        <v>161</v>
      </c>
      <c r="CM18" t="s">
        <v>161</v>
      </c>
      <c r="CN18" t="s">
        <v>161</v>
      </c>
      <c r="CO18" t="s">
        <v>161</v>
      </c>
      <c r="CP18" t="s">
        <v>161</v>
      </c>
      <c r="CQ18" t="s">
        <v>161</v>
      </c>
      <c r="CR18" t="s">
        <v>161</v>
      </c>
      <c r="CS18" t="s">
        <v>161</v>
      </c>
      <c r="CT18" t="s">
        <v>161</v>
      </c>
      <c r="CU18" s="141">
        <v>37.200000000000003</v>
      </c>
      <c r="CV18" t="s">
        <v>161</v>
      </c>
      <c r="CW18" t="s">
        <v>161</v>
      </c>
      <c r="CX18" s="153" t="s">
        <v>161</v>
      </c>
      <c r="CY18" t="s">
        <v>172</v>
      </c>
      <c r="CZ18" t="s">
        <v>173</v>
      </c>
      <c r="DA18" t="s">
        <v>173</v>
      </c>
      <c r="DB18" t="s">
        <v>173</v>
      </c>
      <c r="DC18" t="s">
        <v>172</v>
      </c>
      <c r="DD18" t="s">
        <v>173</v>
      </c>
      <c r="DE18" t="s">
        <v>173</v>
      </c>
      <c r="DF18" t="s">
        <v>173</v>
      </c>
      <c r="DG18" t="s">
        <v>172</v>
      </c>
      <c r="DH18" t="s">
        <v>173</v>
      </c>
      <c r="DI18" t="s">
        <v>173</v>
      </c>
      <c r="DJ18" t="s">
        <v>173</v>
      </c>
      <c r="DK18" s="137">
        <v>416</v>
      </c>
      <c r="DL18" t="s">
        <v>161</v>
      </c>
      <c r="DM18" s="137" t="s">
        <v>161</v>
      </c>
      <c r="DN18" t="s">
        <v>236</v>
      </c>
      <c r="DO18">
        <v>39.5</v>
      </c>
      <c r="DP18" t="s">
        <v>174</v>
      </c>
      <c r="DQ18" t="s">
        <v>161</v>
      </c>
      <c r="DR18" t="s">
        <v>233</v>
      </c>
      <c r="DS18" t="s">
        <v>161</v>
      </c>
      <c r="DT18" t="s">
        <v>161</v>
      </c>
      <c r="DU18">
        <v>15.027200000000001</v>
      </c>
      <c r="DV18" t="s">
        <v>175</v>
      </c>
      <c r="DW18" t="s">
        <v>175</v>
      </c>
      <c r="DX18" t="s">
        <v>182</v>
      </c>
      <c r="DY18" t="s">
        <v>175</v>
      </c>
      <c r="DZ18" t="s">
        <v>175</v>
      </c>
      <c r="EA18" t="s">
        <v>237</v>
      </c>
      <c r="EB18" t="s">
        <v>161</v>
      </c>
      <c r="EC18" t="s">
        <v>238</v>
      </c>
      <c r="ED18" t="s">
        <v>238</v>
      </c>
      <c r="EE18" t="s">
        <v>161</v>
      </c>
      <c r="EF18" t="s">
        <v>161</v>
      </c>
      <c r="EG18" t="s">
        <v>161</v>
      </c>
      <c r="EH18" t="s">
        <v>240</v>
      </c>
      <c r="EI18" t="s">
        <v>241</v>
      </c>
      <c r="EJ18" t="s">
        <v>161</v>
      </c>
      <c r="EK18">
        <v>331</v>
      </c>
      <c r="EL18" t="s">
        <v>161</v>
      </c>
      <c r="EM18" t="s">
        <v>161</v>
      </c>
      <c r="EN18" t="s">
        <v>161</v>
      </c>
      <c r="EO18" t="s">
        <v>161</v>
      </c>
      <c r="EP18" t="s">
        <v>161</v>
      </c>
      <c r="EQ18" t="s">
        <v>161</v>
      </c>
      <c r="ER18" t="s">
        <v>161</v>
      </c>
      <c r="ES18">
        <v>8.23</v>
      </c>
      <c r="ET18" s="140" t="s">
        <v>176</v>
      </c>
      <c r="EU18" s="140" t="s">
        <v>161</v>
      </c>
      <c r="EV18" s="140" t="s">
        <v>161</v>
      </c>
      <c r="EW18">
        <v>239</v>
      </c>
      <c r="EX18" s="140" t="s">
        <v>161</v>
      </c>
      <c r="EY18" t="s">
        <v>161</v>
      </c>
      <c r="EZ18" s="133">
        <f t="shared" si="3"/>
        <v>239</v>
      </c>
      <c r="FA18">
        <v>20</v>
      </c>
      <c r="FB18">
        <v>20</v>
      </c>
      <c r="FC18" t="s">
        <v>170</v>
      </c>
      <c r="FD18" t="s">
        <v>177</v>
      </c>
      <c r="FE18" t="s">
        <v>178</v>
      </c>
      <c r="FF18" t="s">
        <v>178</v>
      </c>
      <c r="FG18" t="s">
        <v>178</v>
      </c>
      <c r="FH18" t="s">
        <v>178</v>
      </c>
      <c r="FI18" t="s">
        <v>178</v>
      </c>
      <c r="FJ18" t="s">
        <v>178</v>
      </c>
      <c r="FK18" t="s">
        <v>178</v>
      </c>
      <c r="FL18" t="s">
        <v>178</v>
      </c>
      <c r="FM18" t="s">
        <v>178</v>
      </c>
      <c r="FN18" t="s">
        <v>178</v>
      </c>
      <c r="FO18" t="s">
        <v>178</v>
      </c>
      <c r="FP18" t="s">
        <v>178</v>
      </c>
    </row>
    <row r="19" spans="1:172" ht="19" x14ac:dyDescent="0.2">
      <c r="A19" s="128" t="s">
        <v>152</v>
      </c>
      <c r="B19" t="s">
        <v>197</v>
      </c>
      <c r="C19">
        <v>2008</v>
      </c>
      <c r="D19" t="str">
        <f t="shared" si="4"/>
        <v>10.1016/j.epsl.2008.04.015</v>
      </c>
      <c r="E19" s="155">
        <f t="shared" si="5"/>
        <v>24.8</v>
      </c>
      <c r="F19" s="132" t="str">
        <f t="shared" si="6"/>
        <v>NA</v>
      </c>
      <c r="G19" s="132" t="str">
        <f t="shared" si="7"/>
        <v>NA</v>
      </c>
      <c r="H19" s="133">
        <f t="shared" si="8"/>
        <v>223</v>
      </c>
      <c r="I19" s="133">
        <f t="shared" si="9"/>
        <v>20</v>
      </c>
      <c r="J19" s="133">
        <f t="shared" si="10"/>
        <v>20</v>
      </c>
      <c r="K19" t="s">
        <v>198</v>
      </c>
      <c r="L19" s="134" t="s">
        <v>199</v>
      </c>
      <c r="M19" s="146" t="s">
        <v>200</v>
      </c>
      <c r="N19" s="147" t="s">
        <v>201</v>
      </c>
      <c r="O19" t="s">
        <v>156</v>
      </c>
      <c r="P19" t="s">
        <v>157</v>
      </c>
      <c r="Q19" t="s">
        <v>161</v>
      </c>
      <c r="R19" t="s">
        <v>161</v>
      </c>
      <c r="S19" t="s">
        <v>161</v>
      </c>
      <c r="T19" t="s">
        <v>161</v>
      </c>
      <c r="U19" s="135" t="s">
        <v>161</v>
      </c>
      <c r="V19">
        <v>1.1299999999999999</v>
      </c>
      <c r="W19" t="s">
        <v>161</v>
      </c>
      <c r="X19" t="s">
        <v>158</v>
      </c>
      <c r="Y19" s="136">
        <v>12.75</v>
      </c>
      <c r="Z19" s="136">
        <v>-78.73</v>
      </c>
      <c r="AA19" s="136">
        <v>12.75</v>
      </c>
      <c r="AB19" s="136">
        <v>-78.73</v>
      </c>
      <c r="AC19" s="136">
        <v>-2827</v>
      </c>
      <c r="AD19" s="136">
        <v>-2827</v>
      </c>
      <c r="AE19" t="s">
        <v>159</v>
      </c>
      <c r="AF19" t="s">
        <v>160</v>
      </c>
      <c r="AG19" s="148">
        <v>24.8</v>
      </c>
      <c r="AH19" s="3" t="s">
        <v>161</v>
      </c>
      <c r="AI19" t="s">
        <v>161</v>
      </c>
      <c r="AJ19" t="s">
        <v>161</v>
      </c>
      <c r="AK19" t="s">
        <v>161</v>
      </c>
      <c r="AL19" t="s">
        <v>161</v>
      </c>
      <c r="AM19" s="137" t="s">
        <v>202</v>
      </c>
      <c r="AN19" t="s">
        <v>161</v>
      </c>
      <c r="AO19" t="s">
        <v>161</v>
      </c>
      <c r="AP19" t="s">
        <v>161</v>
      </c>
      <c r="AQ19" t="s">
        <v>161</v>
      </c>
      <c r="AR19" t="s">
        <v>161</v>
      </c>
      <c r="AS19" t="s">
        <v>161</v>
      </c>
      <c r="AT19" t="s">
        <v>161</v>
      </c>
      <c r="AU19" t="s">
        <v>162</v>
      </c>
      <c r="AV19" t="s">
        <v>163</v>
      </c>
      <c r="AW19" t="s">
        <v>164</v>
      </c>
      <c r="AX19" s="138" t="s">
        <v>165</v>
      </c>
      <c r="AY19" t="s">
        <v>203</v>
      </c>
      <c r="AZ19" t="s">
        <v>166</v>
      </c>
      <c r="BA19" t="s">
        <v>167</v>
      </c>
      <c r="BB19" t="s">
        <v>216</v>
      </c>
      <c r="BC19">
        <v>2</v>
      </c>
      <c r="BD19" s="139">
        <v>0.16000000000000014</v>
      </c>
      <c r="BE19" s="139">
        <v>21.509999999999998</v>
      </c>
      <c r="BF19" t="s">
        <v>169</v>
      </c>
      <c r="BG19">
        <v>0.25</v>
      </c>
      <c r="BH19">
        <v>1</v>
      </c>
      <c r="BI19" t="s">
        <v>161</v>
      </c>
      <c r="BJ19" s="3" t="s">
        <v>161</v>
      </c>
      <c r="BK19">
        <v>0.8</v>
      </c>
      <c r="BL19" t="s">
        <v>161</v>
      </c>
      <c r="BM19" t="s">
        <v>161</v>
      </c>
      <c r="BN19" t="s">
        <v>233</v>
      </c>
      <c r="BO19" s="149" t="s">
        <v>234</v>
      </c>
      <c r="BP19" s="150" t="s">
        <v>161</v>
      </c>
      <c r="BQ19" s="150" t="s">
        <v>161</v>
      </c>
      <c r="BR19" s="150" t="s">
        <v>161</v>
      </c>
      <c r="BS19" s="150" t="s">
        <v>161</v>
      </c>
      <c r="BT19" s="150" t="s">
        <v>161</v>
      </c>
      <c r="BU19" s="150" t="s">
        <v>235</v>
      </c>
      <c r="BV19" s="150" t="s">
        <v>171</v>
      </c>
      <c r="BW19" s="150" t="s">
        <v>171</v>
      </c>
      <c r="BX19" s="152">
        <v>26.2</v>
      </c>
      <c r="BY19" t="s">
        <v>161</v>
      </c>
      <c r="BZ19" t="s">
        <v>161</v>
      </c>
      <c r="CA19" t="s">
        <v>161</v>
      </c>
      <c r="CB19" t="s">
        <v>239</v>
      </c>
      <c r="CC19" t="s">
        <v>161</v>
      </c>
      <c r="CD19" t="s">
        <v>161</v>
      </c>
      <c r="CE19" t="s">
        <v>161</v>
      </c>
      <c r="CF19" t="s">
        <v>161</v>
      </c>
      <c r="CG19" t="s">
        <v>161</v>
      </c>
      <c r="CH19" t="s">
        <v>161</v>
      </c>
      <c r="CI19" t="s">
        <v>161</v>
      </c>
      <c r="CJ19" t="s">
        <v>161</v>
      </c>
      <c r="CK19" t="s">
        <v>161</v>
      </c>
      <c r="CL19" t="s">
        <v>161</v>
      </c>
      <c r="CM19" t="s">
        <v>161</v>
      </c>
      <c r="CN19" t="s">
        <v>161</v>
      </c>
      <c r="CO19" t="s">
        <v>161</v>
      </c>
      <c r="CP19" t="s">
        <v>161</v>
      </c>
      <c r="CQ19" t="s">
        <v>161</v>
      </c>
      <c r="CR19" t="s">
        <v>161</v>
      </c>
      <c r="CS19" t="s">
        <v>161</v>
      </c>
      <c r="CT19" t="s">
        <v>161</v>
      </c>
      <c r="CU19" s="141">
        <v>37.1</v>
      </c>
      <c r="CV19" t="s">
        <v>161</v>
      </c>
      <c r="CW19" t="s">
        <v>161</v>
      </c>
      <c r="CX19" s="153" t="s">
        <v>161</v>
      </c>
      <c r="CY19" t="s">
        <v>172</v>
      </c>
      <c r="CZ19" t="s">
        <v>173</v>
      </c>
      <c r="DA19" t="s">
        <v>173</v>
      </c>
      <c r="DB19" t="s">
        <v>173</v>
      </c>
      <c r="DC19" t="s">
        <v>172</v>
      </c>
      <c r="DD19" t="s">
        <v>173</v>
      </c>
      <c r="DE19" t="s">
        <v>173</v>
      </c>
      <c r="DF19" t="s">
        <v>173</v>
      </c>
      <c r="DG19" t="s">
        <v>172</v>
      </c>
      <c r="DH19" t="s">
        <v>173</v>
      </c>
      <c r="DI19" t="s">
        <v>173</v>
      </c>
      <c r="DJ19" t="s">
        <v>173</v>
      </c>
      <c r="DK19" s="137">
        <v>416</v>
      </c>
      <c r="DL19" t="s">
        <v>161</v>
      </c>
      <c r="DM19" s="137" t="s">
        <v>161</v>
      </c>
      <c r="DN19" t="s">
        <v>236</v>
      </c>
      <c r="DO19">
        <v>39.5</v>
      </c>
      <c r="DP19" t="s">
        <v>174</v>
      </c>
      <c r="DQ19" t="s">
        <v>161</v>
      </c>
      <c r="DR19" t="s">
        <v>233</v>
      </c>
      <c r="DS19" t="s">
        <v>161</v>
      </c>
      <c r="DT19" t="s">
        <v>161</v>
      </c>
      <c r="DU19">
        <v>16.027200000000001</v>
      </c>
      <c r="DV19" t="s">
        <v>175</v>
      </c>
      <c r="DW19" t="s">
        <v>175</v>
      </c>
      <c r="DX19" t="s">
        <v>182</v>
      </c>
      <c r="DY19" t="s">
        <v>175</v>
      </c>
      <c r="DZ19" t="s">
        <v>175</v>
      </c>
      <c r="EA19" t="s">
        <v>237</v>
      </c>
      <c r="EB19" t="s">
        <v>161</v>
      </c>
      <c r="EC19" t="s">
        <v>238</v>
      </c>
      <c r="ED19" t="s">
        <v>238</v>
      </c>
      <c r="EE19" t="s">
        <v>161</v>
      </c>
      <c r="EF19" t="s">
        <v>161</v>
      </c>
      <c r="EG19" t="s">
        <v>161</v>
      </c>
      <c r="EH19" t="s">
        <v>240</v>
      </c>
      <c r="EI19" t="s">
        <v>241</v>
      </c>
      <c r="EJ19" t="s">
        <v>161</v>
      </c>
      <c r="EK19">
        <v>338</v>
      </c>
      <c r="EL19" t="s">
        <v>161</v>
      </c>
      <c r="EM19" t="s">
        <v>161</v>
      </c>
      <c r="EN19" t="s">
        <v>161</v>
      </c>
      <c r="EO19" t="s">
        <v>161</v>
      </c>
      <c r="EP19" t="s">
        <v>161</v>
      </c>
      <c r="EQ19" t="s">
        <v>161</v>
      </c>
      <c r="ER19" t="s">
        <v>161</v>
      </c>
      <c r="ES19">
        <v>8.2520000000000007</v>
      </c>
      <c r="ET19" s="140" t="s">
        <v>176</v>
      </c>
      <c r="EU19" s="140" t="s">
        <v>161</v>
      </c>
      <c r="EV19" s="140" t="s">
        <v>161</v>
      </c>
      <c r="EW19">
        <v>223</v>
      </c>
      <c r="EX19" s="140" t="s">
        <v>161</v>
      </c>
      <c r="EY19" t="s">
        <v>161</v>
      </c>
      <c r="EZ19" s="133">
        <f t="shared" si="3"/>
        <v>223</v>
      </c>
      <c r="FA19">
        <v>20</v>
      </c>
      <c r="FB19">
        <v>20</v>
      </c>
      <c r="FC19" t="s">
        <v>170</v>
      </c>
      <c r="FD19" t="s">
        <v>177</v>
      </c>
      <c r="FE19" t="s">
        <v>178</v>
      </c>
      <c r="FF19" t="s">
        <v>178</v>
      </c>
      <c r="FG19" t="s">
        <v>178</v>
      </c>
      <c r="FH19" t="s">
        <v>178</v>
      </c>
      <c r="FI19" t="s">
        <v>178</v>
      </c>
      <c r="FJ19" t="s">
        <v>178</v>
      </c>
      <c r="FK19" t="s">
        <v>178</v>
      </c>
      <c r="FL19" t="s">
        <v>178</v>
      </c>
      <c r="FM19" t="s">
        <v>178</v>
      </c>
      <c r="FN19" t="s">
        <v>178</v>
      </c>
      <c r="FO19" t="s">
        <v>178</v>
      </c>
      <c r="FP19" t="s">
        <v>178</v>
      </c>
    </row>
    <row r="20" spans="1:172" ht="19" x14ac:dyDescent="0.2">
      <c r="A20" s="128" t="s">
        <v>152</v>
      </c>
      <c r="B20" t="s">
        <v>197</v>
      </c>
      <c r="C20">
        <v>2008</v>
      </c>
      <c r="D20" t="str">
        <f t="shared" si="4"/>
        <v>10.1016/j.epsl.2008.04.015</v>
      </c>
      <c r="E20" s="155">
        <f t="shared" si="5"/>
        <v>26.3</v>
      </c>
      <c r="F20" s="132" t="str">
        <f t="shared" si="6"/>
        <v>NA</v>
      </c>
      <c r="G20" s="132" t="str">
        <f t="shared" si="7"/>
        <v>NA</v>
      </c>
      <c r="H20" s="133">
        <f t="shared" si="8"/>
        <v>215</v>
      </c>
      <c r="I20" s="133">
        <f t="shared" si="9"/>
        <v>20</v>
      </c>
      <c r="J20" s="133">
        <f t="shared" si="10"/>
        <v>20</v>
      </c>
      <c r="K20" t="s">
        <v>198</v>
      </c>
      <c r="L20" s="134" t="s">
        <v>199</v>
      </c>
      <c r="M20" s="146" t="s">
        <v>200</v>
      </c>
      <c r="N20" s="147" t="s">
        <v>201</v>
      </c>
      <c r="O20" t="s">
        <v>156</v>
      </c>
      <c r="P20" t="s">
        <v>157</v>
      </c>
      <c r="Q20" t="s">
        <v>161</v>
      </c>
      <c r="R20" t="s">
        <v>161</v>
      </c>
      <c r="S20" t="s">
        <v>161</v>
      </c>
      <c r="T20" t="s">
        <v>161</v>
      </c>
      <c r="U20" s="135" t="s">
        <v>161</v>
      </c>
      <c r="V20">
        <v>1.2</v>
      </c>
      <c r="W20" t="s">
        <v>161</v>
      </c>
      <c r="X20" t="s">
        <v>158</v>
      </c>
      <c r="Y20" s="136">
        <v>12.75</v>
      </c>
      <c r="Z20" s="136">
        <v>-78.73</v>
      </c>
      <c r="AA20" s="136">
        <v>12.75</v>
      </c>
      <c r="AB20" s="136">
        <v>-78.73</v>
      </c>
      <c r="AC20" s="136">
        <v>-2827</v>
      </c>
      <c r="AD20" s="136">
        <v>-2827</v>
      </c>
      <c r="AE20" t="s">
        <v>159</v>
      </c>
      <c r="AF20" t="s">
        <v>160</v>
      </c>
      <c r="AG20" s="148">
        <v>26.3</v>
      </c>
      <c r="AH20" s="3" t="s">
        <v>161</v>
      </c>
      <c r="AI20" t="s">
        <v>161</v>
      </c>
      <c r="AJ20" t="s">
        <v>161</v>
      </c>
      <c r="AK20" t="s">
        <v>161</v>
      </c>
      <c r="AL20" t="s">
        <v>161</v>
      </c>
      <c r="AM20" s="137" t="s">
        <v>202</v>
      </c>
      <c r="AN20" t="s">
        <v>161</v>
      </c>
      <c r="AO20" t="s">
        <v>161</v>
      </c>
      <c r="AP20" t="s">
        <v>161</v>
      </c>
      <c r="AQ20" t="s">
        <v>161</v>
      </c>
      <c r="AR20" t="s">
        <v>161</v>
      </c>
      <c r="AS20" t="s">
        <v>161</v>
      </c>
      <c r="AT20" t="s">
        <v>161</v>
      </c>
      <c r="AU20" t="s">
        <v>162</v>
      </c>
      <c r="AV20" t="s">
        <v>163</v>
      </c>
      <c r="AW20" t="s">
        <v>164</v>
      </c>
      <c r="AX20" s="138" t="s">
        <v>165</v>
      </c>
      <c r="AY20" t="s">
        <v>203</v>
      </c>
      <c r="AZ20" t="s">
        <v>166</v>
      </c>
      <c r="BA20" t="s">
        <v>167</v>
      </c>
      <c r="BB20" t="s">
        <v>217</v>
      </c>
      <c r="BC20">
        <v>2</v>
      </c>
      <c r="BD20" s="139">
        <v>0.14999999999999855</v>
      </c>
      <c r="BE20" s="139">
        <v>21.625</v>
      </c>
      <c r="BF20" t="s">
        <v>169</v>
      </c>
      <c r="BG20">
        <v>0.25</v>
      </c>
      <c r="BH20">
        <v>1</v>
      </c>
      <c r="BI20" t="s">
        <v>161</v>
      </c>
      <c r="BJ20" s="3" t="s">
        <v>161</v>
      </c>
      <c r="BK20">
        <v>0.8</v>
      </c>
      <c r="BL20" t="s">
        <v>161</v>
      </c>
      <c r="BM20" t="s">
        <v>161</v>
      </c>
      <c r="BN20" t="s">
        <v>233</v>
      </c>
      <c r="BO20" s="149" t="s">
        <v>234</v>
      </c>
      <c r="BP20" s="150" t="s">
        <v>161</v>
      </c>
      <c r="BQ20" s="150" t="s">
        <v>161</v>
      </c>
      <c r="BR20" s="150" t="s">
        <v>161</v>
      </c>
      <c r="BS20" s="150" t="s">
        <v>161</v>
      </c>
      <c r="BT20" s="150" t="s">
        <v>161</v>
      </c>
      <c r="BU20" s="150" t="s">
        <v>235</v>
      </c>
      <c r="BV20" s="150" t="s">
        <v>171</v>
      </c>
      <c r="BW20" s="150" t="s">
        <v>171</v>
      </c>
      <c r="BX20" s="152">
        <v>26.1</v>
      </c>
      <c r="BY20" t="s">
        <v>161</v>
      </c>
      <c r="BZ20" t="s">
        <v>161</v>
      </c>
      <c r="CA20" t="s">
        <v>161</v>
      </c>
      <c r="CB20" t="s">
        <v>239</v>
      </c>
      <c r="CC20" t="s">
        <v>161</v>
      </c>
      <c r="CD20" t="s">
        <v>161</v>
      </c>
      <c r="CE20" t="s">
        <v>161</v>
      </c>
      <c r="CF20" t="s">
        <v>161</v>
      </c>
      <c r="CG20" t="s">
        <v>161</v>
      </c>
      <c r="CH20" t="s">
        <v>161</v>
      </c>
      <c r="CI20" t="s">
        <v>161</v>
      </c>
      <c r="CJ20" t="s">
        <v>161</v>
      </c>
      <c r="CK20" t="s">
        <v>161</v>
      </c>
      <c r="CL20" t="s">
        <v>161</v>
      </c>
      <c r="CM20" t="s">
        <v>161</v>
      </c>
      <c r="CN20" t="s">
        <v>161</v>
      </c>
      <c r="CO20" t="s">
        <v>161</v>
      </c>
      <c r="CP20" t="s">
        <v>161</v>
      </c>
      <c r="CQ20" t="s">
        <v>161</v>
      </c>
      <c r="CR20" t="s">
        <v>161</v>
      </c>
      <c r="CS20" t="s">
        <v>161</v>
      </c>
      <c r="CT20" t="s">
        <v>161</v>
      </c>
      <c r="CU20" s="141">
        <v>36.799999999999997</v>
      </c>
      <c r="CV20" t="s">
        <v>161</v>
      </c>
      <c r="CW20" t="s">
        <v>161</v>
      </c>
      <c r="CX20" s="153" t="s">
        <v>161</v>
      </c>
      <c r="CY20" t="s">
        <v>172</v>
      </c>
      <c r="CZ20" t="s">
        <v>173</v>
      </c>
      <c r="DA20" t="s">
        <v>173</v>
      </c>
      <c r="DB20" t="s">
        <v>173</v>
      </c>
      <c r="DC20" t="s">
        <v>172</v>
      </c>
      <c r="DD20" t="s">
        <v>173</v>
      </c>
      <c r="DE20" t="s">
        <v>173</v>
      </c>
      <c r="DF20" t="s">
        <v>173</v>
      </c>
      <c r="DG20" t="s">
        <v>172</v>
      </c>
      <c r="DH20" t="s">
        <v>173</v>
      </c>
      <c r="DI20" t="s">
        <v>173</v>
      </c>
      <c r="DJ20" t="s">
        <v>173</v>
      </c>
      <c r="DK20" s="137">
        <v>416</v>
      </c>
      <c r="DL20" t="s">
        <v>161</v>
      </c>
      <c r="DM20" s="137" t="s">
        <v>161</v>
      </c>
      <c r="DN20" t="s">
        <v>236</v>
      </c>
      <c r="DO20">
        <v>39.5</v>
      </c>
      <c r="DP20" t="s">
        <v>174</v>
      </c>
      <c r="DQ20" t="s">
        <v>161</v>
      </c>
      <c r="DR20" t="s">
        <v>233</v>
      </c>
      <c r="DS20" t="s">
        <v>161</v>
      </c>
      <c r="DT20" t="s">
        <v>161</v>
      </c>
      <c r="DU20">
        <v>17.027200000000001</v>
      </c>
      <c r="DV20" t="s">
        <v>175</v>
      </c>
      <c r="DW20" t="s">
        <v>175</v>
      </c>
      <c r="DX20" t="s">
        <v>182</v>
      </c>
      <c r="DY20" t="s">
        <v>175</v>
      </c>
      <c r="DZ20" t="s">
        <v>175</v>
      </c>
      <c r="EA20" t="s">
        <v>237</v>
      </c>
      <c r="EB20" t="s">
        <v>161</v>
      </c>
      <c r="EC20" t="s">
        <v>238</v>
      </c>
      <c r="ED20" t="s">
        <v>238</v>
      </c>
      <c r="EE20" t="s">
        <v>161</v>
      </c>
      <c r="EF20" t="s">
        <v>161</v>
      </c>
      <c r="EG20" t="s">
        <v>161</v>
      </c>
      <c r="EH20" t="s">
        <v>240</v>
      </c>
      <c r="EI20" t="s">
        <v>241</v>
      </c>
      <c r="EJ20" t="s">
        <v>161</v>
      </c>
      <c r="EK20">
        <v>340</v>
      </c>
      <c r="EL20" t="s">
        <v>161</v>
      </c>
      <c r="EM20" t="s">
        <v>161</v>
      </c>
      <c r="EN20" t="s">
        <v>161</v>
      </c>
      <c r="EO20" t="s">
        <v>161</v>
      </c>
      <c r="EP20" t="s">
        <v>161</v>
      </c>
      <c r="EQ20" t="s">
        <v>161</v>
      </c>
      <c r="ER20" t="s">
        <v>161</v>
      </c>
      <c r="ES20">
        <v>8.2620000000000005</v>
      </c>
      <c r="ET20" s="140" t="s">
        <v>176</v>
      </c>
      <c r="EU20" s="140" t="s">
        <v>161</v>
      </c>
      <c r="EV20" s="140" t="s">
        <v>161</v>
      </c>
      <c r="EW20">
        <v>215</v>
      </c>
      <c r="EX20" s="140" t="s">
        <v>161</v>
      </c>
      <c r="EY20" t="s">
        <v>161</v>
      </c>
      <c r="EZ20" s="133">
        <f t="shared" si="3"/>
        <v>215</v>
      </c>
      <c r="FA20">
        <v>20</v>
      </c>
      <c r="FB20">
        <v>20</v>
      </c>
      <c r="FC20" t="s">
        <v>170</v>
      </c>
      <c r="FD20" t="s">
        <v>177</v>
      </c>
      <c r="FE20" t="s">
        <v>178</v>
      </c>
      <c r="FF20" t="s">
        <v>178</v>
      </c>
      <c r="FG20" t="s">
        <v>178</v>
      </c>
      <c r="FH20" t="s">
        <v>178</v>
      </c>
      <c r="FI20" t="s">
        <v>178</v>
      </c>
      <c r="FJ20" t="s">
        <v>178</v>
      </c>
      <c r="FK20" t="s">
        <v>178</v>
      </c>
      <c r="FL20" t="s">
        <v>178</v>
      </c>
      <c r="FM20" t="s">
        <v>178</v>
      </c>
      <c r="FN20" t="s">
        <v>178</v>
      </c>
      <c r="FO20" t="s">
        <v>178</v>
      </c>
      <c r="FP20" t="s">
        <v>178</v>
      </c>
    </row>
    <row r="21" spans="1:172" ht="19" x14ac:dyDescent="0.2">
      <c r="A21" s="128" t="s">
        <v>152</v>
      </c>
      <c r="B21" t="s">
        <v>197</v>
      </c>
      <c r="C21">
        <v>2008</v>
      </c>
      <c r="D21" t="str">
        <f t="shared" si="4"/>
        <v>10.1016/j.epsl.2008.04.015</v>
      </c>
      <c r="E21" s="155">
        <f t="shared" si="5"/>
        <v>26.3</v>
      </c>
      <c r="F21" s="132" t="str">
        <f t="shared" si="6"/>
        <v>NA</v>
      </c>
      <c r="G21" s="132" t="str">
        <f t="shared" si="7"/>
        <v>NA</v>
      </c>
      <c r="H21" s="133">
        <f t="shared" si="8"/>
        <v>212</v>
      </c>
      <c r="I21" s="133">
        <f t="shared" si="9"/>
        <v>20</v>
      </c>
      <c r="J21" s="133">
        <f t="shared" si="10"/>
        <v>20</v>
      </c>
      <c r="K21" t="s">
        <v>198</v>
      </c>
      <c r="L21" s="134" t="s">
        <v>199</v>
      </c>
      <c r="M21" s="146" t="s">
        <v>200</v>
      </c>
      <c r="N21" s="147" t="s">
        <v>201</v>
      </c>
      <c r="O21" t="s">
        <v>156</v>
      </c>
      <c r="P21" t="s">
        <v>157</v>
      </c>
      <c r="Q21" t="s">
        <v>161</v>
      </c>
      <c r="R21" t="s">
        <v>161</v>
      </c>
      <c r="S21" t="s">
        <v>161</v>
      </c>
      <c r="T21" t="s">
        <v>161</v>
      </c>
      <c r="U21" s="135" t="s">
        <v>161</v>
      </c>
      <c r="V21">
        <v>1.2</v>
      </c>
      <c r="W21" t="s">
        <v>161</v>
      </c>
      <c r="X21" t="s">
        <v>158</v>
      </c>
      <c r="Y21" s="136">
        <v>12.75</v>
      </c>
      <c r="Z21" s="136">
        <v>-78.73</v>
      </c>
      <c r="AA21" s="136">
        <v>12.75</v>
      </c>
      <c r="AB21" s="136">
        <v>-78.73</v>
      </c>
      <c r="AC21" s="136">
        <v>-2827</v>
      </c>
      <c r="AD21" s="136">
        <v>-2827</v>
      </c>
      <c r="AE21" t="s">
        <v>159</v>
      </c>
      <c r="AF21" t="s">
        <v>160</v>
      </c>
      <c r="AG21" s="148">
        <v>26.3</v>
      </c>
      <c r="AH21" s="3" t="s">
        <v>161</v>
      </c>
      <c r="AI21" t="s">
        <v>161</v>
      </c>
      <c r="AJ21" t="s">
        <v>161</v>
      </c>
      <c r="AK21" t="s">
        <v>161</v>
      </c>
      <c r="AL21" t="s">
        <v>161</v>
      </c>
      <c r="AM21" s="137" t="s">
        <v>202</v>
      </c>
      <c r="AN21" t="s">
        <v>161</v>
      </c>
      <c r="AO21" t="s">
        <v>161</v>
      </c>
      <c r="AP21" t="s">
        <v>161</v>
      </c>
      <c r="AQ21" t="s">
        <v>161</v>
      </c>
      <c r="AR21" t="s">
        <v>161</v>
      </c>
      <c r="AS21" t="s">
        <v>161</v>
      </c>
      <c r="AT21" t="s">
        <v>161</v>
      </c>
      <c r="AU21" t="s">
        <v>162</v>
      </c>
      <c r="AV21" t="s">
        <v>163</v>
      </c>
      <c r="AW21" t="s">
        <v>164</v>
      </c>
      <c r="AX21" s="138" t="s">
        <v>165</v>
      </c>
      <c r="AY21" t="s">
        <v>203</v>
      </c>
      <c r="AZ21" t="s">
        <v>166</v>
      </c>
      <c r="BA21" t="s">
        <v>167</v>
      </c>
      <c r="BB21" t="s">
        <v>218</v>
      </c>
      <c r="BC21">
        <v>2</v>
      </c>
      <c r="BD21" s="139">
        <v>0.21000000000000085</v>
      </c>
      <c r="BE21" s="139">
        <v>21.695</v>
      </c>
      <c r="BF21" t="s">
        <v>169</v>
      </c>
      <c r="BG21">
        <v>0.25</v>
      </c>
      <c r="BH21">
        <v>1</v>
      </c>
      <c r="BI21" t="s">
        <v>161</v>
      </c>
      <c r="BJ21" s="3" t="s">
        <v>161</v>
      </c>
      <c r="BK21">
        <v>0.8</v>
      </c>
      <c r="BL21" t="s">
        <v>161</v>
      </c>
      <c r="BM21" t="s">
        <v>161</v>
      </c>
      <c r="BN21" t="s">
        <v>233</v>
      </c>
      <c r="BO21" s="149" t="s">
        <v>234</v>
      </c>
      <c r="BP21" s="150" t="s">
        <v>161</v>
      </c>
      <c r="BQ21" s="150" t="s">
        <v>161</v>
      </c>
      <c r="BR21" s="150" t="s">
        <v>161</v>
      </c>
      <c r="BS21" s="150" t="s">
        <v>161</v>
      </c>
      <c r="BT21" s="150" t="s">
        <v>161</v>
      </c>
      <c r="BU21" s="150" t="s">
        <v>235</v>
      </c>
      <c r="BV21" s="150" t="s">
        <v>171</v>
      </c>
      <c r="BW21" s="150" t="s">
        <v>171</v>
      </c>
      <c r="BX21" s="152">
        <v>26.1</v>
      </c>
      <c r="BY21" t="s">
        <v>161</v>
      </c>
      <c r="BZ21" t="s">
        <v>161</v>
      </c>
      <c r="CA21" t="s">
        <v>161</v>
      </c>
      <c r="CB21" t="s">
        <v>239</v>
      </c>
      <c r="CC21" t="s">
        <v>161</v>
      </c>
      <c r="CD21" t="s">
        <v>161</v>
      </c>
      <c r="CE21" t="s">
        <v>161</v>
      </c>
      <c r="CF21" t="s">
        <v>161</v>
      </c>
      <c r="CG21" t="s">
        <v>161</v>
      </c>
      <c r="CH21" t="s">
        <v>161</v>
      </c>
      <c r="CI21" t="s">
        <v>161</v>
      </c>
      <c r="CJ21" t="s">
        <v>161</v>
      </c>
      <c r="CK21" t="s">
        <v>161</v>
      </c>
      <c r="CL21" t="s">
        <v>161</v>
      </c>
      <c r="CM21" t="s">
        <v>161</v>
      </c>
      <c r="CN21" t="s">
        <v>161</v>
      </c>
      <c r="CO21" t="s">
        <v>161</v>
      </c>
      <c r="CP21" t="s">
        <v>161</v>
      </c>
      <c r="CQ21" t="s">
        <v>161</v>
      </c>
      <c r="CR21" t="s">
        <v>161</v>
      </c>
      <c r="CS21" t="s">
        <v>161</v>
      </c>
      <c r="CT21" t="s">
        <v>161</v>
      </c>
      <c r="CU21" s="141">
        <v>36.799999999999997</v>
      </c>
      <c r="CV21" t="s">
        <v>161</v>
      </c>
      <c r="CW21" t="s">
        <v>161</v>
      </c>
      <c r="CX21" s="153" t="s">
        <v>161</v>
      </c>
      <c r="CY21" t="s">
        <v>172</v>
      </c>
      <c r="CZ21" t="s">
        <v>173</v>
      </c>
      <c r="DA21" t="s">
        <v>173</v>
      </c>
      <c r="DB21" t="s">
        <v>173</v>
      </c>
      <c r="DC21" t="s">
        <v>172</v>
      </c>
      <c r="DD21" t="s">
        <v>173</v>
      </c>
      <c r="DE21" t="s">
        <v>173</v>
      </c>
      <c r="DF21" t="s">
        <v>173</v>
      </c>
      <c r="DG21" t="s">
        <v>172</v>
      </c>
      <c r="DH21" t="s">
        <v>173</v>
      </c>
      <c r="DI21" t="s">
        <v>173</v>
      </c>
      <c r="DJ21" t="s">
        <v>173</v>
      </c>
      <c r="DK21" s="137">
        <v>416</v>
      </c>
      <c r="DL21" t="s">
        <v>161</v>
      </c>
      <c r="DM21" s="137" t="s">
        <v>161</v>
      </c>
      <c r="DN21" t="s">
        <v>236</v>
      </c>
      <c r="DO21">
        <v>39.5</v>
      </c>
      <c r="DP21" t="s">
        <v>174</v>
      </c>
      <c r="DQ21" t="s">
        <v>161</v>
      </c>
      <c r="DR21" t="s">
        <v>233</v>
      </c>
      <c r="DS21" t="s">
        <v>161</v>
      </c>
      <c r="DT21" t="s">
        <v>161</v>
      </c>
      <c r="DU21">
        <v>18.027200000000001</v>
      </c>
      <c r="DV21" t="s">
        <v>175</v>
      </c>
      <c r="DW21" t="s">
        <v>175</v>
      </c>
      <c r="DX21" t="s">
        <v>182</v>
      </c>
      <c r="DY21" t="s">
        <v>175</v>
      </c>
      <c r="DZ21" t="s">
        <v>175</v>
      </c>
      <c r="EA21" t="s">
        <v>237</v>
      </c>
      <c r="EB21" t="s">
        <v>161</v>
      </c>
      <c r="EC21" t="s">
        <v>238</v>
      </c>
      <c r="ED21" t="s">
        <v>238</v>
      </c>
      <c r="EE21" t="s">
        <v>161</v>
      </c>
      <c r="EF21" t="s">
        <v>161</v>
      </c>
      <c r="EG21" t="s">
        <v>161</v>
      </c>
      <c r="EH21" t="s">
        <v>240</v>
      </c>
      <c r="EI21" t="s">
        <v>241</v>
      </c>
      <c r="EJ21" t="s">
        <v>161</v>
      </c>
      <c r="EK21">
        <v>343</v>
      </c>
      <c r="EL21" t="s">
        <v>161</v>
      </c>
      <c r="EM21" t="s">
        <v>161</v>
      </c>
      <c r="EN21" t="s">
        <v>161</v>
      </c>
      <c r="EO21" t="s">
        <v>161</v>
      </c>
      <c r="EP21" t="s">
        <v>161</v>
      </c>
      <c r="EQ21" t="s">
        <v>161</v>
      </c>
      <c r="ER21" t="s">
        <v>161</v>
      </c>
      <c r="ES21">
        <v>8.2669999999999995</v>
      </c>
      <c r="ET21" s="140" t="s">
        <v>176</v>
      </c>
      <c r="EU21" s="140" t="s">
        <v>161</v>
      </c>
      <c r="EV21" s="140" t="s">
        <v>161</v>
      </c>
      <c r="EW21">
        <v>212</v>
      </c>
      <c r="EX21" s="140" t="s">
        <v>161</v>
      </c>
      <c r="EY21" t="s">
        <v>161</v>
      </c>
      <c r="EZ21" s="133">
        <f t="shared" si="3"/>
        <v>212</v>
      </c>
      <c r="FA21">
        <v>20</v>
      </c>
      <c r="FB21">
        <v>20</v>
      </c>
      <c r="FC21" t="s">
        <v>170</v>
      </c>
      <c r="FD21" t="s">
        <v>177</v>
      </c>
      <c r="FE21" t="s">
        <v>178</v>
      </c>
      <c r="FF21" t="s">
        <v>178</v>
      </c>
      <c r="FG21" t="s">
        <v>178</v>
      </c>
      <c r="FH21" t="s">
        <v>178</v>
      </c>
      <c r="FI21" t="s">
        <v>178</v>
      </c>
      <c r="FJ21" t="s">
        <v>178</v>
      </c>
      <c r="FK21" t="s">
        <v>178</v>
      </c>
      <c r="FL21" t="s">
        <v>178</v>
      </c>
      <c r="FM21" t="s">
        <v>178</v>
      </c>
      <c r="FN21" t="s">
        <v>178</v>
      </c>
      <c r="FO21" t="s">
        <v>178</v>
      </c>
      <c r="FP21" t="s">
        <v>178</v>
      </c>
    </row>
    <row r="22" spans="1:172" ht="19" x14ac:dyDescent="0.2">
      <c r="A22" s="128" t="s">
        <v>152</v>
      </c>
      <c r="B22" t="s">
        <v>197</v>
      </c>
      <c r="C22">
        <v>2008</v>
      </c>
      <c r="D22" t="str">
        <f t="shared" si="4"/>
        <v>10.1016/j.epsl.2008.04.015</v>
      </c>
      <c r="E22" s="155">
        <f t="shared" si="5"/>
        <v>36.9</v>
      </c>
      <c r="F22" s="132" t="str">
        <f t="shared" si="6"/>
        <v>NA</v>
      </c>
      <c r="G22" s="132" t="str">
        <f t="shared" si="7"/>
        <v>NA</v>
      </c>
      <c r="H22" s="133">
        <f t="shared" si="8"/>
        <v>240</v>
      </c>
      <c r="I22" s="133">
        <f t="shared" si="9"/>
        <v>20</v>
      </c>
      <c r="J22" s="133">
        <f t="shared" si="10"/>
        <v>20</v>
      </c>
      <c r="K22" t="s">
        <v>198</v>
      </c>
      <c r="L22" s="134" t="s">
        <v>199</v>
      </c>
      <c r="M22" s="146" t="s">
        <v>200</v>
      </c>
      <c r="N22" s="147" t="s">
        <v>201</v>
      </c>
      <c r="O22" t="s">
        <v>156</v>
      </c>
      <c r="P22" t="s">
        <v>157</v>
      </c>
      <c r="Q22" t="s">
        <v>161</v>
      </c>
      <c r="R22" t="s">
        <v>161</v>
      </c>
      <c r="S22" t="s">
        <v>161</v>
      </c>
      <c r="T22" t="s">
        <v>161</v>
      </c>
      <c r="U22" s="135" t="s">
        <v>161</v>
      </c>
      <c r="V22">
        <v>1.72</v>
      </c>
      <c r="W22" t="s">
        <v>161</v>
      </c>
      <c r="X22" t="s">
        <v>158</v>
      </c>
      <c r="Y22" s="136">
        <v>12.75</v>
      </c>
      <c r="Z22" s="136">
        <v>-78.73</v>
      </c>
      <c r="AA22" s="136">
        <v>12.75</v>
      </c>
      <c r="AB22" s="136">
        <v>-78.73</v>
      </c>
      <c r="AC22" s="136">
        <v>-2827</v>
      </c>
      <c r="AD22" s="136">
        <v>-2827</v>
      </c>
      <c r="AE22" t="s">
        <v>159</v>
      </c>
      <c r="AF22" t="s">
        <v>160</v>
      </c>
      <c r="AG22" s="148">
        <v>36.9</v>
      </c>
      <c r="AH22" s="3" t="s">
        <v>161</v>
      </c>
      <c r="AI22" t="s">
        <v>161</v>
      </c>
      <c r="AJ22" t="s">
        <v>161</v>
      </c>
      <c r="AK22" t="s">
        <v>161</v>
      </c>
      <c r="AL22" t="s">
        <v>161</v>
      </c>
      <c r="AM22" s="137" t="s">
        <v>202</v>
      </c>
      <c r="AN22" t="s">
        <v>161</v>
      </c>
      <c r="AO22" t="s">
        <v>161</v>
      </c>
      <c r="AP22" t="s">
        <v>161</v>
      </c>
      <c r="AQ22" t="s">
        <v>161</v>
      </c>
      <c r="AR22" t="s">
        <v>161</v>
      </c>
      <c r="AS22" t="s">
        <v>161</v>
      </c>
      <c r="AT22" t="s">
        <v>161</v>
      </c>
      <c r="AU22" t="s">
        <v>162</v>
      </c>
      <c r="AV22" t="s">
        <v>163</v>
      </c>
      <c r="AW22" t="s">
        <v>164</v>
      </c>
      <c r="AX22" s="138" t="s">
        <v>165</v>
      </c>
      <c r="AY22" t="s">
        <v>203</v>
      </c>
      <c r="AZ22" t="s">
        <v>166</v>
      </c>
      <c r="BA22" t="s">
        <v>167</v>
      </c>
      <c r="BB22" t="s">
        <v>219</v>
      </c>
      <c r="BC22">
        <v>2</v>
      </c>
      <c r="BD22">
        <v>0.23999999999999844</v>
      </c>
      <c r="BE22">
        <v>21.119999999999997</v>
      </c>
      <c r="BF22" t="s">
        <v>169</v>
      </c>
      <c r="BG22">
        <v>0.25</v>
      </c>
      <c r="BH22">
        <v>1</v>
      </c>
      <c r="BI22" t="s">
        <v>161</v>
      </c>
      <c r="BJ22" s="3" t="s">
        <v>161</v>
      </c>
      <c r="BK22">
        <v>0.8</v>
      </c>
      <c r="BL22" t="s">
        <v>161</v>
      </c>
      <c r="BM22" t="s">
        <v>161</v>
      </c>
      <c r="BN22" t="s">
        <v>233</v>
      </c>
      <c r="BO22" s="149" t="s">
        <v>234</v>
      </c>
      <c r="BP22" s="150" t="s">
        <v>161</v>
      </c>
      <c r="BQ22" s="150" t="s">
        <v>161</v>
      </c>
      <c r="BR22" s="150" t="s">
        <v>161</v>
      </c>
      <c r="BS22" s="150" t="s">
        <v>161</v>
      </c>
      <c r="BT22" s="150" t="s">
        <v>161</v>
      </c>
      <c r="BU22" s="150" t="s">
        <v>235</v>
      </c>
      <c r="BV22" s="150" t="s">
        <v>171</v>
      </c>
      <c r="BW22" s="150" t="s">
        <v>171</v>
      </c>
      <c r="BX22" s="152">
        <v>26.3</v>
      </c>
      <c r="BY22" t="s">
        <v>161</v>
      </c>
      <c r="BZ22" t="s">
        <v>161</v>
      </c>
      <c r="CA22" t="s">
        <v>161</v>
      </c>
      <c r="CB22" t="s">
        <v>239</v>
      </c>
      <c r="CC22" t="s">
        <v>161</v>
      </c>
      <c r="CD22" t="s">
        <v>161</v>
      </c>
      <c r="CE22" t="s">
        <v>161</v>
      </c>
      <c r="CF22" t="s">
        <v>161</v>
      </c>
      <c r="CG22" t="s">
        <v>161</v>
      </c>
      <c r="CH22" t="s">
        <v>161</v>
      </c>
      <c r="CI22" t="s">
        <v>161</v>
      </c>
      <c r="CJ22" t="s">
        <v>161</v>
      </c>
      <c r="CK22" t="s">
        <v>161</v>
      </c>
      <c r="CL22" t="s">
        <v>161</v>
      </c>
      <c r="CM22" t="s">
        <v>161</v>
      </c>
      <c r="CN22" t="s">
        <v>161</v>
      </c>
      <c r="CO22" t="s">
        <v>161</v>
      </c>
      <c r="CP22" t="s">
        <v>161</v>
      </c>
      <c r="CQ22" t="s">
        <v>161</v>
      </c>
      <c r="CR22" t="s">
        <v>161</v>
      </c>
      <c r="CS22" t="s">
        <v>161</v>
      </c>
      <c r="CT22" t="s">
        <v>161</v>
      </c>
      <c r="CU22" s="141">
        <v>36.5</v>
      </c>
      <c r="CV22" t="s">
        <v>161</v>
      </c>
      <c r="CW22" t="s">
        <v>161</v>
      </c>
      <c r="CX22" s="153" t="s">
        <v>161</v>
      </c>
      <c r="CY22" t="s">
        <v>172</v>
      </c>
      <c r="CZ22" t="s">
        <v>173</v>
      </c>
      <c r="DA22" t="s">
        <v>173</v>
      </c>
      <c r="DB22" t="s">
        <v>173</v>
      </c>
      <c r="DC22" t="s">
        <v>172</v>
      </c>
      <c r="DD22" t="s">
        <v>173</v>
      </c>
      <c r="DE22" t="s">
        <v>173</v>
      </c>
      <c r="DF22" t="s">
        <v>173</v>
      </c>
      <c r="DG22" t="s">
        <v>172</v>
      </c>
      <c r="DH22" t="s">
        <v>173</v>
      </c>
      <c r="DI22" t="s">
        <v>173</v>
      </c>
      <c r="DJ22" t="s">
        <v>173</v>
      </c>
      <c r="DK22" s="137">
        <v>416</v>
      </c>
      <c r="DL22" t="s">
        <v>161</v>
      </c>
      <c r="DM22" s="137" t="s">
        <v>161</v>
      </c>
      <c r="DN22" t="s">
        <v>236</v>
      </c>
      <c r="DO22">
        <v>39.5</v>
      </c>
      <c r="DP22" t="s">
        <v>174</v>
      </c>
      <c r="DQ22" t="s">
        <v>161</v>
      </c>
      <c r="DR22" t="s">
        <v>233</v>
      </c>
      <c r="DS22" t="s">
        <v>161</v>
      </c>
      <c r="DT22" t="s">
        <v>161</v>
      </c>
      <c r="DU22">
        <v>19.027200000000001</v>
      </c>
      <c r="DV22" t="s">
        <v>175</v>
      </c>
      <c r="DW22" t="s">
        <v>175</v>
      </c>
      <c r="DX22" t="s">
        <v>182</v>
      </c>
      <c r="DY22" t="s">
        <v>175</v>
      </c>
      <c r="DZ22" t="s">
        <v>175</v>
      </c>
      <c r="EA22" t="s">
        <v>237</v>
      </c>
      <c r="EB22" t="s">
        <v>161</v>
      </c>
      <c r="EC22" t="s">
        <v>238</v>
      </c>
      <c r="ED22" t="s">
        <v>238</v>
      </c>
      <c r="EE22" t="s">
        <v>161</v>
      </c>
      <c r="EF22" t="s">
        <v>161</v>
      </c>
      <c r="EG22" t="s">
        <v>161</v>
      </c>
      <c r="EH22" t="s">
        <v>240</v>
      </c>
      <c r="EI22" t="s">
        <v>241</v>
      </c>
      <c r="EJ22" t="s">
        <v>161</v>
      </c>
      <c r="EK22">
        <v>318</v>
      </c>
      <c r="EL22" t="s">
        <v>161</v>
      </c>
      <c r="EM22" t="s">
        <v>161</v>
      </c>
      <c r="EN22" t="s">
        <v>161</v>
      </c>
      <c r="EO22" t="s">
        <v>161</v>
      </c>
      <c r="EP22" t="s">
        <v>161</v>
      </c>
      <c r="EQ22" t="s">
        <v>161</v>
      </c>
      <c r="ER22" t="s">
        <v>161</v>
      </c>
      <c r="ES22">
        <v>8.2249999999999996</v>
      </c>
      <c r="ET22" s="140" t="s">
        <v>176</v>
      </c>
      <c r="EU22" s="140" t="s">
        <v>161</v>
      </c>
      <c r="EV22" s="140" t="s">
        <v>161</v>
      </c>
      <c r="EW22">
        <v>240</v>
      </c>
      <c r="EX22" s="140" t="s">
        <v>161</v>
      </c>
      <c r="EY22" t="s">
        <v>161</v>
      </c>
      <c r="EZ22" s="133">
        <f t="shared" si="3"/>
        <v>240</v>
      </c>
      <c r="FA22">
        <v>20</v>
      </c>
      <c r="FB22">
        <v>20</v>
      </c>
      <c r="FC22" t="s">
        <v>170</v>
      </c>
      <c r="FD22" t="s">
        <v>177</v>
      </c>
      <c r="FE22" t="s">
        <v>178</v>
      </c>
      <c r="FF22" t="s">
        <v>178</v>
      </c>
      <c r="FG22" t="s">
        <v>178</v>
      </c>
      <c r="FH22" t="s">
        <v>178</v>
      </c>
      <c r="FI22" t="s">
        <v>178</v>
      </c>
      <c r="FJ22" t="s">
        <v>178</v>
      </c>
      <c r="FK22" t="s">
        <v>178</v>
      </c>
      <c r="FL22" t="s">
        <v>178</v>
      </c>
      <c r="FM22" t="s">
        <v>178</v>
      </c>
      <c r="FN22" t="s">
        <v>178</v>
      </c>
      <c r="FO22" t="s">
        <v>178</v>
      </c>
      <c r="FP22" t="s">
        <v>178</v>
      </c>
    </row>
    <row r="23" spans="1:172" ht="19" x14ac:dyDescent="0.2">
      <c r="A23" s="128" t="s">
        <v>152</v>
      </c>
      <c r="B23" t="s">
        <v>197</v>
      </c>
      <c r="C23">
        <v>2008</v>
      </c>
      <c r="D23" t="str">
        <f t="shared" si="4"/>
        <v>10.1016/j.epsl.2008.04.015</v>
      </c>
      <c r="E23" s="155">
        <f t="shared" si="5"/>
        <v>47.1</v>
      </c>
      <c r="F23" s="132" t="str">
        <f t="shared" si="6"/>
        <v>NA</v>
      </c>
      <c r="G23" s="132" t="str">
        <f t="shared" si="7"/>
        <v>NA</v>
      </c>
      <c r="H23" s="133">
        <f t="shared" si="8"/>
        <v>235</v>
      </c>
      <c r="I23" s="133">
        <f t="shared" si="9"/>
        <v>20</v>
      </c>
      <c r="J23" s="133">
        <f t="shared" si="10"/>
        <v>20</v>
      </c>
      <c r="K23" t="s">
        <v>198</v>
      </c>
      <c r="L23" s="134" t="s">
        <v>199</v>
      </c>
      <c r="M23" s="146" t="s">
        <v>200</v>
      </c>
      <c r="N23" s="147" t="s">
        <v>201</v>
      </c>
      <c r="O23" t="s">
        <v>156</v>
      </c>
      <c r="P23" t="s">
        <v>157</v>
      </c>
      <c r="Q23" t="s">
        <v>161</v>
      </c>
      <c r="R23" t="s">
        <v>161</v>
      </c>
      <c r="S23" t="s">
        <v>161</v>
      </c>
      <c r="T23" t="s">
        <v>161</v>
      </c>
      <c r="U23" s="135" t="s">
        <v>161</v>
      </c>
      <c r="V23">
        <v>2.13</v>
      </c>
      <c r="W23" t="s">
        <v>161</v>
      </c>
      <c r="X23" t="s">
        <v>158</v>
      </c>
      <c r="Y23" s="136">
        <v>12.75</v>
      </c>
      <c r="Z23" s="136">
        <v>-78.73</v>
      </c>
      <c r="AA23" s="136">
        <v>12.75</v>
      </c>
      <c r="AB23" s="136">
        <v>-78.73</v>
      </c>
      <c r="AC23" s="136">
        <v>-2827</v>
      </c>
      <c r="AD23" s="136">
        <v>-2827</v>
      </c>
      <c r="AE23" t="s">
        <v>159</v>
      </c>
      <c r="AF23" t="s">
        <v>160</v>
      </c>
      <c r="AG23" s="148">
        <v>47.1</v>
      </c>
      <c r="AH23" s="3" t="s">
        <v>161</v>
      </c>
      <c r="AI23" t="s">
        <v>161</v>
      </c>
      <c r="AJ23" t="s">
        <v>161</v>
      </c>
      <c r="AK23" t="s">
        <v>161</v>
      </c>
      <c r="AL23" t="s">
        <v>161</v>
      </c>
      <c r="AM23" s="137" t="s">
        <v>202</v>
      </c>
      <c r="AN23" t="s">
        <v>161</v>
      </c>
      <c r="AO23" t="s">
        <v>161</v>
      </c>
      <c r="AP23" t="s">
        <v>161</v>
      </c>
      <c r="AQ23" t="s">
        <v>161</v>
      </c>
      <c r="AR23" t="s">
        <v>161</v>
      </c>
      <c r="AS23" t="s">
        <v>161</v>
      </c>
      <c r="AT23" t="s">
        <v>161</v>
      </c>
      <c r="AU23" t="s">
        <v>162</v>
      </c>
      <c r="AV23" t="s">
        <v>163</v>
      </c>
      <c r="AW23" t="s">
        <v>164</v>
      </c>
      <c r="AX23" s="138" t="s">
        <v>165</v>
      </c>
      <c r="AY23" t="s">
        <v>203</v>
      </c>
      <c r="AZ23" t="s">
        <v>166</v>
      </c>
      <c r="BA23" t="s">
        <v>167</v>
      </c>
      <c r="BB23" t="s">
        <v>220</v>
      </c>
      <c r="BC23">
        <v>2</v>
      </c>
      <c r="BD23">
        <v>2.9999999999997581E-2</v>
      </c>
      <c r="BE23">
        <v>21.225000000000001</v>
      </c>
      <c r="BF23" t="s">
        <v>169</v>
      </c>
      <c r="BG23">
        <v>0.25</v>
      </c>
      <c r="BH23">
        <v>1</v>
      </c>
      <c r="BI23" t="s">
        <v>161</v>
      </c>
      <c r="BJ23" s="3" t="s">
        <v>161</v>
      </c>
      <c r="BK23">
        <v>0.8</v>
      </c>
      <c r="BL23" t="s">
        <v>161</v>
      </c>
      <c r="BM23" t="s">
        <v>161</v>
      </c>
      <c r="BN23" t="s">
        <v>233</v>
      </c>
      <c r="BO23" s="149" t="s">
        <v>234</v>
      </c>
      <c r="BP23" s="150" t="s">
        <v>161</v>
      </c>
      <c r="BQ23" s="150" t="s">
        <v>161</v>
      </c>
      <c r="BR23" s="150" t="s">
        <v>161</v>
      </c>
      <c r="BS23" s="150" t="s">
        <v>161</v>
      </c>
      <c r="BT23" s="150" t="s">
        <v>161</v>
      </c>
      <c r="BU23" s="150" t="s">
        <v>235</v>
      </c>
      <c r="BV23" s="150" t="s">
        <v>171</v>
      </c>
      <c r="BW23" s="150" t="s">
        <v>171</v>
      </c>
      <c r="BX23" s="152">
        <v>26.2</v>
      </c>
      <c r="BY23" t="s">
        <v>161</v>
      </c>
      <c r="BZ23" t="s">
        <v>161</v>
      </c>
      <c r="CA23" t="s">
        <v>161</v>
      </c>
      <c r="CB23" t="s">
        <v>239</v>
      </c>
      <c r="CC23" t="s">
        <v>161</v>
      </c>
      <c r="CD23" t="s">
        <v>161</v>
      </c>
      <c r="CE23" t="s">
        <v>161</v>
      </c>
      <c r="CF23" t="s">
        <v>161</v>
      </c>
      <c r="CG23" t="s">
        <v>161</v>
      </c>
      <c r="CH23" t="s">
        <v>161</v>
      </c>
      <c r="CI23" t="s">
        <v>161</v>
      </c>
      <c r="CJ23" t="s">
        <v>161</v>
      </c>
      <c r="CK23" t="s">
        <v>161</v>
      </c>
      <c r="CL23" t="s">
        <v>161</v>
      </c>
      <c r="CM23" t="s">
        <v>161</v>
      </c>
      <c r="CN23" t="s">
        <v>161</v>
      </c>
      <c r="CO23" t="s">
        <v>161</v>
      </c>
      <c r="CP23" t="s">
        <v>161</v>
      </c>
      <c r="CQ23" t="s">
        <v>161</v>
      </c>
      <c r="CR23" t="s">
        <v>161</v>
      </c>
      <c r="CS23" t="s">
        <v>161</v>
      </c>
      <c r="CT23" t="s">
        <v>161</v>
      </c>
      <c r="CU23" s="141">
        <v>36.299999999999997</v>
      </c>
      <c r="CV23" t="s">
        <v>161</v>
      </c>
      <c r="CW23" t="s">
        <v>161</v>
      </c>
      <c r="CX23" s="153" t="s">
        <v>161</v>
      </c>
      <c r="CY23" t="s">
        <v>172</v>
      </c>
      <c r="CZ23" t="s">
        <v>173</v>
      </c>
      <c r="DA23" t="s">
        <v>173</v>
      </c>
      <c r="DB23" t="s">
        <v>173</v>
      </c>
      <c r="DC23" t="s">
        <v>172</v>
      </c>
      <c r="DD23" t="s">
        <v>173</v>
      </c>
      <c r="DE23" t="s">
        <v>173</v>
      </c>
      <c r="DF23" t="s">
        <v>173</v>
      </c>
      <c r="DG23" t="s">
        <v>172</v>
      </c>
      <c r="DH23" t="s">
        <v>173</v>
      </c>
      <c r="DI23" t="s">
        <v>173</v>
      </c>
      <c r="DJ23" t="s">
        <v>173</v>
      </c>
      <c r="DK23" s="137">
        <v>416</v>
      </c>
      <c r="DL23" t="s">
        <v>161</v>
      </c>
      <c r="DM23" s="137" t="s">
        <v>161</v>
      </c>
      <c r="DN23" t="s">
        <v>236</v>
      </c>
      <c r="DO23">
        <v>39.5</v>
      </c>
      <c r="DP23" t="s">
        <v>174</v>
      </c>
      <c r="DQ23" t="s">
        <v>161</v>
      </c>
      <c r="DR23" t="s">
        <v>233</v>
      </c>
      <c r="DS23" t="s">
        <v>161</v>
      </c>
      <c r="DT23" t="s">
        <v>161</v>
      </c>
      <c r="DU23">
        <v>20.027200000000001</v>
      </c>
      <c r="DV23" t="s">
        <v>175</v>
      </c>
      <c r="DW23" t="s">
        <v>175</v>
      </c>
      <c r="DX23" t="s">
        <v>182</v>
      </c>
      <c r="DY23" t="s">
        <v>175</v>
      </c>
      <c r="DZ23" t="s">
        <v>175</v>
      </c>
      <c r="EA23" t="s">
        <v>237</v>
      </c>
      <c r="EB23" t="s">
        <v>161</v>
      </c>
      <c r="EC23" t="s">
        <v>238</v>
      </c>
      <c r="ED23" t="s">
        <v>238</v>
      </c>
      <c r="EE23" t="s">
        <v>161</v>
      </c>
      <c r="EF23" t="s">
        <v>161</v>
      </c>
      <c r="EG23" t="s">
        <v>161</v>
      </c>
      <c r="EH23" t="s">
        <v>240</v>
      </c>
      <c r="EI23" t="s">
        <v>241</v>
      </c>
      <c r="EJ23" t="s">
        <v>161</v>
      </c>
      <c r="EK23">
        <v>318</v>
      </c>
      <c r="EL23" t="s">
        <v>161</v>
      </c>
      <c r="EM23" t="s">
        <v>161</v>
      </c>
      <c r="EN23" t="s">
        <v>161</v>
      </c>
      <c r="EO23" t="s">
        <v>161</v>
      </c>
      <c r="EP23" t="s">
        <v>161</v>
      </c>
      <c r="EQ23" t="s">
        <v>161</v>
      </c>
      <c r="ER23" t="s">
        <v>161</v>
      </c>
      <c r="ES23">
        <v>8.2309999999999999</v>
      </c>
      <c r="ET23" s="140" t="s">
        <v>176</v>
      </c>
      <c r="EU23" s="140" t="s">
        <v>161</v>
      </c>
      <c r="EV23" s="140" t="s">
        <v>161</v>
      </c>
      <c r="EW23">
        <v>235</v>
      </c>
      <c r="EX23" s="140" t="s">
        <v>161</v>
      </c>
      <c r="EY23" t="s">
        <v>161</v>
      </c>
      <c r="EZ23" s="133">
        <f t="shared" si="3"/>
        <v>235</v>
      </c>
      <c r="FA23">
        <v>20</v>
      </c>
      <c r="FB23">
        <v>20</v>
      </c>
      <c r="FC23" t="s">
        <v>170</v>
      </c>
      <c r="FD23" t="s">
        <v>177</v>
      </c>
      <c r="FE23" t="s">
        <v>178</v>
      </c>
      <c r="FF23" t="s">
        <v>178</v>
      </c>
      <c r="FG23" t="s">
        <v>178</v>
      </c>
      <c r="FH23" t="s">
        <v>178</v>
      </c>
      <c r="FI23" t="s">
        <v>178</v>
      </c>
      <c r="FJ23" t="s">
        <v>178</v>
      </c>
      <c r="FK23" t="s">
        <v>178</v>
      </c>
      <c r="FL23" t="s">
        <v>178</v>
      </c>
      <c r="FM23" t="s">
        <v>178</v>
      </c>
      <c r="FN23" t="s">
        <v>178</v>
      </c>
      <c r="FO23" t="s">
        <v>178</v>
      </c>
      <c r="FP23" t="s">
        <v>178</v>
      </c>
    </row>
    <row r="24" spans="1:172" ht="19" x14ac:dyDescent="0.2">
      <c r="A24" s="128" t="s">
        <v>152</v>
      </c>
      <c r="B24" t="s">
        <v>197</v>
      </c>
      <c r="C24">
        <v>2008</v>
      </c>
      <c r="D24" t="str">
        <f t="shared" si="4"/>
        <v>10.1016/j.epsl.2008.04.015</v>
      </c>
      <c r="E24" s="155">
        <f t="shared" si="5"/>
        <v>52.3</v>
      </c>
      <c r="F24" s="132" t="str">
        <f t="shared" si="6"/>
        <v>NA</v>
      </c>
      <c r="G24" s="132" t="str">
        <f t="shared" si="7"/>
        <v>NA</v>
      </c>
      <c r="H24" s="133">
        <f t="shared" si="8"/>
        <v>229</v>
      </c>
      <c r="I24" s="133">
        <f t="shared" si="9"/>
        <v>20</v>
      </c>
      <c r="J24" s="133">
        <f t="shared" si="10"/>
        <v>20</v>
      </c>
      <c r="K24" t="s">
        <v>198</v>
      </c>
      <c r="L24" s="134" t="s">
        <v>199</v>
      </c>
      <c r="M24" s="146" t="s">
        <v>200</v>
      </c>
      <c r="N24" s="147" t="s">
        <v>201</v>
      </c>
      <c r="O24" t="s">
        <v>156</v>
      </c>
      <c r="P24" t="s">
        <v>157</v>
      </c>
      <c r="Q24" t="s">
        <v>161</v>
      </c>
      <c r="R24" t="s">
        <v>161</v>
      </c>
      <c r="S24" t="s">
        <v>161</v>
      </c>
      <c r="T24" t="s">
        <v>161</v>
      </c>
      <c r="U24" s="135" t="s">
        <v>161</v>
      </c>
      <c r="V24">
        <v>2.34</v>
      </c>
      <c r="W24" t="s">
        <v>161</v>
      </c>
      <c r="X24" t="s">
        <v>158</v>
      </c>
      <c r="Y24" s="136">
        <v>12.75</v>
      </c>
      <c r="Z24" s="136">
        <v>-78.73</v>
      </c>
      <c r="AA24" s="136">
        <v>12.75</v>
      </c>
      <c r="AB24" s="136">
        <v>-78.73</v>
      </c>
      <c r="AC24" s="136">
        <v>-2827</v>
      </c>
      <c r="AD24" s="136">
        <v>-2827</v>
      </c>
      <c r="AE24" t="s">
        <v>159</v>
      </c>
      <c r="AF24" t="s">
        <v>160</v>
      </c>
      <c r="AG24" s="148">
        <v>52.3</v>
      </c>
      <c r="AH24" s="3" t="s">
        <v>161</v>
      </c>
      <c r="AI24" t="s">
        <v>161</v>
      </c>
      <c r="AJ24" t="s">
        <v>161</v>
      </c>
      <c r="AK24" t="s">
        <v>161</v>
      </c>
      <c r="AL24" t="s">
        <v>161</v>
      </c>
      <c r="AM24" s="137" t="s">
        <v>202</v>
      </c>
      <c r="AN24" t="s">
        <v>161</v>
      </c>
      <c r="AO24" t="s">
        <v>161</v>
      </c>
      <c r="AP24" t="s">
        <v>161</v>
      </c>
      <c r="AQ24" t="s">
        <v>161</v>
      </c>
      <c r="AR24" t="s">
        <v>161</v>
      </c>
      <c r="AS24" t="s">
        <v>161</v>
      </c>
      <c r="AT24" t="s">
        <v>161</v>
      </c>
      <c r="AU24" t="s">
        <v>162</v>
      </c>
      <c r="AV24" t="s">
        <v>163</v>
      </c>
      <c r="AW24" t="s">
        <v>164</v>
      </c>
      <c r="AX24" s="138" t="s">
        <v>165</v>
      </c>
      <c r="AY24" t="s">
        <v>203</v>
      </c>
      <c r="AZ24" t="s">
        <v>166</v>
      </c>
      <c r="BA24" t="s">
        <v>167</v>
      </c>
      <c r="BB24" t="s">
        <v>221</v>
      </c>
      <c r="BC24">
        <v>2</v>
      </c>
      <c r="BD24">
        <v>0.25</v>
      </c>
      <c r="BE24">
        <v>21.295000000000002</v>
      </c>
      <c r="BF24" t="s">
        <v>169</v>
      </c>
      <c r="BG24">
        <v>0.25</v>
      </c>
      <c r="BH24">
        <v>1</v>
      </c>
      <c r="BI24" t="s">
        <v>161</v>
      </c>
      <c r="BJ24" s="3" t="s">
        <v>161</v>
      </c>
      <c r="BK24">
        <v>0.8</v>
      </c>
      <c r="BL24" t="s">
        <v>161</v>
      </c>
      <c r="BM24" t="s">
        <v>161</v>
      </c>
      <c r="BN24" t="s">
        <v>233</v>
      </c>
      <c r="BO24" s="149" t="s">
        <v>234</v>
      </c>
      <c r="BP24" s="150" t="s">
        <v>161</v>
      </c>
      <c r="BQ24" s="150" t="s">
        <v>161</v>
      </c>
      <c r="BR24" s="150" t="s">
        <v>161</v>
      </c>
      <c r="BS24" s="150" t="s">
        <v>161</v>
      </c>
      <c r="BT24" s="150" t="s">
        <v>161</v>
      </c>
      <c r="BU24" s="150" t="s">
        <v>235</v>
      </c>
      <c r="BV24" s="150" t="s">
        <v>171</v>
      </c>
      <c r="BW24" s="150" t="s">
        <v>171</v>
      </c>
      <c r="BX24" s="152">
        <v>26.3</v>
      </c>
      <c r="BY24" t="s">
        <v>161</v>
      </c>
      <c r="BZ24" t="s">
        <v>161</v>
      </c>
      <c r="CA24" t="s">
        <v>161</v>
      </c>
      <c r="CB24" t="s">
        <v>239</v>
      </c>
      <c r="CC24" t="s">
        <v>161</v>
      </c>
      <c r="CD24" t="s">
        <v>161</v>
      </c>
      <c r="CE24" t="s">
        <v>161</v>
      </c>
      <c r="CF24" t="s">
        <v>161</v>
      </c>
      <c r="CG24" t="s">
        <v>161</v>
      </c>
      <c r="CH24" t="s">
        <v>161</v>
      </c>
      <c r="CI24" t="s">
        <v>161</v>
      </c>
      <c r="CJ24" t="s">
        <v>161</v>
      </c>
      <c r="CK24" t="s">
        <v>161</v>
      </c>
      <c r="CL24" t="s">
        <v>161</v>
      </c>
      <c r="CM24" t="s">
        <v>161</v>
      </c>
      <c r="CN24" t="s">
        <v>161</v>
      </c>
      <c r="CO24" t="s">
        <v>161</v>
      </c>
      <c r="CP24" t="s">
        <v>161</v>
      </c>
      <c r="CQ24" t="s">
        <v>161</v>
      </c>
      <c r="CR24" t="s">
        <v>161</v>
      </c>
      <c r="CS24" t="s">
        <v>161</v>
      </c>
      <c r="CT24" t="s">
        <v>161</v>
      </c>
      <c r="CU24" s="141">
        <v>36.200000000000003</v>
      </c>
      <c r="CV24" t="s">
        <v>161</v>
      </c>
      <c r="CW24" t="s">
        <v>161</v>
      </c>
      <c r="CX24" s="153" t="s">
        <v>161</v>
      </c>
      <c r="CY24" t="s">
        <v>172</v>
      </c>
      <c r="CZ24" t="s">
        <v>173</v>
      </c>
      <c r="DA24" t="s">
        <v>173</v>
      </c>
      <c r="DB24" t="s">
        <v>173</v>
      </c>
      <c r="DC24" t="s">
        <v>172</v>
      </c>
      <c r="DD24" t="s">
        <v>173</v>
      </c>
      <c r="DE24" t="s">
        <v>173</v>
      </c>
      <c r="DF24" t="s">
        <v>173</v>
      </c>
      <c r="DG24" t="s">
        <v>172</v>
      </c>
      <c r="DH24" t="s">
        <v>173</v>
      </c>
      <c r="DI24" t="s">
        <v>173</v>
      </c>
      <c r="DJ24" t="s">
        <v>173</v>
      </c>
      <c r="DK24" s="137">
        <v>416</v>
      </c>
      <c r="DL24" t="s">
        <v>161</v>
      </c>
      <c r="DM24" s="137" t="s">
        <v>161</v>
      </c>
      <c r="DN24" t="s">
        <v>236</v>
      </c>
      <c r="DO24">
        <v>39.5</v>
      </c>
      <c r="DP24" t="s">
        <v>174</v>
      </c>
      <c r="DQ24" t="s">
        <v>161</v>
      </c>
      <c r="DR24" t="s">
        <v>233</v>
      </c>
      <c r="DS24" t="s">
        <v>161</v>
      </c>
      <c r="DT24" t="s">
        <v>161</v>
      </c>
      <c r="DU24">
        <v>21.027200000000001</v>
      </c>
      <c r="DV24" t="s">
        <v>175</v>
      </c>
      <c r="DW24" t="s">
        <v>175</v>
      </c>
      <c r="DX24" t="s">
        <v>182</v>
      </c>
      <c r="DY24" t="s">
        <v>175</v>
      </c>
      <c r="DZ24" t="s">
        <v>175</v>
      </c>
      <c r="EA24" t="s">
        <v>237</v>
      </c>
      <c r="EB24" t="s">
        <v>161</v>
      </c>
      <c r="EC24" t="s">
        <v>238</v>
      </c>
      <c r="ED24" t="s">
        <v>238</v>
      </c>
      <c r="EE24" t="s">
        <v>161</v>
      </c>
      <c r="EF24" t="s">
        <v>161</v>
      </c>
      <c r="EG24" t="s">
        <v>161</v>
      </c>
      <c r="EH24" t="s">
        <v>240</v>
      </c>
      <c r="EI24" t="s">
        <v>241</v>
      </c>
      <c r="EJ24" t="s">
        <v>161</v>
      </c>
      <c r="EK24">
        <v>322</v>
      </c>
      <c r="EL24" t="s">
        <v>161</v>
      </c>
      <c r="EM24" t="s">
        <v>161</v>
      </c>
      <c r="EN24" t="s">
        <v>161</v>
      </c>
      <c r="EO24" t="s">
        <v>161</v>
      </c>
      <c r="EP24" t="s">
        <v>161</v>
      </c>
      <c r="EQ24" t="s">
        <v>161</v>
      </c>
      <c r="ER24" t="s">
        <v>161</v>
      </c>
      <c r="ES24">
        <v>8.2390000000000008</v>
      </c>
      <c r="ET24" s="140" t="s">
        <v>176</v>
      </c>
      <c r="EU24" s="140" t="s">
        <v>161</v>
      </c>
      <c r="EV24" s="140" t="s">
        <v>161</v>
      </c>
      <c r="EW24">
        <v>229</v>
      </c>
      <c r="EX24" s="140" t="s">
        <v>161</v>
      </c>
      <c r="EY24" t="s">
        <v>161</v>
      </c>
      <c r="EZ24" s="133">
        <f t="shared" si="3"/>
        <v>229</v>
      </c>
      <c r="FA24">
        <v>20</v>
      </c>
      <c r="FB24">
        <v>20</v>
      </c>
      <c r="FC24" t="s">
        <v>170</v>
      </c>
      <c r="FD24" t="s">
        <v>177</v>
      </c>
      <c r="FE24" t="s">
        <v>178</v>
      </c>
      <c r="FF24" t="s">
        <v>178</v>
      </c>
      <c r="FG24" t="s">
        <v>178</v>
      </c>
      <c r="FH24" t="s">
        <v>178</v>
      </c>
      <c r="FI24" t="s">
        <v>178</v>
      </c>
      <c r="FJ24" t="s">
        <v>178</v>
      </c>
      <c r="FK24" t="s">
        <v>178</v>
      </c>
      <c r="FL24" t="s">
        <v>178</v>
      </c>
      <c r="FM24" t="s">
        <v>178</v>
      </c>
      <c r="FN24" t="s">
        <v>178</v>
      </c>
      <c r="FO24" t="s">
        <v>178</v>
      </c>
      <c r="FP24" t="s">
        <v>178</v>
      </c>
    </row>
    <row r="25" spans="1:172" ht="19" x14ac:dyDescent="0.2">
      <c r="A25" s="128" t="s">
        <v>152</v>
      </c>
      <c r="B25" t="s">
        <v>197</v>
      </c>
      <c r="C25">
        <v>2008</v>
      </c>
      <c r="D25" t="str">
        <f t="shared" si="4"/>
        <v>10.1016/j.epsl.2008.04.015</v>
      </c>
      <c r="E25" s="155">
        <f t="shared" si="5"/>
        <v>61.4</v>
      </c>
      <c r="F25" s="132" t="str">
        <f t="shared" si="6"/>
        <v>NA</v>
      </c>
      <c r="G25" s="132" t="str">
        <f t="shared" si="7"/>
        <v>NA</v>
      </c>
      <c r="H25" s="133">
        <f t="shared" si="8"/>
        <v>234</v>
      </c>
      <c r="I25" s="133">
        <f t="shared" si="9"/>
        <v>20</v>
      </c>
      <c r="J25" s="133">
        <f t="shared" si="10"/>
        <v>20</v>
      </c>
      <c r="K25" t="s">
        <v>198</v>
      </c>
      <c r="L25" s="134" t="s">
        <v>199</v>
      </c>
      <c r="M25" s="146" t="s">
        <v>200</v>
      </c>
      <c r="N25" s="147" t="s">
        <v>201</v>
      </c>
      <c r="O25" t="s">
        <v>156</v>
      </c>
      <c r="P25" t="s">
        <v>157</v>
      </c>
      <c r="Q25" t="s">
        <v>161</v>
      </c>
      <c r="R25" t="s">
        <v>161</v>
      </c>
      <c r="S25" t="s">
        <v>161</v>
      </c>
      <c r="T25" t="s">
        <v>161</v>
      </c>
      <c r="U25" s="135" t="s">
        <v>161</v>
      </c>
      <c r="V25">
        <v>2.71</v>
      </c>
      <c r="W25" t="s">
        <v>161</v>
      </c>
      <c r="X25" t="s">
        <v>158</v>
      </c>
      <c r="Y25" s="136">
        <v>12.75</v>
      </c>
      <c r="Z25" s="136">
        <v>-78.73</v>
      </c>
      <c r="AA25" s="136">
        <v>12.75</v>
      </c>
      <c r="AB25" s="136">
        <v>-78.73</v>
      </c>
      <c r="AC25" s="136">
        <v>-2827</v>
      </c>
      <c r="AD25" s="136">
        <v>-2827</v>
      </c>
      <c r="AE25" t="s">
        <v>159</v>
      </c>
      <c r="AF25" t="s">
        <v>160</v>
      </c>
      <c r="AG25" s="148">
        <v>61.4</v>
      </c>
      <c r="AH25" s="3" t="s">
        <v>161</v>
      </c>
      <c r="AI25" t="s">
        <v>161</v>
      </c>
      <c r="AJ25" t="s">
        <v>161</v>
      </c>
      <c r="AK25" t="s">
        <v>161</v>
      </c>
      <c r="AL25" t="s">
        <v>161</v>
      </c>
      <c r="AM25" s="137" t="s">
        <v>202</v>
      </c>
      <c r="AN25" t="s">
        <v>161</v>
      </c>
      <c r="AO25" t="s">
        <v>161</v>
      </c>
      <c r="AP25" t="s">
        <v>161</v>
      </c>
      <c r="AQ25" t="s">
        <v>161</v>
      </c>
      <c r="AR25" t="s">
        <v>161</v>
      </c>
      <c r="AS25" t="s">
        <v>161</v>
      </c>
      <c r="AT25" t="s">
        <v>161</v>
      </c>
      <c r="AU25" t="s">
        <v>162</v>
      </c>
      <c r="AV25" t="s">
        <v>163</v>
      </c>
      <c r="AW25" t="s">
        <v>164</v>
      </c>
      <c r="AX25" s="138" t="s">
        <v>165</v>
      </c>
      <c r="AY25" t="s">
        <v>203</v>
      </c>
      <c r="AZ25" t="s">
        <v>166</v>
      </c>
      <c r="BA25" t="s">
        <v>167</v>
      </c>
      <c r="BB25" t="s">
        <v>222</v>
      </c>
      <c r="BC25">
        <v>2</v>
      </c>
      <c r="BD25">
        <v>0.22000000000000242</v>
      </c>
      <c r="BE25">
        <v>21.310000000000002</v>
      </c>
      <c r="BF25" t="s">
        <v>169</v>
      </c>
      <c r="BG25">
        <v>0.25</v>
      </c>
      <c r="BH25">
        <v>1</v>
      </c>
      <c r="BI25" t="s">
        <v>161</v>
      </c>
      <c r="BJ25" s="3" t="s">
        <v>161</v>
      </c>
      <c r="BK25">
        <v>0.8</v>
      </c>
      <c r="BL25" t="s">
        <v>161</v>
      </c>
      <c r="BM25" t="s">
        <v>161</v>
      </c>
      <c r="BN25" t="s">
        <v>233</v>
      </c>
      <c r="BO25" s="149" t="s">
        <v>234</v>
      </c>
      <c r="BP25" s="150" t="s">
        <v>161</v>
      </c>
      <c r="BQ25" s="150" t="s">
        <v>161</v>
      </c>
      <c r="BR25" s="150" t="s">
        <v>161</v>
      </c>
      <c r="BS25" s="150" t="s">
        <v>161</v>
      </c>
      <c r="BT25" s="150" t="s">
        <v>161</v>
      </c>
      <c r="BU25" s="150" t="s">
        <v>235</v>
      </c>
      <c r="BV25" s="150" t="s">
        <v>171</v>
      </c>
      <c r="BW25" s="150" t="s">
        <v>171</v>
      </c>
      <c r="BX25" s="152">
        <v>26.6</v>
      </c>
      <c r="BY25" t="s">
        <v>161</v>
      </c>
      <c r="BZ25" t="s">
        <v>161</v>
      </c>
      <c r="CA25" t="s">
        <v>161</v>
      </c>
      <c r="CB25" t="s">
        <v>239</v>
      </c>
      <c r="CC25" t="s">
        <v>161</v>
      </c>
      <c r="CD25" t="s">
        <v>161</v>
      </c>
      <c r="CE25" t="s">
        <v>161</v>
      </c>
      <c r="CF25" t="s">
        <v>161</v>
      </c>
      <c r="CG25" t="s">
        <v>161</v>
      </c>
      <c r="CH25" t="s">
        <v>161</v>
      </c>
      <c r="CI25" t="s">
        <v>161</v>
      </c>
      <c r="CJ25" t="s">
        <v>161</v>
      </c>
      <c r="CK25" t="s">
        <v>161</v>
      </c>
      <c r="CL25" t="s">
        <v>161</v>
      </c>
      <c r="CM25" t="s">
        <v>161</v>
      </c>
      <c r="CN25" t="s">
        <v>161</v>
      </c>
      <c r="CO25" t="s">
        <v>161</v>
      </c>
      <c r="CP25" t="s">
        <v>161</v>
      </c>
      <c r="CQ25" t="s">
        <v>161</v>
      </c>
      <c r="CR25" t="s">
        <v>161</v>
      </c>
      <c r="CS25" t="s">
        <v>161</v>
      </c>
      <c r="CT25" t="s">
        <v>161</v>
      </c>
      <c r="CU25" s="141">
        <v>36.799999999999997</v>
      </c>
      <c r="CV25" t="s">
        <v>161</v>
      </c>
      <c r="CW25" t="s">
        <v>161</v>
      </c>
      <c r="CX25" s="153" t="s">
        <v>161</v>
      </c>
      <c r="CY25" t="s">
        <v>172</v>
      </c>
      <c r="CZ25" t="s">
        <v>173</v>
      </c>
      <c r="DA25" t="s">
        <v>173</v>
      </c>
      <c r="DB25" t="s">
        <v>173</v>
      </c>
      <c r="DC25" t="s">
        <v>172</v>
      </c>
      <c r="DD25" t="s">
        <v>173</v>
      </c>
      <c r="DE25" t="s">
        <v>173</v>
      </c>
      <c r="DF25" t="s">
        <v>173</v>
      </c>
      <c r="DG25" t="s">
        <v>172</v>
      </c>
      <c r="DH25" t="s">
        <v>173</v>
      </c>
      <c r="DI25" t="s">
        <v>173</v>
      </c>
      <c r="DJ25" t="s">
        <v>173</v>
      </c>
      <c r="DK25" s="137">
        <v>416</v>
      </c>
      <c r="DL25" t="s">
        <v>161</v>
      </c>
      <c r="DM25" s="137" t="s">
        <v>161</v>
      </c>
      <c r="DN25" t="s">
        <v>236</v>
      </c>
      <c r="DO25">
        <v>39.5</v>
      </c>
      <c r="DP25" t="s">
        <v>174</v>
      </c>
      <c r="DQ25" t="s">
        <v>161</v>
      </c>
      <c r="DR25" t="s">
        <v>233</v>
      </c>
      <c r="DS25" t="s">
        <v>161</v>
      </c>
      <c r="DT25" t="s">
        <v>161</v>
      </c>
      <c r="DU25">
        <v>22.027200000000001</v>
      </c>
      <c r="DV25" t="s">
        <v>175</v>
      </c>
      <c r="DW25" t="s">
        <v>175</v>
      </c>
      <c r="DX25" t="s">
        <v>182</v>
      </c>
      <c r="DY25" t="s">
        <v>175</v>
      </c>
      <c r="DZ25" t="s">
        <v>175</v>
      </c>
      <c r="EA25" t="s">
        <v>237</v>
      </c>
      <c r="EB25" t="s">
        <v>161</v>
      </c>
      <c r="EC25" t="s">
        <v>238</v>
      </c>
      <c r="ED25" t="s">
        <v>238</v>
      </c>
      <c r="EE25" t="s">
        <v>161</v>
      </c>
      <c r="EF25" t="s">
        <v>161</v>
      </c>
      <c r="EG25" t="s">
        <v>161</v>
      </c>
      <c r="EH25" t="s">
        <v>240</v>
      </c>
      <c r="EI25" t="s">
        <v>241</v>
      </c>
      <c r="EJ25" t="s">
        <v>161</v>
      </c>
      <c r="EK25">
        <v>329</v>
      </c>
      <c r="EL25" t="s">
        <v>161</v>
      </c>
      <c r="EM25" t="s">
        <v>161</v>
      </c>
      <c r="EN25" t="s">
        <v>161</v>
      </c>
      <c r="EO25" t="s">
        <v>161</v>
      </c>
      <c r="EP25" t="s">
        <v>161</v>
      </c>
      <c r="EQ25" t="s">
        <v>161</v>
      </c>
      <c r="ER25" t="s">
        <v>161</v>
      </c>
      <c r="ES25">
        <v>8.2330000000000005</v>
      </c>
      <c r="ET25" s="140" t="s">
        <v>176</v>
      </c>
      <c r="EU25" s="140" t="s">
        <v>161</v>
      </c>
      <c r="EV25" s="140" t="s">
        <v>161</v>
      </c>
      <c r="EW25">
        <v>234</v>
      </c>
      <c r="EX25" s="140" t="s">
        <v>161</v>
      </c>
      <c r="EY25" t="s">
        <v>161</v>
      </c>
      <c r="EZ25" s="133">
        <f t="shared" si="3"/>
        <v>234</v>
      </c>
      <c r="FA25">
        <v>20</v>
      </c>
      <c r="FB25">
        <v>20</v>
      </c>
      <c r="FC25" t="s">
        <v>170</v>
      </c>
      <c r="FD25" t="s">
        <v>177</v>
      </c>
      <c r="FE25" t="s">
        <v>178</v>
      </c>
      <c r="FF25" t="s">
        <v>178</v>
      </c>
      <c r="FG25" t="s">
        <v>178</v>
      </c>
      <c r="FH25" t="s">
        <v>178</v>
      </c>
      <c r="FI25" t="s">
        <v>178</v>
      </c>
      <c r="FJ25" t="s">
        <v>178</v>
      </c>
      <c r="FK25" t="s">
        <v>178</v>
      </c>
      <c r="FL25" t="s">
        <v>178</v>
      </c>
      <c r="FM25" t="s">
        <v>178</v>
      </c>
      <c r="FN25" t="s">
        <v>178</v>
      </c>
      <c r="FO25" t="s">
        <v>178</v>
      </c>
      <c r="FP25" t="s">
        <v>178</v>
      </c>
    </row>
    <row r="26" spans="1:172" ht="19" x14ac:dyDescent="0.2">
      <c r="A26" s="128" t="s">
        <v>152</v>
      </c>
      <c r="B26" t="s">
        <v>197</v>
      </c>
      <c r="C26">
        <v>2008</v>
      </c>
      <c r="D26" t="str">
        <f t="shared" si="4"/>
        <v>10.1016/j.epsl.2008.04.015</v>
      </c>
      <c r="E26" s="155">
        <f t="shared" si="5"/>
        <v>76.3</v>
      </c>
      <c r="F26" s="132" t="str">
        <f t="shared" si="6"/>
        <v>NA</v>
      </c>
      <c r="G26" s="132" t="str">
        <f t="shared" si="7"/>
        <v>NA</v>
      </c>
      <c r="H26" s="133">
        <f t="shared" si="8"/>
        <v>247</v>
      </c>
      <c r="I26" s="133">
        <f t="shared" si="9"/>
        <v>20</v>
      </c>
      <c r="J26" s="133">
        <f t="shared" si="10"/>
        <v>20</v>
      </c>
      <c r="K26" t="s">
        <v>198</v>
      </c>
      <c r="L26" s="134" t="s">
        <v>199</v>
      </c>
      <c r="M26" s="146" t="s">
        <v>200</v>
      </c>
      <c r="N26" s="147" t="s">
        <v>201</v>
      </c>
      <c r="O26" t="s">
        <v>156</v>
      </c>
      <c r="P26" t="s">
        <v>157</v>
      </c>
      <c r="Q26" t="s">
        <v>161</v>
      </c>
      <c r="R26" t="s">
        <v>161</v>
      </c>
      <c r="S26" t="s">
        <v>161</v>
      </c>
      <c r="T26" t="s">
        <v>161</v>
      </c>
      <c r="U26" s="135" t="s">
        <v>161</v>
      </c>
      <c r="V26">
        <v>3.31</v>
      </c>
      <c r="W26" t="s">
        <v>161</v>
      </c>
      <c r="X26" t="s">
        <v>158</v>
      </c>
      <c r="Y26" s="136">
        <v>12.75</v>
      </c>
      <c r="Z26" s="136">
        <v>-78.73</v>
      </c>
      <c r="AA26" s="136">
        <v>12.75</v>
      </c>
      <c r="AB26" s="136">
        <v>-78.73</v>
      </c>
      <c r="AC26" s="136">
        <v>-2827</v>
      </c>
      <c r="AD26" s="136">
        <v>-2827</v>
      </c>
      <c r="AE26" t="s">
        <v>159</v>
      </c>
      <c r="AF26" t="s">
        <v>160</v>
      </c>
      <c r="AG26" s="148">
        <v>76.3</v>
      </c>
      <c r="AH26" s="3" t="s">
        <v>161</v>
      </c>
      <c r="AI26" t="s">
        <v>161</v>
      </c>
      <c r="AJ26" t="s">
        <v>161</v>
      </c>
      <c r="AK26" t="s">
        <v>161</v>
      </c>
      <c r="AL26" t="s">
        <v>161</v>
      </c>
      <c r="AM26" s="137" t="s">
        <v>202</v>
      </c>
      <c r="AN26" t="s">
        <v>161</v>
      </c>
      <c r="AO26" t="s">
        <v>161</v>
      </c>
      <c r="AP26" t="s">
        <v>161</v>
      </c>
      <c r="AQ26" t="s">
        <v>161</v>
      </c>
      <c r="AR26" t="s">
        <v>161</v>
      </c>
      <c r="AS26" t="s">
        <v>161</v>
      </c>
      <c r="AT26" t="s">
        <v>161</v>
      </c>
      <c r="AU26" t="s">
        <v>162</v>
      </c>
      <c r="AV26" t="s">
        <v>163</v>
      </c>
      <c r="AW26" t="s">
        <v>164</v>
      </c>
      <c r="AX26" s="138" t="s">
        <v>165</v>
      </c>
      <c r="AY26" t="s">
        <v>203</v>
      </c>
      <c r="AZ26" t="s">
        <v>166</v>
      </c>
      <c r="BA26" t="s">
        <v>167</v>
      </c>
      <c r="BB26" t="s">
        <v>223</v>
      </c>
      <c r="BC26">
        <v>2</v>
      </c>
      <c r="BD26">
        <v>7.000000000000027E-2</v>
      </c>
      <c r="BE26">
        <v>20.885000000000002</v>
      </c>
      <c r="BF26" t="s">
        <v>169</v>
      </c>
      <c r="BG26">
        <v>0.25</v>
      </c>
      <c r="BH26">
        <v>1</v>
      </c>
      <c r="BI26" t="s">
        <v>161</v>
      </c>
      <c r="BJ26" s="3" t="s">
        <v>161</v>
      </c>
      <c r="BK26">
        <v>0.8</v>
      </c>
      <c r="BL26" t="s">
        <v>161</v>
      </c>
      <c r="BM26" t="s">
        <v>161</v>
      </c>
      <c r="BN26" t="s">
        <v>233</v>
      </c>
      <c r="BO26" s="149" t="s">
        <v>234</v>
      </c>
      <c r="BP26" s="150" t="s">
        <v>161</v>
      </c>
      <c r="BQ26" s="150" t="s">
        <v>161</v>
      </c>
      <c r="BR26" s="150" t="s">
        <v>161</v>
      </c>
      <c r="BS26" s="150" t="s">
        <v>161</v>
      </c>
      <c r="BT26" s="150" t="s">
        <v>161</v>
      </c>
      <c r="BU26" s="150" t="s">
        <v>235</v>
      </c>
      <c r="BV26" s="150" t="s">
        <v>171</v>
      </c>
      <c r="BW26" s="150" t="s">
        <v>171</v>
      </c>
      <c r="BX26" s="152">
        <v>26.6</v>
      </c>
      <c r="BY26" t="s">
        <v>161</v>
      </c>
      <c r="BZ26" t="s">
        <v>161</v>
      </c>
      <c r="CA26" t="s">
        <v>161</v>
      </c>
      <c r="CB26" t="s">
        <v>239</v>
      </c>
      <c r="CC26" t="s">
        <v>161</v>
      </c>
      <c r="CD26" t="s">
        <v>161</v>
      </c>
      <c r="CE26" t="s">
        <v>161</v>
      </c>
      <c r="CF26" t="s">
        <v>161</v>
      </c>
      <c r="CG26" t="s">
        <v>161</v>
      </c>
      <c r="CH26" t="s">
        <v>161</v>
      </c>
      <c r="CI26" t="s">
        <v>161</v>
      </c>
      <c r="CJ26" t="s">
        <v>161</v>
      </c>
      <c r="CK26" t="s">
        <v>161</v>
      </c>
      <c r="CL26" t="s">
        <v>161</v>
      </c>
      <c r="CM26" t="s">
        <v>161</v>
      </c>
      <c r="CN26" t="s">
        <v>161</v>
      </c>
      <c r="CO26" t="s">
        <v>161</v>
      </c>
      <c r="CP26" t="s">
        <v>161</v>
      </c>
      <c r="CQ26" t="s">
        <v>161</v>
      </c>
      <c r="CR26" t="s">
        <v>161</v>
      </c>
      <c r="CS26" t="s">
        <v>161</v>
      </c>
      <c r="CT26" t="s">
        <v>161</v>
      </c>
      <c r="CU26" s="141">
        <v>35.5</v>
      </c>
      <c r="CV26" t="s">
        <v>161</v>
      </c>
      <c r="CW26" t="s">
        <v>161</v>
      </c>
      <c r="CX26" s="153" t="s">
        <v>161</v>
      </c>
      <c r="CY26" t="s">
        <v>172</v>
      </c>
      <c r="CZ26" t="s">
        <v>173</v>
      </c>
      <c r="DA26" t="s">
        <v>173</v>
      </c>
      <c r="DB26" t="s">
        <v>173</v>
      </c>
      <c r="DC26" t="s">
        <v>172</v>
      </c>
      <c r="DD26" t="s">
        <v>173</v>
      </c>
      <c r="DE26" t="s">
        <v>173</v>
      </c>
      <c r="DF26" t="s">
        <v>173</v>
      </c>
      <c r="DG26" t="s">
        <v>172</v>
      </c>
      <c r="DH26" t="s">
        <v>173</v>
      </c>
      <c r="DI26" t="s">
        <v>173</v>
      </c>
      <c r="DJ26" t="s">
        <v>173</v>
      </c>
      <c r="DK26" s="137">
        <v>416</v>
      </c>
      <c r="DL26" t="s">
        <v>161</v>
      </c>
      <c r="DM26" s="137" t="s">
        <v>161</v>
      </c>
      <c r="DN26" t="s">
        <v>236</v>
      </c>
      <c r="DO26">
        <v>39.5</v>
      </c>
      <c r="DP26" t="s">
        <v>174</v>
      </c>
      <c r="DQ26" t="s">
        <v>161</v>
      </c>
      <c r="DR26" t="s">
        <v>233</v>
      </c>
      <c r="DS26" t="s">
        <v>161</v>
      </c>
      <c r="DT26" t="s">
        <v>161</v>
      </c>
      <c r="DU26">
        <v>23.027200000000001</v>
      </c>
      <c r="DV26" t="s">
        <v>175</v>
      </c>
      <c r="DW26" t="s">
        <v>175</v>
      </c>
      <c r="DX26" t="s">
        <v>182</v>
      </c>
      <c r="DY26" t="s">
        <v>175</v>
      </c>
      <c r="DZ26" t="s">
        <v>175</v>
      </c>
      <c r="EA26" t="s">
        <v>237</v>
      </c>
      <c r="EB26" t="s">
        <v>161</v>
      </c>
      <c r="EC26" t="s">
        <v>238</v>
      </c>
      <c r="ED26" t="s">
        <v>238</v>
      </c>
      <c r="EE26" t="s">
        <v>161</v>
      </c>
      <c r="EF26" t="s">
        <v>161</v>
      </c>
      <c r="EG26" t="s">
        <v>161</v>
      </c>
      <c r="EH26" t="s">
        <v>240</v>
      </c>
      <c r="EI26" t="s">
        <v>241</v>
      </c>
      <c r="EJ26" t="s">
        <v>161</v>
      </c>
      <c r="EK26">
        <v>301</v>
      </c>
      <c r="EL26" t="s">
        <v>161</v>
      </c>
      <c r="EM26" t="s">
        <v>161</v>
      </c>
      <c r="EN26" t="s">
        <v>161</v>
      </c>
      <c r="EO26" t="s">
        <v>161</v>
      </c>
      <c r="EP26" t="s">
        <v>161</v>
      </c>
      <c r="EQ26" t="s">
        <v>161</v>
      </c>
      <c r="ER26" t="s">
        <v>161</v>
      </c>
      <c r="ES26">
        <v>8.2089999999999996</v>
      </c>
      <c r="ET26" s="140" t="s">
        <v>176</v>
      </c>
      <c r="EU26" s="140" t="s">
        <v>161</v>
      </c>
      <c r="EV26" s="140" t="s">
        <v>161</v>
      </c>
      <c r="EW26">
        <v>247</v>
      </c>
      <c r="EX26" s="140" t="s">
        <v>161</v>
      </c>
      <c r="EY26" t="s">
        <v>161</v>
      </c>
      <c r="EZ26" s="133">
        <f t="shared" si="3"/>
        <v>247</v>
      </c>
      <c r="FA26">
        <v>20</v>
      </c>
      <c r="FB26">
        <v>20</v>
      </c>
      <c r="FC26" t="s">
        <v>170</v>
      </c>
      <c r="FD26" t="s">
        <v>177</v>
      </c>
      <c r="FE26" t="s">
        <v>178</v>
      </c>
      <c r="FF26" t="s">
        <v>178</v>
      </c>
      <c r="FG26" t="s">
        <v>178</v>
      </c>
      <c r="FH26" t="s">
        <v>178</v>
      </c>
      <c r="FI26" t="s">
        <v>178</v>
      </c>
      <c r="FJ26" t="s">
        <v>178</v>
      </c>
      <c r="FK26" t="s">
        <v>178</v>
      </c>
      <c r="FL26" t="s">
        <v>178</v>
      </c>
      <c r="FM26" t="s">
        <v>178</v>
      </c>
      <c r="FN26" t="s">
        <v>178</v>
      </c>
      <c r="FO26" t="s">
        <v>178</v>
      </c>
      <c r="FP26" t="s">
        <v>178</v>
      </c>
    </row>
    <row r="27" spans="1:172" ht="19" x14ac:dyDescent="0.2">
      <c r="A27" s="128" t="s">
        <v>152</v>
      </c>
      <c r="B27" t="s">
        <v>197</v>
      </c>
      <c r="C27">
        <v>2008</v>
      </c>
      <c r="D27" t="str">
        <f t="shared" si="4"/>
        <v>10.1016/j.epsl.2008.04.015</v>
      </c>
      <c r="E27" s="155">
        <f t="shared" si="5"/>
        <v>83</v>
      </c>
      <c r="F27" s="132" t="str">
        <f t="shared" si="6"/>
        <v>NA</v>
      </c>
      <c r="G27" s="132" t="str">
        <f t="shared" si="7"/>
        <v>NA</v>
      </c>
      <c r="H27" s="133">
        <f t="shared" si="8"/>
        <v>245</v>
      </c>
      <c r="I27" s="133">
        <f t="shared" si="9"/>
        <v>20</v>
      </c>
      <c r="J27" s="133">
        <f t="shared" si="10"/>
        <v>20</v>
      </c>
      <c r="K27" t="s">
        <v>198</v>
      </c>
      <c r="L27" s="134" t="s">
        <v>199</v>
      </c>
      <c r="M27" s="146" t="s">
        <v>200</v>
      </c>
      <c r="N27" s="147" t="s">
        <v>201</v>
      </c>
      <c r="O27" t="s">
        <v>156</v>
      </c>
      <c r="P27" t="s">
        <v>157</v>
      </c>
      <c r="Q27" t="s">
        <v>161</v>
      </c>
      <c r="R27" t="s">
        <v>161</v>
      </c>
      <c r="S27" t="s">
        <v>161</v>
      </c>
      <c r="T27" t="s">
        <v>161</v>
      </c>
      <c r="U27" s="135" t="s">
        <v>161</v>
      </c>
      <c r="V27">
        <v>3.56</v>
      </c>
      <c r="W27" t="s">
        <v>161</v>
      </c>
      <c r="X27" t="s">
        <v>158</v>
      </c>
      <c r="Y27" s="136">
        <v>12.75</v>
      </c>
      <c r="Z27" s="136">
        <v>-78.73</v>
      </c>
      <c r="AA27" s="136">
        <v>12.75</v>
      </c>
      <c r="AB27" s="136">
        <v>-78.73</v>
      </c>
      <c r="AC27" s="136">
        <v>-2827</v>
      </c>
      <c r="AD27" s="136">
        <v>-2827</v>
      </c>
      <c r="AE27" t="s">
        <v>159</v>
      </c>
      <c r="AF27" t="s">
        <v>160</v>
      </c>
      <c r="AG27" s="148">
        <v>83</v>
      </c>
      <c r="AH27" s="3" t="s">
        <v>161</v>
      </c>
      <c r="AI27" t="s">
        <v>161</v>
      </c>
      <c r="AJ27" t="s">
        <v>161</v>
      </c>
      <c r="AK27" t="s">
        <v>161</v>
      </c>
      <c r="AL27" t="s">
        <v>161</v>
      </c>
      <c r="AM27" s="137" t="s">
        <v>202</v>
      </c>
      <c r="AN27" t="s">
        <v>161</v>
      </c>
      <c r="AO27" t="s">
        <v>161</v>
      </c>
      <c r="AP27" t="s">
        <v>161</v>
      </c>
      <c r="AQ27" t="s">
        <v>161</v>
      </c>
      <c r="AR27" t="s">
        <v>161</v>
      </c>
      <c r="AS27" t="s">
        <v>161</v>
      </c>
      <c r="AT27" t="s">
        <v>161</v>
      </c>
      <c r="AU27" t="s">
        <v>162</v>
      </c>
      <c r="AV27" t="s">
        <v>163</v>
      </c>
      <c r="AW27" t="s">
        <v>164</v>
      </c>
      <c r="AX27" s="138" t="s">
        <v>165</v>
      </c>
      <c r="AY27" t="s">
        <v>203</v>
      </c>
      <c r="AZ27" t="s">
        <v>166</v>
      </c>
      <c r="BA27" t="s">
        <v>167</v>
      </c>
      <c r="BB27" t="s">
        <v>224</v>
      </c>
      <c r="BC27">
        <v>2</v>
      </c>
      <c r="BD27">
        <v>0.26999999999999957</v>
      </c>
      <c r="BE27">
        <v>20.884999999999998</v>
      </c>
      <c r="BF27" t="s">
        <v>169</v>
      </c>
      <c r="BG27">
        <v>0.25</v>
      </c>
      <c r="BH27">
        <v>1</v>
      </c>
      <c r="BI27" t="s">
        <v>161</v>
      </c>
      <c r="BJ27" s="3" t="s">
        <v>161</v>
      </c>
      <c r="BK27">
        <v>0.8</v>
      </c>
      <c r="BL27" t="s">
        <v>161</v>
      </c>
      <c r="BM27" t="s">
        <v>161</v>
      </c>
      <c r="BN27" t="s">
        <v>233</v>
      </c>
      <c r="BO27" s="149" t="s">
        <v>234</v>
      </c>
      <c r="BP27" s="150" t="s">
        <v>161</v>
      </c>
      <c r="BQ27" s="150" t="s">
        <v>161</v>
      </c>
      <c r="BR27" s="150" t="s">
        <v>161</v>
      </c>
      <c r="BS27" s="150" t="s">
        <v>161</v>
      </c>
      <c r="BT27" s="150" t="s">
        <v>161</v>
      </c>
      <c r="BU27" s="150" t="s">
        <v>235</v>
      </c>
      <c r="BV27" s="150" t="s">
        <v>171</v>
      </c>
      <c r="BW27" s="150" t="s">
        <v>171</v>
      </c>
      <c r="BX27" s="152">
        <v>26.6</v>
      </c>
      <c r="BY27" t="s">
        <v>161</v>
      </c>
      <c r="BZ27" t="s">
        <v>161</v>
      </c>
      <c r="CA27" t="s">
        <v>161</v>
      </c>
      <c r="CB27" t="s">
        <v>239</v>
      </c>
      <c r="CC27" t="s">
        <v>161</v>
      </c>
      <c r="CD27" t="s">
        <v>161</v>
      </c>
      <c r="CE27" t="s">
        <v>161</v>
      </c>
      <c r="CF27" t="s">
        <v>161</v>
      </c>
      <c r="CG27" t="s">
        <v>161</v>
      </c>
      <c r="CH27" t="s">
        <v>161</v>
      </c>
      <c r="CI27" t="s">
        <v>161</v>
      </c>
      <c r="CJ27" t="s">
        <v>161</v>
      </c>
      <c r="CK27" t="s">
        <v>161</v>
      </c>
      <c r="CL27" t="s">
        <v>161</v>
      </c>
      <c r="CM27" t="s">
        <v>161</v>
      </c>
      <c r="CN27" t="s">
        <v>161</v>
      </c>
      <c r="CO27" t="s">
        <v>161</v>
      </c>
      <c r="CP27" t="s">
        <v>161</v>
      </c>
      <c r="CQ27" t="s">
        <v>161</v>
      </c>
      <c r="CR27" t="s">
        <v>161</v>
      </c>
      <c r="CS27" t="s">
        <v>161</v>
      </c>
      <c r="CT27" t="s">
        <v>161</v>
      </c>
      <c r="CU27" s="141">
        <v>35.1</v>
      </c>
      <c r="CV27" t="s">
        <v>161</v>
      </c>
      <c r="CW27" t="s">
        <v>161</v>
      </c>
      <c r="CX27" s="153" t="s">
        <v>161</v>
      </c>
      <c r="CY27" t="s">
        <v>172</v>
      </c>
      <c r="CZ27" t="s">
        <v>173</v>
      </c>
      <c r="DA27" t="s">
        <v>173</v>
      </c>
      <c r="DB27" t="s">
        <v>173</v>
      </c>
      <c r="DC27" t="s">
        <v>172</v>
      </c>
      <c r="DD27" t="s">
        <v>173</v>
      </c>
      <c r="DE27" t="s">
        <v>173</v>
      </c>
      <c r="DF27" t="s">
        <v>173</v>
      </c>
      <c r="DG27" t="s">
        <v>172</v>
      </c>
      <c r="DH27" t="s">
        <v>173</v>
      </c>
      <c r="DI27" t="s">
        <v>173</v>
      </c>
      <c r="DJ27" t="s">
        <v>173</v>
      </c>
      <c r="DK27" s="137">
        <v>416</v>
      </c>
      <c r="DL27" t="s">
        <v>161</v>
      </c>
      <c r="DM27" s="137" t="s">
        <v>161</v>
      </c>
      <c r="DN27" t="s">
        <v>236</v>
      </c>
      <c r="DO27">
        <v>39.5</v>
      </c>
      <c r="DP27" t="s">
        <v>174</v>
      </c>
      <c r="DQ27" t="s">
        <v>161</v>
      </c>
      <c r="DR27" t="s">
        <v>233</v>
      </c>
      <c r="DS27" t="s">
        <v>161</v>
      </c>
      <c r="DT27" t="s">
        <v>161</v>
      </c>
      <c r="DU27">
        <v>24.027200000000001</v>
      </c>
      <c r="DV27" t="s">
        <v>175</v>
      </c>
      <c r="DW27" t="s">
        <v>175</v>
      </c>
      <c r="DX27" t="s">
        <v>182</v>
      </c>
      <c r="DY27" t="s">
        <v>175</v>
      </c>
      <c r="DZ27" t="s">
        <v>175</v>
      </c>
      <c r="EA27" t="s">
        <v>237</v>
      </c>
      <c r="EB27" t="s">
        <v>161</v>
      </c>
      <c r="EC27" t="s">
        <v>238</v>
      </c>
      <c r="ED27" t="s">
        <v>238</v>
      </c>
      <c r="EE27" t="s">
        <v>161</v>
      </c>
      <c r="EF27" t="s">
        <v>161</v>
      </c>
      <c r="EG27" t="s">
        <v>161</v>
      </c>
      <c r="EH27" t="s">
        <v>240</v>
      </c>
      <c r="EI27" t="s">
        <v>241</v>
      </c>
      <c r="EJ27" t="s">
        <v>161</v>
      </c>
      <c r="EK27">
        <v>297</v>
      </c>
      <c r="EL27" t="s">
        <v>161</v>
      </c>
      <c r="EM27" t="s">
        <v>161</v>
      </c>
      <c r="EN27" t="s">
        <v>161</v>
      </c>
      <c r="EO27" t="s">
        <v>161</v>
      </c>
      <c r="EP27" t="s">
        <v>161</v>
      </c>
      <c r="EQ27" t="s">
        <v>161</v>
      </c>
      <c r="ER27" t="s">
        <v>161</v>
      </c>
      <c r="ES27">
        <v>8.2100000000000009</v>
      </c>
      <c r="ET27" s="140" t="s">
        <v>176</v>
      </c>
      <c r="EU27" s="140" t="s">
        <v>161</v>
      </c>
      <c r="EV27" s="140" t="s">
        <v>161</v>
      </c>
      <c r="EW27">
        <v>245</v>
      </c>
      <c r="EX27" s="140" t="s">
        <v>161</v>
      </c>
      <c r="EY27" t="s">
        <v>161</v>
      </c>
      <c r="EZ27" s="133">
        <f t="shared" si="3"/>
        <v>245</v>
      </c>
      <c r="FA27">
        <v>20</v>
      </c>
      <c r="FB27">
        <v>20</v>
      </c>
      <c r="FC27" t="s">
        <v>170</v>
      </c>
      <c r="FD27" t="s">
        <v>177</v>
      </c>
      <c r="FE27" t="s">
        <v>178</v>
      </c>
      <c r="FF27" t="s">
        <v>178</v>
      </c>
      <c r="FG27" t="s">
        <v>178</v>
      </c>
      <c r="FH27" t="s">
        <v>178</v>
      </c>
      <c r="FI27" t="s">
        <v>178</v>
      </c>
      <c r="FJ27" t="s">
        <v>178</v>
      </c>
      <c r="FK27" t="s">
        <v>178</v>
      </c>
      <c r="FL27" t="s">
        <v>178</v>
      </c>
      <c r="FM27" t="s">
        <v>178</v>
      </c>
      <c r="FN27" t="s">
        <v>178</v>
      </c>
      <c r="FO27" t="s">
        <v>178</v>
      </c>
      <c r="FP27" t="s">
        <v>178</v>
      </c>
    </row>
    <row r="28" spans="1:172" ht="19" x14ac:dyDescent="0.2">
      <c r="A28" s="128" t="s">
        <v>152</v>
      </c>
      <c r="B28" t="s">
        <v>197</v>
      </c>
      <c r="C28">
        <v>2008</v>
      </c>
      <c r="D28" t="str">
        <f t="shared" si="4"/>
        <v>10.1016/j.epsl.2008.04.015</v>
      </c>
      <c r="E28" s="155">
        <f t="shared" si="5"/>
        <v>88.1</v>
      </c>
      <c r="F28" s="132" t="str">
        <f t="shared" si="6"/>
        <v>NA</v>
      </c>
      <c r="G28" s="132" t="str">
        <f t="shared" si="7"/>
        <v>NA</v>
      </c>
      <c r="H28" s="133">
        <f t="shared" si="8"/>
        <v>269</v>
      </c>
      <c r="I28" s="133">
        <f t="shared" si="9"/>
        <v>20</v>
      </c>
      <c r="J28" s="133">
        <f t="shared" si="10"/>
        <v>20</v>
      </c>
      <c r="K28" t="s">
        <v>198</v>
      </c>
      <c r="L28" s="134" t="s">
        <v>199</v>
      </c>
      <c r="M28" s="146" t="s">
        <v>200</v>
      </c>
      <c r="N28" s="147" t="s">
        <v>201</v>
      </c>
      <c r="O28" t="s">
        <v>156</v>
      </c>
      <c r="P28" t="s">
        <v>157</v>
      </c>
      <c r="Q28" t="s">
        <v>161</v>
      </c>
      <c r="R28" t="s">
        <v>161</v>
      </c>
      <c r="S28" t="s">
        <v>161</v>
      </c>
      <c r="T28" t="s">
        <v>161</v>
      </c>
      <c r="U28" s="135" t="s">
        <v>161</v>
      </c>
      <c r="V28">
        <v>3.73</v>
      </c>
      <c r="W28" t="s">
        <v>161</v>
      </c>
      <c r="X28" t="s">
        <v>158</v>
      </c>
      <c r="Y28" s="136">
        <v>12.75</v>
      </c>
      <c r="Z28" s="136">
        <v>-78.73</v>
      </c>
      <c r="AA28" s="136">
        <v>12.75</v>
      </c>
      <c r="AB28" s="136">
        <v>-78.73</v>
      </c>
      <c r="AC28" s="136">
        <v>-2827</v>
      </c>
      <c r="AD28" s="136">
        <v>-2827</v>
      </c>
      <c r="AE28" t="s">
        <v>159</v>
      </c>
      <c r="AF28" t="s">
        <v>160</v>
      </c>
      <c r="AG28" s="148">
        <v>88.1</v>
      </c>
      <c r="AH28" s="3" t="s">
        <v>161</v>
      </c>
      <c r="AI28" t="s">
        <v>161</v>
      </c>
      <c r="AJ28" t="s">
        <v>161</v>
      </c>
      <c r="AK28" t="s">
        <v>161</v>
      </c>
      <c r="AL28" t="s">
        <v>161</v>
      </c>
      <c r="AM28" s="137" t="s">
        <v>202</v>
      </c>
      <c r="AN28" t="s">
        <v>161</v>
      </c>
      <c r="AO28" t="s">
        <v>161</v>
      </c>
      <c r="AP28" t="s">
        <v>161</v>
      </c>
      <c r="AQ28" t="s">
        <v>161</v>
      </c>
      <c r="AR28" t="s">
        <v>161</v>
      </c>
      <c r="AS28" t="s">
        <v>161</v>
      </c>
      <c r="AT28" t="s">
        <v>161</v>
      </c>
      <c r="AU28" t="s">
        <v>162</v>
      </c>
      <c r="AV28" t="s">
        <v>163</v>
      </c>
      <c r="AW28" t="s">
        <v>164</v>
      </c>
      <c r="AX28" s="138" t="s">
        <v>165</v>
      </c>
      <c r="AY28" t="s">
        <v>203</v>
      </c>
      <c r="AZ28" t="s">
        <v>166</v>
      </c>
      <c r="BA28" t="s">
        <v>167</v>
      </c>
      <c r="BB28" t="s">
        <v>225</v>
      </c>
      <c r="BC28">
        <v>2</v>
      </c>
      <c r="BD28">
        <v>0.16000000000000014</v>
      </c>
      <c r="BE28">
        <v>20.68</v>
      </c>
      <c r="BF28" t="s">
        <v>169</v>
      </c>
      <c r="BG28">
        <v>0.25</v>
      </c>
      <c r="BH28">
        <v>1</v>
      </c>
      <c r="BI28" t="s">
        <v>161</v>
      </c>
      <c r="BJ28" s="3" t="s">
        <v>161</v>
      </c>
      <c r="BK28">
        <v>0.8</v>
      </c>
      <c r="BL28" t="s">
        <v>161</v>
      </c>
      <c r="BM28" t="s">
        <v>161</v>
      </c>
      <c r="BN28" t="s">
        <v>233</v>
      </c>
      <c r="BO28" s="149" t="s">
        <v>234</v>
      </c>
      <c r="BP28" s="150" t="s">
        <v>161</v>
      </c>
      <c r="BQ28" s="150" t="s">
        <v>161</v>
      </c>
      <c r="BR28" s="150" t="s">
        <v>161</v>
      </c>
      <c r="BS28" s="150" t="s">
        <v>161</v>
      </c>
      <c r="BT28" s="150" t="s">
        <v>161</v>
      </c>
      <c r="BU28" s="150" t="s">
        <v>235</v>
      </c>
      <c r="BV28" s="150" t="s">
        <v>171</v>
      </c>
      <c r="BW28" s="150" t="s">
        <v>171</v>
      </c>
      <c r="BX28" s="152">
        <v>27.2</v>
      </c>
      <c r="BY28" t="s">
        <v>161</v>
      </c>
      <c r="BZ28" t="s">
        <v>161</v>
      </c>
      <c r="CA28" t="s">
        <v>161</v>
      </c>
      <c r="CB28" t="s">
        <v>239</v>
      </c>
      <c r="CC28" t="s">
        <v>161</v>
      </c>
      <c r="CD28" t="s">
        <v>161</v>
      </c>
      <c r="CE28" t="s">
        <v>161</v>
      </c>
      <c r="CF28" t="s">
        <v>161</v>
      </c>
      <c r="CG28" t="s">
        <v>161</v>
      </c>
      <c r="CH28" t="s">
        <v>161</v>
      </c>
      <c r="CI28" t="s">
        <v>161</v>
      </c>
      <c r="CJ28" t="s">
        <v>161</v>
      </c>
      <c r="CK28" t="s">
        <v>161</v>
      </c>
      <c r="CL28" t="s">
        <v>161</v>
      </c>
      <c r="CM28" t="s">
        <v>161</v>
      </c>
      <c r="CN28" t="s">
        <v>161</v>
      </c>
      <c r="CO28" t="s">
        <v>161</v>
      </c>
      <c r="CP28" t="s">
        <v>161</v>
      </c>
      <c r="CQ28" t="s">
        <v>161</v>
      </c>
      <c r="CR28" t="s">
        <v>161</v>
      </c>
      <c r="CS28" t="s">
        <v>161</v>
      </c>
      <c r="CT28" t="s">
        <v>161</v>
      </c>
      <c r="CU28" s="141">
        <v>36.1</v>
      </c>
      <c r="CV28" t="s">
        <v>161</v>
      </c>
      <c r="CW28" t="s">
        <v>161</v>
      </c>
      <c r="CX28" s="153" t="s">
        <v>161</v>
      </c>
      <c r="CY28" t="s">
        <v>172</v>
      </c>
      <c r="CZ28" t="s">
        <v>173</v>
      </c>
      <c r="DA28" t="s">
        <v>173</v>
      </c>
      <c r="DB28" t="s">
        <v>173</v>
      </c>
      <c r="DC28" t="s">
        <v>172</v>
      </c>
      <c r="DD28" t="s">
        <v>173</v>
      </c>
      <c r="DE28" t="s">
        <v>173</v>
      </c>
      <c r="DF28" t="s">
        <v>173</v>
      </c>
      <c r="DG28" t="s">
        <v>172</v>
      </c>
      <c r="DH28" t="s">
        <v>173</v>
      </c>
      <c r="DI28" t="s">
        <v>173</v>
      </c>
      <c r="DJ28" t="s">
        <v>173</v>
      </c>
      <c r="DK28" s="137">
        <v>416</v>
      </c>
      <c r="DL28" t="s">
        <v>161</v>
      </c>
      <c r="DM28" s="137" t="s">
        <v>161</v>
      </c>
      <c r="DN28" t="s">
        <v>236</v>
      </c>
      <c r="DO28">
        <v>39.5</v>
      </c>
      <c r="DP28" t="s">
        <v>174</v>
      </c>
      <c r="DQ28" t="s">
        <v>161</v>
      </c>
      <c r="DR28" t="s">
        <v>233</v>
      </c>
      <c r="DS28" t="s">
        <v>161</v>
      </c>
      <c r="DT28" t="s">
        <v>161</v>
      </c>
      <c r="DU28">
        <v>25.027200000000001</v>
      </c>
      <c r="DV28" t="s">
        <v>175</v>
      </c>
      <c r="DW28" t="s">
        <v>175</v>
      </c>
      <c r="DX28" t="s">
        <v>182</v>
      </c>
      <c r="DY28" t="s">
        <v>175</v>
      </c>
      <c r="DZ28" t="s">
        <v>175</v>
      </c>
      <c r="EA28" t="s">
        <v>237</v>
      </c>
      <c r="EB28" t="s">
        <v>161</v>
      </c>
      <c r="EC28" t="s">
        <v>238</v>
      </c>
      <c r="ED28" t="s">
        <v>238</v>
      </c>
      <c r="EE28" t="s">
        <v>161</v>
      </c>
      <c r="EF28" t="s">
        <v>161</v>
      </c>
      <c r="EG28" t="s">
        <v>161</v>
      </c>
      <c r="EH28" t="s">
        <v>240</v>
      </c>
      <c r="EI28" t="s">
        <v>241</v>
      </c>
      <c r="EJ28" t="s">
        <v>161</v>
      </c>
      <c r="EK28">
        <v>300</v>
      </c>
      <c r="EL28" t="s">
        <v>161</v>
      </c>
      <c r="EM28" t="s">
        <v>161</v>
      </c>
      <c r="EN28" t="s">
        <v>161</v>
      </c>
      <c r="EO28" t="s">
        <v>161</v>
      </c>
      <c r="EP28" t="s">
        <v>161</v>
      </c>
      <c r="EQ28" t="s">
        <v>161</v>
      </c>
      <c r="ER28" t="s">
        <v>161</v>
      </c>
      <c r="ES28">
        <v>8.1829999999999998</v>
      </c>
      <c r="ET28" s="140" t="s">
        <v>176</v>
      </c>
      <c r="EU28" s="140" t="s">
        <v>161</v>
      </c>
      <c r="EV28" s="140" t="s">
        <v>161</v>
      </c>
      <c r="EW28">
        <v>269</v>
      </c>
      <c r="EX28" s="140" t="s">
        <v>161</v>
      </c>
      <c r="EY28" t="s">
        <v>161</v>
      </c>
      <c r="EZ28" s="133">
        <f t="shared" si="3"/>
        <v>269</v>
      </c>
      <c r="FA28">
        <v>20</v>
      </c>
      <c r="FB28">
        <v>20</v>
      </c>
      <c r="FC28" t="s">
        <v>170</v>
      </c>
      <c r="FD28" t="s">
        <v>177</v>
      </c>
      <c r="FE28" t="s">
        <v>178</v>
      </c>
      <c r="FF28" t="s">
        <v>178</v>
      </c>
      <c r="FG28" t="s">
        <v>178</v>
      </c>
      <c r="FH28" t="s">
        <v>178</v>
      </c>
      <c r="FI28" t="s">
        <v>178</v>
      </c>
      <c r="FJ28" t="s">
        <v>178</v>
      </c>
      <c r="FK28" t="s">
        <v>178</v>
      </c>
      <c r="FL28" t="s">
        <v>178</v>
      </c>
      <c r="FM28" t="s">
        <v>178</v>
      </c>
      <c r="FN28" t="s">
        <v>178</v>
      </c>
      <c r="FO28" t="s">
        <v>178</v>
      </c>
      <c r="FP28" t="s">
        <v>178</v>
      </c>
    </row>
    <row r="29" spans="1:172" ht="19" x14ac:dyDescent="0.2">
      <c r="A29" s="128" t="s">
        <v>152</v>
      </c>
      <c r="B29" t="s">
        <v>197</v>
      </c>
      <c r="C29">
        <v>2008</v>
      </c>
      <c r="D29" t="str">
        <f t="shared" si="4"/>
        <v>10.1016/j.epsl.2008.04.015</v>
      </c>
      <c r="E29" s="155">
        <f t="shared" si="5"/>
        <v>99.6</v>
      </c>
      <c r="F29" s="132" t="str">
        <f t="shared" si="6"/>
        <v>NA</v>
      </c>
      <c r="G29" s="132" t="str">
        <f t="shared" si="7"/>
        <v>NA</v>
      </c>
      <c r="H29" s="133">
        <f t="shared" si="8"/>
        <v>271</v>
      </c>
      <c r="I29" s="133">
        <f t="shared" si="9"/>
        <v>20</v>
      </c>
      <c r="J29" s="133">
        <f t="shared" si="10"/>
        <v>20</v>
      </c>
      <c r="K29" t="s">
        <v>198</v>
      </c>
      <c r="L29" s="134" t="s">
        <v>199</v>
      </c>
      <c r="M29" s="146" t="s">
        <v>200</v>
      </c>
      <c r="N29" s="147" t="s">
        <v>201</v>
      </c>
      <c r="O29" t="s">
        <v>156</v>
      </c>
      <c r="P29" t="s">
        <v>157</v>
      </c>
      <c r="Q29" t="s">
        <v>161</v>
      </c>
      <c r="R29" t="s">
        <v>161</v>
      </c>
      <c r="S29" t="s">
        <v>161</v>
      </c>
      <c r="T29" t="s">
        <v>161</v>
      </c>
      <c r="U29" s="135" t="s">
        <v>161</v>
      </c>
      <c r="V29">
        <v>4.13</v>
      </c>
      <c r="W29" t="s">
        <v>161</v>
      </c>
      <c r="X29" t="s">
        <v>158</v>
      </c>
      <c r="Y29" s="136">
        <v>12.75</v>
      </c>
      <c r="Z29" s="136">
        <v>-78.73</v>
      </c>
      <c r="AA29" s="136">
        <v>12.75</v>
      </c>
      <c r="AB29" s="136">
        <v>-78.73</v>
      </c>
      <c r="AC29" s="136">
        <v>-2827</v>
      </c>
      <c r="AD29" s="136">
        <v>-2827</v>
      </c>
      <c r="AE29" t="s">
        <v>159</v>
      </c>
      <c r="AF29" t="s">
        <v>160</v>
      </c>
      <c r="AG29" s="148">
        <v>99.6</v>
      </c>
      <c r="AH29" s="3" t="s">
        <v>161</v>
      </c>
      <c r="AI29" t="s">
        <v>161</v>
      </c>
      <c r="AJ29" t="s">
        <v>161</v>
      </c>
      <c r="AK29" t="s">
        <v>161</v>
      </c>
      <c r="AL29" t="s">
        <v>161</v>
      </c>
      <c r="AM29" s="137" t="s">
        <v>202</v>
      </c>
      <c r="AN29" t="s">
        <v>161</v>
      </c>
      <c r="AO29" t="s">
        <v>161</v>
      </c>
      <c r="AP29" t="s">
        <v>161</v>
      </c>
      <c r="AQ29" t="s">
        <v>161</v>
      </c>
      <c r="AR29" t="s">
        <v>161</v>
      </c>
      <c r="AS29" t="s">
        <v>161</v>
      </c>
      <c r="AT29" t="s">
        <v>161</v>
      </c>
      <c r="AU29" t="s">
        <v>162</v>
      </c>
      <c r="AV29" t="s">
        <v>163</v>
      </c>
      <c r="AW29" t="s">
        <v>164</v>
      </c>
      <c r="AX29" s="138" t="s">
        <v>165</v>
      </c>
      <c r="AY29" t="s">
        <v>203</v>
      </c>
      <c r="AZ29" t="s">
        <v>166</v>
      </c>
      <c r="BA29" t="s">
        <v>167</v>
      </c>
      <c r="BB29" t="s">
        <v>226</v>
      </c>
      <c r="BC29">
        <v>2</v>
      </c>
      <c r="BD29">
        <v>9.9999999999980105E-3</v>
      </c>
      <c r="BE29">
        <v>20.574999999999999</v>
      </c>
      <c r="BF29" t="s">
        <v>169</v>
      </c>
      <c r="BG29">
        <v>0.25</v>
      </c>
      <c r="BH29">
        <v>1</v>
      </c>
      <c r="BI29" t="s">
        <v>161</v>
      </c>
      <c r="BJ29" s="3" t="s">
        <v>161</v>
      </c>
      <c r="BK29">
        <v>0.8</v>
      </c>
      <c r="BL29" t="s">
        <v>161</v>
      </c>
      <c r="BM29" t="s">
        <v>161</v>
      </c>
      <c r="BN29" t="s">
        <v>233</v>
      </c>
      <c r="BO29" s="149" t="s">
        <v>234</v>
      </c>
      <c r="BP29" s="150" t="s">
        <v>161</v>
      </c>
      <c r="BQ29" s="150" t="s">
        <v>161</v>
      </c>
      <c r="BR29" s="150" t="s">
        <v>161</v>
      </c>
      <c r="BS29" s="150" t="s">
        <v>161</v>
      </c>
      <c r="BT29" s="150" t="s">
        <v>161</v>
      </c>
      <c r="BU29" s="150" t="s">
        <v>235</v>
      </c>
      <c r="BV29" s="150" t="s">
        <v>171</v>
      </c>
      <c r="BW29" s="150" t="s">
        <v>171</v>
      </c>
      <c r="BX29" s="152">
        <v>27</v>
      </c>
      <c r="BY29" t="s">
        <v>161</v>
      </c>
      <c r="BZ29" t="s">
        <v>161</v>
      </c>
      <c r="CA29" t="s">
        <v>161</v>
      </c>
      <c r="CB29" t="s">
        <v>239</v>
      </c>
      <c r="CC29" t="s">
        <v>161</v>
      </c>
      <c r="CD29" t="s">
        <v>161</v>
      </c>
      <c r="CE29" t="s">
        <v>161</v>
      </c>
      <c r="CF29" t="s">
        <v>161</v>
      </c>
      <c r="CG29" t="s">
        <v>161</v>
      </c>
      <c r="CH29" t="s">
        <v>161</v>
      </c>
      <c r="CI29" t="s">
        <v>161</v>
      </c>
      <c r="CJ29" t="s">
        <v>161</v>
      </c>
      <c r="CK29" t="s">
        <v>161</v>
      </c>
      <c r="CL29" t="s">
        <v>161</v>
      </c>
      <c r="CM29" t="s">
        <v>161</v>
      </c>
      <c r="CN29" t="s">
        <v>161</v>
      </c>
      <c r="CO29" t="s">
        <v>161</v>
      </c>
      <c r="CP29" t="s">
        <v>161</v>
      </c>
      <c r="CQ29" t="s">
        <v>161</v>
      </c>
      <c r="CR29" t="s">
        <v>161</v>
      </c>
      <c r="CS29" t="s">
        <v>161</v>
      </c>
      <c r="CT29" t="s">
        <v>161</v>
      </c>
      <c r="CU29" s="141">
        <v>35.700000000000003</v>
      </c>
      <c r="CV29" t="s">
        <v>161</v>
      </c>
      <c r="CW29" t="s">
        <v>161</v>
      </c>
      <c r="CX29" s="153" t="s">
        <v>161</v>
      </c>
      <c r="CY29" t="s">
        <v>172</v>
      </c>
      <c r="CZ29" t="s">
        <v>173</v>
      </c>
      <c r="DA29" t="s">
        <v>173</v>
      </c>
      <c r="DB29" t="s">
        <v>173</v>
      </c>
      <c r="DC29" t="s">
        <v>172</v>
      </c>
      <c r="DD29" t="s">
        <v>173</v>
      </c>
      <c r="DE29" t="s">
        <v>173</v>
      </c>
      <c r="DF29" t="s">
        <v>173</v>
      </c>
      <c r="DG29" t="s">
        <v>172</v>
      </c>
      <c r="DH29" t="s">
        <v>173</v>
      </c>
      <c r="DI29" t="s">
        <v>173</v>
      </c>
      <c r="DJ29" t="s">
        <v>173</v>
      </c>
      <c r="DK29" s="137">
        <v>416</v>
      </c>
      <c r="DL29" t="s">
        <v>161</v>
      </c>
      <c r="DM29" s="137" t="s">
        <v>161</v>
      </c>
      <c r="DN29" t="s">
        <v>236</v>
      </c>
      <c r="DO29">
        <v>39.5</v>
      </c>
      <c r="DP29" t="s">
        <v>174</v>
      </c>
      <c r="DQ29" t="s">
        <v>161</v>
      </c>
      <c r="DR29" t="s">
        <v>233</v>
      </c>
      <c r="DS29" t="s">
        <v>161</v>
      </c>
      <c r="DT29" t="s">
        <v>161</v>
      </c>
      <c r="DU29">
        <v>26.027200000000001</v>
      </c>
      <c r="DV29" t="s">
        <v>175</v>
      </c>
      <c r="DW29" t="s">
        <v>175</v>
      </c>
      <c r="DX29" t="s">
        <v>182</v>
      </c>
      <c r="DY29" t="s">
        <v>175</v>
      </c>
      <c r="DZ29" t="s">
        <v>175</v>
      </c>
      <c r="EA29" t="s">
        <v>237</v>
      </c>
      <c r="EB29" t="s">
        <v>161</v>
      </c>
      <c r="EC29" t="s">
        <v>238</v>
      </c>
      <c r="ED29" t="s">
        <v>238</v>
      </c>
      <c r="EE29" t="s">
        <v>161</v>
      </c>
      <c r="EF29" t="s">
        <v>161</v>
      </c>
      <c r="EG29" t="s">
        <v>161</v>
      </c>
      <c r="EH29" t="s">
        <v>240</v>
      </c>
      <c r="EI29" t="s">
        <v>241</v>
      </c>
      <c r="EJ29" t="s">
        <v>161</v>
      </c>
      <c r="EK29">
        <v>292</v>
      </c>
      <c r="EL29" t="s">
        <v>161</v>
      </c>
      <c r="EM29" t="s">
        <v>161</v>
      </c>
      <c r="EN29" t="s">
        <v>161</v>
      </c>
      <c r="EO29" t="s">
        <v>161</v>
      </c>
      <c r="EP29" t="s">
        <v>161</v>
      </c>
      <c r="EQ29" t="s">
        <v>161</v>
      </c>
      <c r="ER29" t="s">
        <v>161</v>
      </c>
      <c r="ES29">
        <v>8.1790000000000003</v>
      </c>
      <c r="ET29" s="140" t="s">
        <v>176</v>
      </c>
      <c r="EU29" s="140" t="s">
        <v>161</v>
      </c>
      <c r="EV29" s="140" t="s">
        <v>161</v>
      </c>
      <c r="EW29">
        <v>271</v>
      </c>
      <c r="EX29" s="140" t="s">
        <v>161</v>
      </c>
      <c r="EY29" t="s">
        <v>161</v>
      </c>
      <c r="EZ29" s="133">
        <f t="shared" si="3"/>
        <v>271</v>
      </c>
      <c r="FA29">
        <v>20</v>
      </c>
      <c r="FB29">
        <v>20</v>
      </c>
      <c r="FC29" t="s">
        <v>170</v>
      </c>
      <c r="FD29" t="s">
        <v>177</v>
      </c>
      <c r="FE29" t="s">
        <v>178</v>
      </c>
      <c r="FF29" t="s">
        <v>178</v>
      </c>
      <c r="FG29" t="s">
        <v>178</v>
      </c>
      <c r="FH29" t="s">
        <v>178</v>
      </c>
      <c r="FI29" t="s">
        <v>178</v>
      </c>
      <c r="FJ29" t="s">
        <v>178</v>
      </c>
      <c r="FK29" t="s">
        <v>178</v>
      </c>
      <c r="FL29" t="s">
        <v>178</v>
      </c>
      <c r="FM29" t="s">
        <v>178</v>
      </c>
      <c r="FN29" t="s">
        <v>178</v>
      </c>
      <c r="FO29" t="s">
        <v>178</v>
      </c>
      <c r="FP29" t="s">
        <v>178</v>
      </c>
    </row>
    <row r="30" spans="1:172" ht="19" x14ac:dyDescent="0.2">
      <c r="A30" s="128" t="s">
        <v>152</v>
      </c>
      <c r="B30" t="s">
        <v>197</v>
      </c>
      <c r="C30">
        <v>2008</v>
      </c>
      <c r="D30" t="str">
        <f t="shared" si="4"/>
        <v>10.1016/j.epsl.2008.04.015</v>
      </c>
      <c r="E30" s="155">
        <f t="shared" si="5"/>
        <v>104.5</v>
      </c>
      <c r="F30" s="132" t="str">
        <f t="shared" si="6"/>
        <v>NA</v>
      </c>
      <c r="G30" s="132" t="str">
        <f t="shared" si="7"/>
        <v>NA</v>
      </c>
      <c r="H30" s="133">
        <f t="shared" si="8"/>
        <v>253</v>
      </c>
      <c r="I30" s="133">
        <f t="shared" si="9"/>
        <v>20</v>
      </c>
      <c r="J30" s="133">
        <f t="shared" si="10"/>
        <v>20</v>
      </c>
      <c r="K30" t="s">
        <v>198</v>
      </c>
      <c r="L30" s="134" t="s">
        <v>199</v>
      </c>
      <c r="M30" s="146" t="s">
        <v>200</v>
      </c>
      <c r="N30" s="147" t="s">
        <v>201</v>
      </c>
      <c r="O30" t="s">
        <v>156</v>
      </c>
      <c r="P30" t="s">
        <v>157</v>
      </c>
      <c r="Q30" t="s">
        <v>161</v>
      </c>
      <c r="R30" t="s">
        <v>161</v>
      </c>
      <c r="S30" t="s">
        <v>161</v>
      </c>
      <c r="T30" t="s">
        <v>161</v>
      </c>
      <c r="U30" s="135" t="s">
        <v>161</v>
      </c>
      <c r="V30">
        <v>4.335</v>
      </c>
      <c r="W30" t="s">
        <v>161</v>
      </c>
      <c r="X30" t="s">
        <v>158</v>
      </c>
      <c r="Y30" s="136">
        <v>12.75</v>
      </c>
      <c r="Z30" s="136">
        <v>-78.73</v>
      </c>
      <c r="AA30" s="136">
        <v>12.75</v>
      </c>
      <c r="AB30" s="136">
        <v>-78.73</v>
      </c>
      <c r="AC30" s="136">
        <v>-2827</v>
      </c>
      <c r="AD30" s="136">
        <v>-2827</v>
      </c>
      <c r="AE30" t="s">
        <v>159</v>
      </c>
      <c r="AF30" t="s">
        <v>160</v>
      </c>
      <c r="AG30" s="148">
        <v>104.5</v>
      </c>
      <c r="AH30" s="3" t="s">
        <v>161</v>
      </c>
      <c r="AI30" t="s">
        <v>161</v>
      </c>
      <c r="AJ30" t="s">
        <v>161</v>
      </c>
      <c r="AK30" t="s">
        <v>161</v>
      </c>
      <c r="AL30" t="s">
        <v>161</v>
      </c>
      <c r="AM30" s="137" t="s">
        <v>202</v>
      </c>
      <c r="AN30" t="s">
        <v>161</v>
      </c>
      <c r="AO30" t="s">
        <v>161</v>
      </c>
      <c r="AP30" t="s">
        <v>161</v>
      </c>
      <c r="AQ30" t="s">
        <v>161</v>
      </c>
      <c r="AR30" t="s">
        <v>161</v>
      </c>
      <c r="AS30" t="s">
        <v>161</v>
      </c>
      <c r="AT30" t="s">
        <v>161</v>
      </c>
      <c r="AU30" t="s">
        <v>162</v>
      </c>
      <c r="AV30" t="s">
        <v>163</v>
      </c>
      <c r="AW30" t="s">
        <v>164</v>
      </c>
      <c r="AX30" s="138" t="s">
        <v>165</v>
      </c>
      <c r="AY30" t="s">
        <v>203</v>
      </c>
      <c r="AZ30" t="s">
        <v>166</v>
      </c>
      <c r="BA30" t="s">
        <v>167</v>
      </c>
      <c r="BB30" t="s">
        <v>227</v>
      </c>
      <c r="BC30">
        <v>2</v>
      </c>
      <c r="BD30">
        <v>0.17999999999999972</v>
      </c>
      <c r="BE30">
        <v>20.76</v>
      </c>
      <c r="BF30" t="s">
        <v>169</v>
      </c>
      <c r="BG30">
        <v>0.25</v>
      </c>
      <c r="BH30">
        <v>1</v>
      </c>
      <c r="BI30" t="s">
        <v>161</v>
      </c>
      <c r="BJ30" s="3" t="s">
        <v>161</v>
      </c>
      <c r="BK30">
        <v>0.8</v>
      </c>
      <c r="BL30" t="s">
        <v>161</v>
      </c>
      <c r="BM30" t="s">
        <v>161</v>
      </c>
      <c r="BN30" t="s">
        <v>233</v>
      </c>
      <c r="BO30" s="149" t="s">
        <v>234</v>
      </c>
      <c r="BP30" s="150" t="s">
        <v>161</v>
      </c>
      <c r="BQ30" s="150" t="s">
        <v>161</v>
      </c>
      <c r="BR30" s="150" t="s">
        <v>161</v>
      </c>
      <c r="BS30" s="150" t="s">
        <v>161</v>
      </c>
      <c r="BT30" s="150" t="s">
        <v>161</v>
      </c>
      <c r="BU30" s="150" t="s">
        <v>235</v>
      </c>
      <c r="BV30" s="150" t="s">
        <v>171</v>
      </c>
      <c r="BW30" s="150" t="s">
        <v>171</v>
      </c>
      <c r="BX30" s="152">
        <v>26.7</v>
      </c>
      <c r="BY30" t="s">
        <v>161</v>
      </c>
      <c r="BZ30" t="s">
        <v>161</v>
      </c>
      <c r="CA30" t="s">
        <v>161</v>
      </c>
      <c r="CB30" t="s">
        <v>239</v>
      </c>
      <c r="CC30" t="s">
        <v>161</v>
      </c>
      <c r="CD30" t="s">
        <v>161</v>
      </c>
      <c r="CE30" t="s">
        <v>161</v>
      </c>
      <c r="CF30" t="s">
        <v>161</v>
      </c>
      <c r="CG30" t="s">
        <v>161</v>
      </c>
      <c r="CH30" t="s">
        <v>161</v>
      </c>
      <c r="CI30" t="s">
        <v>161</v>
      </c>
      <c r="CJ30" t="s">
        <v>161</v>
      </c>
      <c r="CK30" t="s">
        <v>161</v>
      </c>
      <c r="CL30" t="s">
        <v>161</v>
      </c>
      <c r="CM30" t="s">
        <v>161</v>
      </c>
      <c r="CN30" t="s">
        <v>161</v>
      </c>
      <c r="CO30" t="s">
        <v>161</v>
      </c>
      <c r="CP30" t="s">
        <v>161</v>
      </c>
      <c r="CQ30" t="s">
        <v>161</v>
      </c>
      <c r="CR30" t="s">
        <v>161</v>
      </c>
      <c r="CS30" t="s">
        <v>161</v>
      </c>
      <c r="CT30" t="s">
        <v>161</v>
      </c>
      <c r="CU30" s="141">
        <v>35.200000000000003</v>
      </c>
      <c r="CV30" t="s">
        <v>161</v>
      </c>
      <c r="CW30" t="s">
        <v>161</v>
      </c>
      <c r="CX30" s="153" t="s">
        <v>161</v>
      </c>
      <c r="CY30" t="s">
        <v>172</v>
      </c>
      <c r="CZ30" t="s">
        <v>173</v>
      </c>
      <c r="DA30" t="s">
        <v>173</v>
      </c>
      <c r="DB30" t="s">
        <v>173</v>
      </c>
      <c r="DC30" t="s">
        <v>172</v>
      </c>
      <c r="DD30" t="s">
        <v>173</v>
      </c>
      <c r="DE30" t="s">
        <v>173</v>
      </c>
      <c r="DF30" t="s">
        <v>173</v>
      </c>
      <c r="DG30" t="s">
        <v>172</v>
      </c>
      <c r="DH30" t="s">
        <v>173</v>
      </c>
      <c r="DI30" t="s">
        <v>173</v>
      </c>
      <c r="DJ30" t="s">
        <v>173</v>
      </c>
      <c r="DK30" s="137">
        <v>416</v>
      </c>
      <c r="DL30" t="s">
        <v>161</v>
      </c>
      <c r="DM30" s="137" t="s">
        <v>161</v>
      </c>
      <c r="DN30" t="s">
        <v>236</v>
      </c>
      <c r="DO30">
        <v>39.5</v>
      </c>
      <c r="DP30" t="s">
        <v>174</v>
      </c>
      <c r="DQ30" t="s">
        <v>161</v>
      </c>
      <c r="DR30" t="s">
        <v>233</v>
      </c>
      <c r="DS30" t="s">
        <v>161</v>
      </c>
      <c r="DT30" t="s">
        <v>161</v>
      </c>
      <c r="DU30">
        <v>27.027200000000001</v>
      </c>
      <c r="DV30" t="s">
        <v>175</v>
      </c>
      <c r="DW30" t="s">
        <v>175</v>
      </c>
      <c r="DX30" t="s">
        <v>182</v>
      </c>
      <c r="DY30" t="s">
        <v>175</v>
      </c>
      <c r="DZ30" t="s">
        <v>175</v>
      </c>
      <c r="EA30" t="s">
        <v>237</v>
      </c>
      <c r="EB30" t="s">
        <v>161</v>
      </c>
      <c r="EC30" t="s">
        <v>238</v>
      </c>
      <c r="ED30" t="s">
        <v>238</v>
      </c>
      <c r="EE30" t="s">
        <v>161</v>
      </c>
      <c r="EF30" t="s">
        <v>161</v>
      </c>
      <c r="EG30" t="s">
        <v>161</v>
      </c>
      <c r="EH30" t="s">
        <v>240</v>
      </c>
      <c r="EI30" t="s">
        <v>241</v>
      </c>
      <c r="EJ30" t="s">
        <v>161</v>
      </c>
      <c r="EK30">
        <v>293</v>
      </c>
      <c r="EL30" t="s">
        <v>161</v>
      </c>
      <c r="EM30" t="s">
        <v>161</v>
      </c>
      <c r="EN30" t="s">
        <v>161</v>
      </c>
      <c r="EO30" t="s">
        <v>161</v>
      </c>
      <c r="EP30" t="s">
        <v>161</v>
      </c>
      <c r="EQ30" t="s">
        <v>161</v>
      </c>
      <c r="ER30" t="s">
        <v>161</v>
      </c>
      <c r="ES30">
        <v>8.1999999999999993</v>
      </c>
      <c r="ET30" s="140" t="s">
        <v>176</v>
      </c>
      <c r="EU30" s="140" t="s">
        <v>161</v>
      </c>
      <c r="EV30" s="140" t="s">
        <v>161</v>
      </c>
      <c r="EW30">
        <v>253</v>
      </c>
      <c r="EX30" s="140" t="s">
        <v>161</v>
      </c>
      <c r="EY30" t="s">
        <v>161</v>
      </c>
      <c r="EZ30" s="133">
        <f t="shared" si="3"/>
        <v>253</v>
      </c>
      <c r="FA30">
        <v>20</v>
      </c>
      <c r="FB30">
        <v>20</v>
      </c>
      <c r="FC30" t="s">
        <v>170</v>
      </c>
      <c r="FD30" t="s">
        <v>177</v>
      </c>
      <c r="FE30" t="s">
        <v>178</v>
      </c>
      <c r="FF30" t="s">
        <v>178</v>
      </c>
      <c r="FG30" t="s">
        <v>178</v>
      </c>
      <c r="FH30" t="s">
        <v>178</v>
      </c>
      <c r="FI30" t="s">
        <v>178</v>
      </c>
      <c r="FJ30" t="s">
        <v>178</v>
      </c>
      <c r="FK30" t="s">
        <v>178</v>
      </c>
      <c r="FL30" t="s">
        <v>178</v>
      </c>
      <c r="FM30" t="s">
        <v>178</v>
      </c>
      <c r="FN30" t="s">
        <v>178</v>
      </c>
      <c r="FO30" t="s">
        <v>178</v>
      </c>
      <c r="FP30" t="s">
        <v>178</v>
      </c>
    </row>
    <row r="31" spans="1:172" ht="19" x14ac:dyDescent="0.2">
      <c r="A31" s="128" t="s">
        <v>152</v>
      </c>
      <c r="B31" t="s">
        <v>197</v>
      </c>
      <c r="C31">
        <v>2008</v>
      </c>
      <c r="D31" t="str">
        <f t="shared" si="4"/>
        <v>10.1016/j.epsl.2008.04.015</v>
      </c>
      <c r="E31" s="155">
        <f t="shared" si="5"/>
        <v>114.2</v>
      </c>
      <c r="F31" s="132" t="str">
        <f t="shared" si="6"/>
        <v>NA</v>
      </c>
      <c r="G31" s="132" t="str">
        <f t="shared" si="7"/>
        <v>NA</v>
      </c>
      <c r="H31" s="133">
        <f t="shared" si="8"/>
        <v>279</v>
      </c>
      <c r="I31" s="133">
        <f t="shared" si="9"/>
        <v>20</v>
      </c>
      <c r="J31" s="133">
        <f t="shared" si="10"/>
        <v>20</v>
      </c>
      <c r="K31" t="s">
        <v>198</v>
      </c>
      <c r="L31" s="134" t="s">
        <v>199</v>
      </c>
      <c r="M31" s="146" t="s">
        <v>200</v>
      </c>
      <c r="N31" s="147" t="s">
        <v>201</v>
      </c>
      <c r="O31" t="s">
        <v>156</v>
      </c>
      <c r="P31" t="s">
        <v>157</v>
      </c>
      <c r="Q31" t="s">
        <v>161</v>
      </c>
      <c r="R31" t="s">
        <v>161</v>
      </c>
      <c r="S31" t="s">
        <v>161</v>
      </c>
      <c r="T31" t="s">
        <v>161</v>
      </c>
      <c r="U31" s="135" t="s">
        <v>161</v>
      </c>
      <c r="V31">
        <v>4.74</v>
      </c>
      <c r="W31" t="s">
        <v>161</v>
      </c>
      <c r="X31" t="s">
        <v>158</v>
      </c>
      <c r="Y31" s="136">
        <v>12.75</v>
      </c>
      <c r="Z31" s="136">
        <v>-78.73</v>
      </c>
      <c r="AA31" s="136">
        <v>12.75</v>
      </c>
      <c r="AB31" s="136">
        <v>-78.73</v>
      </c>
      <c r="AC31" s="136">
        <v>-2827</v>
      </c>
      <c r="AD31" s="136">
        <v>-2827</v>
      </c>
      <c r="AE31" t="s">
        <v>159</v>
      </c>
      <c r="AF31" t="s">
        <v>160</v>
      </c>
      <c r="AG31" s="148">
        <v>114.2</v>
      </c>
      <c r="AH31" s="3" t="s">
        <v>161</v>
      </c>
      <c r="AI31" t="s">
        <v>161</v>
      </c>
      <c r="AJ31" t="s">
        <v>161</v>
      </c>
      <c r="AK31" t="s">
        <v>161</v>
      </c>
      <c r="AL31" t="s">
        <v>161</v>
      </c>
      <c r="AM31" s="137" t="s">
        <v>202</v>
      </c>
      <c r="AN31" t="s">
        <v>161</v>
      </c>
      <c r="AO31" t="s">
        <v>161</v>
      </c>
      <c r="AP31" t="s">
        <v>161</v>
      </c>
      <c r="AQ31" t="s">
        <v>161</v>
      </c>
      <c r="AR31" t="s">
        <v>161</v>
      </c>
      <c r="AS31" t="s">
        <v>161</v>
      </c>
      <c r="AT31" t="s">
        <v>161</v>
      </c>
      <c r="AU31" t="s">
        <v>162</v>
      </c>
      <c r="AV31" t="s">
        <v>163</v>
      </c>
      <c r="AW31" t="s">
        <v>164</v>
      </c>
      <c r="AX31" s="138" t="s">
        <v>165</v>
      </c>
      <c r="AY31" t="s">
        <v>203</v>
      </c>
      <c r="AZ31" t="s">
        <v>166</v>
      </c>
      <c r="BA31" t="s">
        <v>167</v>
      </c>
      <c r="BB31" t="s">
        <v>228</v>
      </c>
      <c r="BC31">
        <v>2</v>
      </c>
      <c r="BD31">
        <v>8.9999999999999858E-2</v>
      </c>
      <c r="BE31">
        <v>20.305</v>
      </c>
      <c r="BF31" t="s">
        <v>169</v>
      </c>
      <c r="BG31">
        <v>0.25</v>
      </c>
      <c r="BH31">
        <v>1</v>
      </c>
      <c r="BI31" t="s">
        <v>161</v>
      </c>
      <c r="BJ31" s="3" t="s">
        <v>161</v>
      </c>
      <c r="BK31">
        <v>0.8</v>
      </c>
      <c r="BL31" t="s">
        <v>161</v>
      </c>
      <c r="BM31" t="s">
        <v>161</v>
      </c>
      <c r="BN31" t="s">
        <v>233</v>
      </c>
      <c r="BO31" s="149" t="s">
        <v>234</v>
      </c>
      <c r="BP31" s="150" t="s">
        <v>161</v>
      </c>
      <c r="BQ31" s="150" t="s">
        <v>161</v>
      </c>
      <c r="BR31" s="150" t="s">
        <v>161</v>
      </c>
      <c r="BS31" s="150" t="s">
        <v>161</v>
      </c>
      <c r="BT31" s="150" t="s">
        <v>161</v>
      </c>
      <c r="BU31" s="150" t="s">
        <v>235</v>
      </c>
      <c r="BV31" s="150" t="s">
        <v>171</v>
      </c>
      <c r="BW31" s="150" t="s">
        <v>171</v>
      </c>
      <c r="BX31" s="152">
        <v>26.6</v>
      </c>
      <c r="BY31" t="s">
        <v>161</v>
      </c>
      <c r="BZ31" t="s">
        <v>161</v>
      </c>
      <c r="CA31" t="s">
        <v>161</v>
      </c>
      <c r="CB31" t="s">
        <v>239</v>
      </c>
      <c r="CC31" t="s">
        <v>161</v>
      </c>
      <c r="CD31" t="s">
        <v>161</v>
      </c>
      <c r="CE31" t="s">
        <v>161</v>
      </c>
      <c r="CF31" t="s">
        <v>161</v>
      </c>
      <c r="CG31" t="s">
        <v>161</v>
      </c>
      <c r="CH31" t="s">
        <v>161</v>
      </c>
      <c r="CI31" t="s">
        <v>161</v>
      </c>
      <c r="CJ31" t="s">
        <v>161</v>
      </c>
      <c r="CK31" t="s">
        <v>161</v>
      </c>
      <c r="CL31" t="s">
        <v>161</v>
      </c>
      <c r="CM31" t="s">
        <v>161</v>
      </c>
      <c r="CN31" t="s">
        <v>161</v>
      </c>
      <c r="CO31" t="s">
        <v>161</v>
      </c>
      <c r="CP31" t="s">
        <v>161</v>
      </c>
      <c r="CQ31" t="s">
        <v>161</v>
      </c>
      <c r="CR31" t="s">
        <v>161</v>
      </c>
      <c r="CS31" t="s">
        <v>161</v>
      </c>
      <c r="CT31" t="s">
        <v>161</v>
      </c>
      <c r="CU31" s="141">
        <v>34.799999999999997</v>
      </c>
      <c r="CV31" t="s">
        <v>161</v>
      </c>
      <c r="CW31" t="s">
        <v>161</v>
      </c>
      <c r="CX31" s="153" t="s">
        <v>161</v>
      </c>
      <c r="CY31" t="s">
        <v>172</v>
      </c>
      <c r="CZ31" t="s">
        <v>173</v>
      </c>
      <c r="DA31" t="s">
        <v>173</v>
      </c>
      <c r="DB31" t="s">
        <v>173</v>
      </c>
      <c r="DC31" t="s">
        <v>172</v>
      </c>
      <c r="DD31" t="s">
        <v>173</v>
      </c>
      <c r="DE31" t="s">
        <v>173</v>
      </c>
      <c r="DF31" t="s">
        <v>173</v>
      </c>
      <c r="DG31" t="s">
        <v>172</v>
      </c>
      <c r="DH31" t="s">
        <v>173</v>
      </c>
      <c r="DI31" t="s">
        <v>173</v>
      </c>
      <c r="DJ31" t="s">
        <v>173</v>
      </c>
      <c r="DK31" s="137">
        <v>416</v>
      </c>
      <c r="DL31" t="s">
        <v>161</v>
      </c>
      <c r="DM31" s="137" t="s">
        <v>161</v>
      </c>
      <c r="DN31" t="s">
        <v>236</v>
      </c>
      <c r="DO31">
        <v>39.5</v>
      </c>
      <c r="DP31" t="s">
        <v>174</v>
      </c>
      <c r="DQ31" t="s">
        <v>161</v>
      </c>
      <c r="DR31" t="s">
        <v>233</v>
      </c>
      <c r="DS31" t="s">
        <v>161</v>
      </c>
      <c r="DT31" t="s">
        <v>161</v>
      </c>
      <c r="DU31">
        <v>28.027200000000001</v>
      </c>
      <c r="DV31" t="s">
        <v>175</v>
      </c>
      <c r="DW31" t="s">
        <v>175</v>
      </c>
      <c r="DX31" t="s">
        <v>182</v>
      </c>
      <c r="DY31" t="s">
        <v>175</v>
      </c>
      <c r="DZ31" t="s">
        <v>175</v>
      </c>
      <c r="EA31" t="s">
        <v>237</v>
      </c>
      <c r="EB31" t="s">
        <v>161</v>
      </c>
      <c r="EC31" t="s">
        <v>238</v>
      </c>
      <c r="ED31" t="s">
        <v>238</v>
      </c>
      <c r="EE31" t="s">
        <v>161</v>
      </c>
      <c r="EF31" t="s">
        <v>161</v>
      </c>
      <c r="EG31" t="s">
        <v>161</v>
      </c>
      <c r="EH31" t="s">
        <v>240</v>
      </c>
      <c r="EI31" t="s">
        <v>241</v>
      </c>
      <c r="EJ31" t="s">
        <v>161</v>
      </c>
      <c r="EK31">
        <v>272</v>
      </c>
      <c r="EL31" t="s">
        <v>161</v>
      </c>
      <c r="EM31" t="s">
        <v>161</v>
      </c>
      <c r="EN31" t="s">
        <v>161</v>
      </c>
      <c r="EO31" t="s">
        <v>161</v>
      </c>
      <c r="EP31" t="s">
        <v>161</v>
      </c>
      <c r="EQ31" t="s">
        <v>161</v>
      </c>
      <c r="ER31" t="s">
        <v>161</v>
      </c>
      <c r="ES31">
        <v>8.1639999999999997</v>
      </c>
      <c r="ET31" s="140" t="s">
        <v>176</v>
      </c>
      <c r="EU31" s="140" t="s">
        <v>161</v>
      </c>
      <c r="EV31" s="140" t="s">
        <v>161</v>
      </c>
      <c r="EW31">
        <v>279</v>
      </c>
      <c r="EX31" s="140" t="s">
        <v>161</v>
      </c>
      <c r="EY31" t="s">
        <v>161</v>
      </c>
      <c r="EZ31" s="133">
        <f t="shared" si="3"/>
        <v>279</v>
      </c>
      <c r="FA31">
        <v>20</v>
      </c>
      <c r="FB31">
        <v>20</v>
      </c>
      <c r="FC31" t="s">
        <v>170</v>
      </c>
      <c r="FD31" t="s">
        <v>177</v>
      </c>
      <c r="FE31" t="s">
        <v>178</v>
      </c>
      <c r="FF31" t="s">
        <v>178</v>
      </c>
      <c r="FG31" t="s">
        <v>178</v>
      </c>
      <c r="FH31" t="s">
        <v>178</v>
      </c>
      <c r="FI31" t="s">
        <v>178</v>
      </c>
      <c r="FJ31" t="s">
        <v>178</v>
      </c>
      <c r="FK31" t="s">
        <v>178</v>
      </c>
      <c r="FL31" t="s">
        <v>178</v>
      </c>
      <c r="FM31" t="s">
        <v>178</v>
      </c>
      <c r="FN31" t="s">
        <v>178</v>
      </c>
      <c r="FO31" t="s">
        <v>178</v>
      </c>
      <c r="FP31" t="s">
        <v>178</v>
      </c>
    </row>
    <row r="32" spans="1:172" ht="19" x14ac:dyDescent="0.2">
      <c r="A32" s="128" t="s">
        <v>152</v>
      </c>
      <c r="B32" t="s">
        <v>197</v>
      </c>
      <c r="C32">
        <v>2008</v>
      </c>
      <c r="D32" t="str">
        <f t="shared" si="4"/>
        <v>10.1016/j.epsl.2008.04.015</v>
      </c>
      <c r="E32" s="155">
        <f t="shared" si="5"/>
        <v>116.1</v>
      </c>
      <c r="F32" s="132" t="str">
        <f t="shared" si="6"/>
        <v>NA</v>
      </c>
      <c r="G32" s="132" t="str">
        <f t="shared" si="7"/>
        <v>NA</v>
      </c>
      <c r="H32" s="133">
        <f t="shared" si="8"/>
        <v>288</v>
      </c>
      <c r="I32" s="133">
        <f t="shared" si="9"/>
        <v>20</v>
      </c>
      <c r="J32" s="133">
        <f t="shared" si="10"/>
        <v>20</v>
      </c>
      <c r="K32" t="s">
        <v>198</v>
      </c>
      <c r="L32" s="134" t="s">
        <v>199</v>
      </c>
      <c r="M32" s="146" t="s">
        <v>200</v>
      </c>
      <c r="N32" s="147" t="s">
        <v>201</v>
      </c>
      <c r="O32" t="s">
        <v>156</v>
      </c>
      <c r="P32" t="s">
        <v>157</v>
      </c>
      <c r="Q32" t="s">
        <v>161</v>
      </c>
      <c r="R32" t="s">
        <v>161</v>
      </c>
      <c r="S32" t="s">
        <v>161</v>
      </c>
      <c r="T32" t="s">
        <v>161</v>
      </c>
      <c r="U32" s="135" t="s">
        <v>161</v>
      </c>
      <c r="V32">
        <v>4.82</v>
      </c>
      <c r="W32" t="s">
        <v>161</v>
      </c>
      <c r="X32" t="s">
        <v>158</v>
      </c>
      <c r="Y32" s="136">
        <v>12.75</v>
      </c>
      <c r="Z32" s="136">
        <v>-78.73</v>
      </c>
      <c r="AA32" s="136">
        <v>12.75</v>
      </c>
      <c r="AB32" s="136">
        <v>-78.73</v>
      </c>
      <c r="AC32" s="136">
        <v>-2827</v>
      </c>
      <c r="AD32" s="136">
        <v>-2827</v>
      </c>
      <c r="AE32" t="s">
        <v>159</v>
      </c>
      <c r="AF32" t="s">
        <v>160</v>
      </c>
      <c r="AG32" s="148">
        <v>116.1</v>
      </c>
      <c r="AH32" s="3" t="s">
        <v>161</v>
      </c>
      <c r="AI32" t="s">
        <v>161</v>
      </c>
      <c r="AJ32" t="s">
        <v>161</v>
      </c>
      <c r="AK32" t="s">
        <v>161</v>
      </c>
      <c r="AL32" t="s">
        <v>161</v>
      </c>
      <c r="AM32" s="137" t="s">
        <v>202</v>
      </c>
      <c r="AN32" t="s">
        <v>161</v>
      </c>
      <c r="AO32" t="s">
        <v>161</v>
      </c>
      <c r="AP32" t="s">
        <v>161</v>
      </c>
      <c r="AQ32" t="s">
        <v>161</v>
      </c>
      <c r="AR32" t="s">
        <v>161</v>
      </c>
      <c r="AS32" t="s">
        <v>161</v>
      </c>
      <c r="AT32" t="s">
        <v>161</v>
      </c>
      <c r="AU32" t="s">
        <v>162</v>
      </c>
      <c r="AV32" t="s">
        <v>163</v>
      </c>
      <c r="AW32" t="s">
        <v>164</v>
      </c>
      <c r="AX32" s="138" t="s">
        <v>165</v>
      </c>
      <c r="AY32" t="s">
        <v>203</v>
      </c>
      <c r="AZ32" t="s">
        <v>166</v>
      </c>
      <c r="BA32" t="s">
        <v>167</v>
      </c>
      <c r="BB32" t="s">
        <v>229</v>
      </c>
      <c r="BC32">
        <v>2</v>
      </c>
      <c r="BD32">
        <v>0.10000000000000142</v>
      </c>
      <c r="BE32">
        <v>20.18</v>
      </c>
      <c r="BF32" t="s">
        <v>169</v>
      </c>
      <c r="BG32">
        <v>0.25</v>
      </c>
      <c r="BH32">
        <v>1</v>
      </c>
      <c r="BI32" t="s">
        <v>161</v>
      </c>
      <c r="BJ32" s="3" t="s">
        <v>161</v>
      </c>
      <c r="BK32">
        <v>0.8</v>
      </c>
      <c r="BL32" t="s">
        <v>161</v>
      </c>
      <c r="BM32" t="s">
        <v>161</v>
      </c>
      <c r="BN32" t="s">
        <v>233</v>
      </c>
      <c r="BO32" s="149" t="s">
        <v>234</v>
      </c>
      <c r="BP32" s="150" t="s">
        <v>161</v>
      </c>
      <c r="BQ32" s="150" t="s">
        <v>161</v>
      </c>
      <c r="BR32" s="150" t="s">
        <v>161</v>
      </c>
      <c r="BS32" s="150" t="s">
        <v>161</v>
      </c>
      <c r="BT32" s="150" t="s">
        <v>161</v>
      </c>
      <c r="BU32" s="150" t="s">
        <v>235</v>
      </c>
      <c r="BV32" s="150" t="s">
        <v>171</v>
      </c>
      <c r="BW32" s="150" t="s">
        <v>171</v>
      </c>
      <c r="BX32" s="152">
        <v>27.1</v>
      </c>
      <c r="BY32" t="s">
        <v>161</v>
      </c>
      <c r="BZ32" t="s">
        <v>161</v>
      </c>
      <c r="CA32" t="s">
        <v>161</v>
      </c>
      <c r="CB32" t="s">
        <v>239</v>
      </c>
      <c r="CC32" t="s">
        <v>161</v>
      </c>
      <c r="CD32" t="s">
        <v>161</v>
      </c>
      <c r="CE32" t="s">
        <v>161</v>
      </c>
      <c r="CF32" t="s">
        <v>161</v>
      </c>
      <c r="CG32" t="s">
        <v>161</v>
      </c>
      <c r="CH32" t="s">
        <v>161</v>
      </c>
      <c r="CI32" t="s">
        <v>161</v>
      </c>
      <c r="CJ32" t="s">
        <v>161</v>
      </c>
      <c r="CK32" t="s">
        <v>161</v>
      </c>
      <c r="CL32" t="s">
        <v>161</v>
      </c>
      <c r="CM32" t="s">
        <v>161</v>
      </c>
      <c r="CN32" t="s">
        <v>161</v>
      </c>
      <c r="CO32" t="s">
        <v>161</v>
      </c>
      <c r="CP32" t="s">
        <v>161</v>
      </c>
      <c r="CQ32" t="s">
        <v>161</v>
      </c>
      <c r="CR32" t="s">
        <v>161</v>
      </c>
      <c r="CS32" t="s">
        <v>161</v>
      </c>
      <c r="CT32" t="s">
        <v>161</v>
      </c>
      <c r="CU32" s="141">
        <v>34.700000000000003</v>
      </c>
      <c r="CV32" t="s">
        <v>161</v>
      </c>
      <c r="CW32" t="s">
        <v>161</v>
      </c>
      <c r="CX32" s="153" t="s">
        <v>161</v>
      </c>
      <c r="CY32" t="s">
        <v>172</v>
      </c>
      <c r="CZ32" t="s">
        <v>173</v>
      </c>
      <c r="DA32" t="s">
        <v>173</v>
      </c>
      <c r="DB32" t="s">
        <v>173</v>
      </c>
      <c r="DC32" t="s">
        <v>172</v>
      </c>
      <c r="DD32" t="s">
        <v>173</v>
      </c>
      <c r="DE32" t="s">
        <v>173</v>
      </c>
      <c r="DF32" t="s">
        <v>173</v>
      </c>
      <c r="DG32" t="s">
        <v>172</v>
      </c>
      <c r="DH32" t="s">
        <v>173</v>
      </c>
      <c r="DI32" t="s">
        <v>173</v>
      </c>
      <c r="DJ32" t="s">
        <v>173</v>
      </c>
      <c r="DK32" s="137">
        <v>416</v>
      </c>
      <c r="DL32" t="s">
        <v>161</v>
      </c>
      <c r="DM32" s="137" t="s">
        <v>161</v>
      </c>
      <c r="DN32" t="s">
        <v>236</v>
      </c>
      <c r="DO32">
        <v>39.5</v>
      </c>
      <c r="DP32" t="s">
        <v>174</v>
      </c>
      <c r="DQ32" t="s">
        <v>161</v>
      </c>
      <c r="DR32" t="s">
        <v>233</v>
      </c>
      <c r="DS32" t="s">
        <v>161</v>
      </c>
      <c r="DT32" t="s">
        <v>161</v>
      </c>
      <c r="DU32">
        <v>29.027200000000001</v>
      </c>
      <c r="DV32" t="s">
        <v>175</v>
      </c>
      <c r="DW32" t="s">
        <v>175</v>
      </c>
      <c r="DX32" t="s">
        <v>182</v>
      </c>
      <c r="DY32" t="s">
        <v>175</v>
      </c>
      <c r="DZ32" t="s">
        <v>175</v>
      </c>
      <c r="EA32" t="s">
        <v>237</v>
      </c>
      <c r="EB32" t="s">
        <v>161</v>
      </c>
      <c r="EC32" t="s">
        <v>238</v>
      </c>
      <c r="ED32" t="s">
        <v>238</v>
      </c>
      <c r="EE32" t="s">
        <v>161</v>
      </c>
      <c r="EF32" t="s">
        <v>161</v>
      </c>
      <c r="EG32" t="s">
        <v>161</v>
      </c>
      <c r="EH32" t="s">
        <v>240</v>
      </c>
      <c r="EI32" t="s">
        <v>241</v>
      </c>
      <c r="EJ32" t="s">
        <v>161</v>
      </c>
      <c r="EK32">
        <v>269</v>
      </c>
      <c r="EL32" t="s">
        <v>161</v>
      </c>
      <c r="EM32" t="s">
        <v>161</v>
      </c>
      <c r="EN32" t="s">
        <v>161</v>
      </c>
      <c r="EO32" t="s">
        <v>161</v>
      </c>
      <c r="EP32" t="s">
        <v>161</v>
      </c>
      <c r="EQ32" t="s">
        <v>161</v>
      </c>
      <c r="ER32" t="s">
        <v>161</v>
      </c>
      <c r="ES32">
        <v>8.1519999999999992</v>
      </c>
      <c r="ET32" s="140" t="s">
        <v>176</v>
      </c>
      <c r="EU32" s="140" t="s">
        <v>161</v>
      </c>
      <c r="EV32" s="140" t="s">
        <v>161</v>
      </c>
      <c r="EW32">
        <v>288</v>
      </c>
      <c r="EX32" s="140" t="s">
        <v>161</v>
      </c>
      <c r="EY32" t="s">
        <v>161</v>
      </c>
      <c r="EZ32" s="133">
        <f t="shared" si="3"/>
        <v>288</v>
      </c>
      <c r="FA32">
        <v>20</v>
      </c>
      <c r="FB32">
        <v>20</v>
      </c>
      <c r="FC32" t="s">
        <v>170</v>
      </c>
      <c r="FD32" t="s">
        <v>177</v>
      </c>
      <c r="FE32" t="s">
        <v>178</v>
      </c>
      <c r="FF32" t="s">
        <v>178</v>
      </c>
      <c r="FG32" t="s">
        <v>178</v>
      </c>
      <c r="FH32" t="s">
        <v>178</v>
      </c>
      <c r="FI32" t="s">
        <v>178</v>
      </c>
      <c r="FJ32" t="s">
        <v>178</v>
      </c>
      <c r="FK32" t="s">
        <v>178</v>
      </c>
      <c r="FL32" t="s">
        <v>178</v>
      </c>
      <c r="FM32" t="s">
        <v>178</v>
      </c>
      <c r="FN32" t="s">
        <v>178</v>
      </c>
      <c r="FO32" t="s">
        <v>178</v>
      </c>
      <c r="FP32" t="s">
        <v>178</v>
      </c>
    </row>
    <row r="33" spans="1:172" ht="19" x14ac:dyDescent="0.2">
      <c r="A33" s="128" t="s">
        <v>152</v>
      </c>
      <c r="B33" t="s">
        <v>197</v>
      </c>
      <c r="C33">
        <v>2008</v>
      </c>
      <c r="D33" t="str">
        <f t="shared" si="4"/>
        <v>10.1016/j.epsl.2008.04.015</v>
      </c>
      <c r="E33" s="155">
        <f t="shared" si="5"/>
        <v>119.1</v>
      </c>
      <c r="F33" s="132" t="str">
        <f t="shared" si="6"/>
        <v>NA</v>
      </c>
      <c r="G33" s="132" t="str">
        <f t="shared" si="7"/>
        <v>NA</v>
      </c>
      <c r="H33" s="133">
        <f t="shared" si="8"/>
        <v>293</v>
      </c>
      <c r="I33" s="133">
        <f t="shared" si="9"/>
        <v>20</v>
      </c>
      <c r="J33" s="133">
        <f t="shared" si="10"/>
        <v>20</v>
      </c>
      <c r="K33" t="s">
        <v>198</v>
      </c>
      <c r="L33" s="134" t="s">
        <v>199</v>
      </c>
      <c r="M33" s="146" t="s">
        <v>200</v>
      </c>
      <c r="N33" s="147" t="s">
        <v>201</v>
      </c>
      <c r="O33" t="s">
        <v>156</v>
      </c>
      <c r="P33" t="s">
        <v>157</v>
      </c>
      <c r="Q33" t="s">
        <v>161</v>
      </c>
      <c r="R33" t="s">
        <v>161</v>
      </c>
      <c r="S33" t="s">
        <v>161</v>
      </c>
      <c r="T33" t="s">
        <v>161</v>
      </c>
      <c r="U33" s="135" t="s">
        <v>161</v>
      </c>
      <c r="V33">
        <v>4.9400000000000004</v>
      </c>
      <c r="W33" t="s">
        <v>161</v>
      </c>
      <c r="X33" t="s">
        <v>158</v>
      </c>
      <c r="Y33" s="136">
        <v>12.75</v>
      </c>
      <c r="Z33" s="136">
        <v>-78.73</v>
      </c>
      <c r="AA33" s="136">
        <v>12.75</v>
      </c>
      <c r="AB33" s="136">
        <v>-78.73</v>
      </c>
      <c r="AC33" s="136">
        <v>-2827</v>
      </c>
      <c r="AD33" s="136">
        <v>-2827</v>
      </c>
      <c r="AE33" t="s">
        <v>159</v>
      </c>
      <c r="AF33" t="s">
        <v>160</v>
      </c>
      <c r="AG33" s="148">
        <v>119.1</v>
      </c>
      <c r="AH33" s="3" t="s">
        <v>161</v>
      </c>
      <c r="AI33" t="s">
        <v>161</v>
      </c>
      <c r="AJ33" t="s">
        <v>161</v>
      </c>
      <c r="AK33" t="s">
        <v>161</v>
      </c>
      <c r="AL33" t="s">
        <v>161</v>
      </c>
      <c r="AM33" s="137" t="s">
        <v>202</v>
      </c>
      <c r="AN33" t="s">
        <v>161</v>
      </c>
      <c r="AO33" t="s">
        <v>161</v>
      </c>
      <c r="AP33" t="s">
        <v>161</v>
      </c>
      <c r="AQ33" t="s">
        <v>161</v>
      </c>
      <c r="AR33" t="s">
        <v>161</v>
      </c>
      <c r="AS33" t="s">
        <v>161</v>
      </c>
      <c r="AT33" t="s">
        <v>161</v>
      </c>
      <c r="AU33" t="s">
        <v>162</v>
      </c>
      <c r="AV33" t="s">
        <v>163</v>
      </c>
      <c r="AW33" t="s">
        <v>164</v>
      </c>
      <c r="AX33" s="138" t="s">
        <v>165</v>
      </c>
      <c r="AY33" t="s">
        <v>203</v>
      </c>
      <c r="AZ33" t="s">
        <v>166</v>
      </c>
      <c r="BA33" t="s">
        <v>167</v>
      </c>
      <c r="BB33" t="s">
        <v>230</v>
      </c>
      <c r="BC33">
        <v>2</v>
      </c>
      <c r="BD33">
        <v>0.23999999999999844</v>
      </c>
      <c r="BE33">
        <v>20.119999999999997</v>
      </c>
      <c r="BF33" t="s">
        <v>169</v>
      </c>
      <c r="BG33">
        <v>0.25</v>
      </c>
      <c r="BH33">
        <v>1</v>
      </c>
      <c r="BI33" t="s">
        <v>161</v>
      </c>
      <c r="BJ33" s="3" t="s">
        <v>161</v>
      </c>
      <c r="BK33">
        <v>0.8</v>
      </c>
      <c r="BL33" t="s">
        <v>161</v>
      </c>
      <c r="BM33" t="s">
        <v>161</v>
      </c>
      <c r="BN33" t="s">
        <v>233</v>
      </c>
      <c r="BO33" s="149" t="s">
        <v>234</v>
      </c>
      <c r="BP33" s="150" t="s">
        <v>161</v>
      </c>
      <c r="BQ33" s="150" t="s">
        <v>161</v>
      </c>
      <c r="BR33" s="150" t="s">
        <v>161</v>
      </c>
      <c r="BS33" s="150" t="s">
        <v>161</v>
      </c>
      <c r="BT33" s="150" t="s">
        <v>161</v>
      </c>
      <c r="BU33" s="150" t="s">
        <v>235</v>
      </c>
      <c r="BV33" s="150" t="s">
        <v>171</v>
      </c>
      <c r="BW33" s="150" t="s">
        <v>171</v>
      </c>
      <c r="BX33" s="152">
        <v>27.3</v>
      </c>
      <c r="BY33" t="s">
        <v>161</v>
      </c>
      <c r="BZ33" t="s">
        <v>161</v>
      </c>
      <c r="CA33" t="s">
        <v>161</v>
      </c>
      <c r="CB33" t="s">
        <v>239</v>
      </c>
      <c r="CC33" t="s">
        <v>161</v>
      </c>
      <c r="CD33" t="s">
        <v>161</v>
      </c>
      <c r="CE33" t="s">
        <v>161</v>
      </c>
      <c r="CF33" t="s">
        <v>161</v>
      </c>
      <c r="CG33" t="s">
        <v>161</v>
      </c>
      <c r="CH33" t="s">
        <v>161</v>
      </c>
      <c r="CI33" t="s">
        <v>161</v>
      </c>
      <c r="CJ33" t="s">
        <v>161</v>
      </c>
      <c r="CK33" t="s">
        <v>161</v>
      </c>
      <c r="CL33" t="s">
        <v>161</v>
      </c>
      <c r="CM33" t="s">
        <v>161</v>
      </c>
      <c r="CN33" t="s">
        <v>161</v>
      </c>
      <c r="CO33" t="s">
        <v>161</v>
      </c>
      <c r="CP33" t="s">
        <v>161</v>
      </c>
      <c r="CQ33" t="s">
        <v>161</v>
      </c>
      <c r="CR33" t="s">
        <v>161</v>
      </c>
      <c r="CS33" t="s">
        <v>161</v>
      </c>
      <c r="CT33" t="s">
        <v>161</v>
      </c>
      <c r="CU33" s="141">
        <v>34.6</v>
      </c>
      <c r="CV33" t="s">
        <v>161</v>
      </c>
      <c r="CW33" t="s">
        <v>161</v>
      </c>
      <c r="CX33" s="153" t="s">
        <v>161</v>
      </c>
      <c r="CY33" t="s">
        <v>172</v>
      </c>
      <c r="CZ33" t="s">
        <v>173</v>
      </c>
      <c r="DA33" t="s">
        <v>173</v>
      </c>
      <c r="DB33" t="s">
        <v>173</v>
      </c>
      <c r="DC33" t="s">
        <v>172</v>
      </c>
      <c r="DD33" t="s">
        <v>173</v>
      </c>
      <c r="DE33" t="s">
        <v>173</v>
      </c>
      <c r="DF33" t="s">
        <v>173</v>
      </c>
      <c r="DG33" t="s">
        <v>172</v>
      </c>
      <c r="DH33" t="s">
        <v>173</v>
      </c>
      <c r="DI33" t="s">
        <v>173</v>
      </c>
      <c r="DJ33" t="s">
        <v>173</v>
      </c>
      <c r="DK33" s="137">
        <v>416</v>
      </c>
      <c r="DL33" t="s">
        <v>161</v>
      </c>
      <c r="DM33" s="137" t="s">
        <v>161</v>
      </c>
      <c r="DN33" t="s">
        <v>236</v>
      </c>
      <c r="DO33">
        <v>39.5</v>
      </c>
      <c r="DP33" t="s">
        <v>174</v>
      </c>
      <c r="DQ33" t="s">
        <v>161</v>
      </c>
      <c r="DR33" t="s">
        <v>233</v>
      </c>
      <c r="DS33" t="s">
        <v>161</v>
      </c>
      <c r="DT33" t="s">
        <v>161</v>
      </c>
      <c r="DU33">
        <v>30.027200000000001</v>
      </c>
      <c r="DV33" t="s">
        <v>175</v>
      </c>
      <c r="DW33" t="s">
        <v>175</v>
      </c>
      <c r="DX33" t="s">
        <v>182</v>
      </c>
      <c r="DY33" t="s">
        <v>175</v>
      </c>
      <c r="DZ33" t="s">
        <v>175</v>
      </c>
      <c r="EA33" t="s">
        <v>237</v>
      </c>
      <c r="EB33" t="s">
        <v>161</v>
      </c>
      <c r="EC33" t="s">
        <v>238</v>
      </c>
      <c r="ED33" t="s">
        <v>238</v>
      </c>
      <c r="EE33" t="s">
        <v>161</v>
      </c>
      <c r="EF33" t="s">
        <v>161</v>
      </c>
      <c r="EG33" t="s">
        <v>161</v>
      </c>
      <c r="EH33" t="s">
        <v>240</v>
      </c>
      <c r="EI33" t="s">
        <v>241</v>
      </c>
      <c r="EJ33" t="s">
        <v>161</v>
      </c>
      <c r="EK33">
        <v>266</v>
      </c>
      <c r="EL33" t="s">
        <v>161</v>
      </c>
      <c r="EM33" t="s">
        <v>161</v>
      </c>
      <c r="EN33" t="s">
        <v>161</v>
      </c>
      <c r="EO33" t="s">
        <v>161</v>
      </c>
      <c r="EP33" t="s">
        <v>161</v>
      </c>
      <c r="EQ33" t="s">
        <v>161</v>
      </c>
      <c r="ER33" t="s">
        <v>161</v>
      </c>
      <c r="ES33">
        <v>8.1460000000000008</v>
      </c>
      <c r="ET33" s="140" t="s">
        <v>176</v>
      </c>
      <c r="EU33" s="140" t="s">
        <v>161</v>
      </c>
      <c r="EV33" s="140" t="s">
        <v>161</v>
      </c>
      <c r="EW33">
        <v>293</v>
      </c>
      <c r="EX33" s="140" t="s">
        <v>161</v>
      </c>
      <c r="EY33" t="s">
        <v>161</v>
      </c>
      <c r="EZ33" s="133">
        <f t="shared" si="3"/>
        <v>293</v>
      </c>
      <c r="FA33">
        <v>20</v>
      </c>
      <c r="FB33">
        <v>20</v>
      </c>
      <c r="FC33" t="s">
        <v>170</v>
      </c>
      <c r="FD33" t="s">
        <v>177</v>
      </c>
      <c r="FE33" t="s">
        <v>178</v>
      </c>
      <c r="FF33" t="s">
        <v>178</v>
      </c>
      <c r="FG33" t="s">
        <v>178</v>
      </c>
      <c r="FH33" t="s">
        <v>178</v>
      </c>
      <c r="FI33" t="s">
        <v>178</v>
      </c>
      <c r="FJ33" t="s">
        <v>178</v>
      </c>
      <c r="FK33" t="s">
        <v>178</v>
      </c>
      <c r="FL33" t="s">
        <v>178</v>
      </c>
      <c r="FM33" t="s">
        <v>178</v>
      </c>
      <c r="FN33" t="s">
        <v>178</v>
      </c>
      <c r="FO33" t="s">
        <v>178</v>
      </c>
      <c r="FP33" t="s">
        <v>178</v>
      </c>
    </row>
    <row r="34" spans="1:172" ht="19" x14ac:dyDescent="0.2">
      <c r="A34" s="128" t="s">
        <v>152</v>
      </c>
      <c r="B34" t="s">
        <v>197</v>
      </c>
      <c r="C34">
        <v>2008</v>
      </c>
      <c r="D34" t="str">
        <f t="shared" si="4"/>
        <v>10.1016/j.epsl.2008.04.015</v>
      </c>
      <c r="E34" s="155">
        <f t="shared" si="5"/>
        <v>122.3</v>
      </c>
      <c r="F34" s="132" t="str">
        <f t="shared" si="6"/>
        <v>NA</v>
      </c>
      <c r="G34" s="132" t="str">
        <f t="shared" si="7"/>
        <v>NA</v>
      </c>
      <c r="H34" s="133">
        <f t="shared" si="8"/>
        <v>271</v>
      </c>
      <c r="I34" s="133">
        <f t="shared" si="9"/>
        <v>20</v>
      </c>
      <c r="J34" s="133">
        <f t="shared" si="10"/>
        <v>20</v>
      </c>
      <c r="K34" t="s">
        <v>198</v>
      </c>
      <c r="L34" s="134" t="s">
        <v>199</v>
      </c>
      <c r="M34" s="146" t="s">
        <v>200</v>
      </c>
      <c r="N34" s="147" t="s">
        <v>201</v>
      </c>
      <c r="O34" t="s">
        <v>156</v>
      </c>
      <c r="P34" t="s">
        <v>157</v>
      </c>
      <c r="Q34" t="s">
        <v>161</v>
      </c>
      <c r="R34" t="s">
        <v>161</v>
      </c>
      <c r="S34" t="s">
        <v>161</v>
      </c>
      <c r="T34" t="s">
        <v>161</v>
      </c>
      <c r="U34" s="135" t="s">
        <v>161</v>
      </c>
      <c r="V34">
        <v>5.04</v>
      </c>
      <c r="W34" t="s">
        <v>161</v>
      </c>
      <c r="X34" t="s">
        <v>158</v>
      </c>
      <c r="Y34" s="136">
        <v>12.75</v>
      </c>
      <c r="Z34" s="136">
        <v>-78.73</v>
      </c>
      <c r="AA34" s="136">
        <v>12.75</v>
      </c>
      <c r="AB34" s="136">
        <v>-78.73</v>
      </c>
      <c r="AC34" s="136">
        <v>-2827</v>
      </c>
      <c r="AD34" s="136">
        <v>-2827</v>
      </c>
      <c r="AE34" t="s">
        <v>159</v>
      </c>
      <c r="AF34" t="s">
        <v>160</v>
      </c>
      <c r="AG34" s="148">
        <v>122.3</v>
      </c>
      <c r="AH34" s="3" t="s">
        <v>161</v>
      </c>
      <c r="AI34" t="s">
        <v>161</v>
      </c>
      <c r="AJ34" t="s">
        <v>161</v>
      </c>
      <c r="AK34" t="s">
        <v>161</v>
      </c>
      <c r="AL34" t="s">
        <v>161</v>
      </c>
      <c r="AM34" s="137" t="s">
        <v>202</v>
      </c>
      <c r="AN34" t="s">
        <v>161</v>
      </c>
      <c r="AO34" t="s">
        <v>161</v>
      </c>
      <c r="AP34" t="s">
        <v>161</v>
      </c>
      <c r="AQ34" t="s">
        <v>161</v>
      </c>
      <c r="AR34" t="s">
        <v>161</v>
      </c>
      <c r="AS34" t="s">
        <v>161</v>
      </c>
      <c r="AT34" t="s">
        <v>161</v>
      </c>
      <c r="AU34" t="s">
        <v>162</v>
      </c>
      <c r="AV34" t="s">
        <v>163</v>
      </c>
      <c r="AW34" t="s">
        <v>164</v>
      </c>
      <c r="AX34" s="138" t="s">
        <v>165</v>
      </c>
      <c r="AY34" t="s">
        <v>203</v>
      </c>
      <c r="AZ34" t="s">
        <v>166</v>
      </c>
      <c r="BA34" t="s">
        <v>167</v>
      </c>
      <c r="BB34" t="s">
        <v>231</v>
      </c>
      <c r="BC34">
        <v>2</v>
      </c>
      <c r="BD34">
        <v>0.10999999999999943</v>
      </c>
      <c r="BE34">
        <v>20.754999999999999</v>
      </c>
      <c r="BF34" t="s">
        <v>169</v>
      </c>
      <c r="BG34">
        <v>0.25</v>
      </c>
      <c r="BH34">
        <v>1</v>
      </c>
      <c r="BI34" t="s">
        <v>161</v>
      </c>
      <c r="BJ34" s="3" t="s">
        <v>161</v>
      </c>
      <c r="BK34">
        <v>0.8</v>
      </c>
      <c r="BL34" t="s">
        <v>161</v>
      </c>
      <c r="BM34" t="s">
        <v>161</v>
      </c>
      <c r="BN34" t="s">
        <v>233</v>
      </c>
      <c r="BO34" s="149" t="s">
        <v>234</v>
      </c>
      <c r="BP34" s="150" t="s">
        <v>161</v>
      </c>
      <c r="BQ34" s="150" t="s">
        <v>161</v>
      </c>
      <c r="BR34" s="150" t="s">
        <v>161</v>
      </c>
      <c r="BS34" s="150" t="s">
        <v>161</v>
      </c>
      <c r="BT34" s="150" t="s">
        <v>161</v>
      </c>
      <c r="BU34" s="150" t="s">
        <v>235</v>
      </c>
      <c r="BV34" s="150" t="s">
        <v>171</v>
      </c>
      <c r="BW34" s="150" t="s">
        <v>171</v>
      </c>
      <c r="BX34" s="152">
        <v>28.5</v>
      </c>
      <c r="BY34" t="s">
        <v>161</v>
      </c>
      <c r="BZ34" t="s">
        <v>161</v>
      </c>
      <c r="CA34" t="s">
        <v>161</v>
      </c>
      <c r="CB34" t="s">
        <v>239</v>
      </c>
      <c r="CC34" t="s">
        <v>161</v>
      </c>
      <c r="CD34" t="s">
        <v>161</v>
      </c>
      <c r="CE34" t="s">
        <v>161</v>
      </c>
      <c r="CF34" t="s">
        <v>161</v>
      </c>
      <c r="CG34" t="s">
        <v>161</v>
      </c>
      <c r="CH34" t="s">
        <v>161</v>
      </c>
      <c r="CI34" t="s">
        <v>161</v>
      </c>
      <c r="CJ34" t="s">
        <v>161</v>
      </c>
      <c r="CK34" t="s">
        <v>161</v>
      </c>
      <c r="CL34" t="s">
        <v>161</v>
      </c>
      <c r="CM34" t="s">
        <v>161</v>
      </c>
      <c r="CN34" t="s">
        <v>161</v>
      </c>
      <c r="CO34" t="s">
        <v>161</v>
      </c>
      <c r="CP34" t="s">
        <v>161</v>
      </c>
      <c r="CQ34" t="s">
        <v>161</v>
      </c>
      <c r="CR34" t="s">
        <v>161</v>
      </c>
      <c r="CS34" t="s">
        <v>161</v>
      </c>
      <c r="CT34" t="s">
        <v>161</v>
      </c>
      <c r="CU34" s="141">
        <v>35.700000000000003</v>
      </c>
      <c r="CV34" t="s">
        <v>161</v>
      </c>
      <c r="CW34" t="s">
        <v>161</v>
      </c>
      <c r="CX34" s="153" t="s">
        <v>161</v>
      </c>
      <c r="CY34" t="s">
        <v>172</v>
      </c>
      <c r="CZ34" t="s">
        <v>173</v>
      </c>
      <c r="DA34" t="s">
        <v>173</v>
      </c>
      <c r="DB34" t="s">
        <v>173</v>
      </c>
      <c r="DC34" t="s">
        <v>172</v>
      </c>
      <c r="DD34" t="s">
        <v>173</v>
      </c>
      <c r="DE34" t="s">
        <v>173</v>
      </c>
      <c r="DF34" t="s">
        <v>173</v>
      </c>
      <c r="DG34" t="s">
        <v>172</v>
      </c>
      <c r="DH34" t="s">
        <v>173</v>
      </c>
      <c r="DI34" t="s">
        <v>173</v>
      </c>
      <c r="DJ34" t="s">
        <v>173</v>
      </c>
      <c r="DK34" s="137">
        <v>416</v>
      </c>
      <c r="DL34" t="s">
        <v>161</v>
      </c>
      <c r="DM34" s="137" t="s">
        <v>161</v>
      </c>
      <c r="DN34" t="s">
        <v>236</v>
      </c>
      <c r="DO34">
        <v>39.5</v>
      </c>
      <c r="DP34" t="s">
        <v>174</v>
      </c>
      <c r="DQ34" t="s">
        <v>161</v>
      </c>
      <c r="DR34" t="s">
        <v>233</v>
      </c>
      <c r="DS34" t="s">
        <v>161</v>
      </c>
      <c r="DT34" t="s">
        <v>161</v>
      </c>
      <c r="DU34">
        <v>31.027200000000001</v>
      </c>
      <c r="DV34" t="s">
        <v>175</v>
      </c>
      <c r="DW34" t="s">
        <v>175</v>
      </c>
      <c r="DX34" t="s">
        <v>182</v>
      </c>
      <c r="DY34" t="s">
        <v>175</v>
      </c>
      <c r="DZ34" t="s">
        <v>175</v>
      </c>
      <c r="EA34" t="s">
        <v>237</v>
      </c>
      <c r="EB34" t="s">
        <v>161</v>
      </c>
      <c r="EC34" t="s">
        <v>238</v>
      </c>
      <c r="ED34" t="s">
        <v>238</v>
      </c>
      <c r="EE34" t="s">
        <v>161</v>
      </c>
      <c r="EF34" t="s">
        <v>161</v>
      </c>
      <c r="EG34" t="s">
        <v>161</v>
      </c>
      <c r="EH34" t="s">
        <v>240</v>
      </c>
      <c r="EI34" t="s">
        <v>241</v>
      </c>
      <c r="EJ34" t="s">
        <v>161</v>
      </c>
      <c r="EK34">
        <v>301</v>
      </c>
      <c r="EL34" t="s">
        <v>161</v>
      </c>
      <c r="EM34" t="s">
        <v>161</v>
      </c>
      <c r="EN34" t="s">
        <v>161</v>
      </c>
      <c r="EO34" t="s">
        <v>161</v>
      </c>
      <c r="EP34" t="s">
        <v>161</v>
      </c>
      <c r="EQ34" t="s">
        <v>161</v>
      </c>
      <c r="ER34" t="s">
        <v>161</v>
      </c>
      <c r="ES34">
        <v>8.1760000000000002</v>
      </c>
      <c r="ET34" s="140" t="s">
        <v>176</v>
      </c>
      <c r="EU34" s="140" t="s">
        <v>161</v>
      </c>
      <c r="EV34" s="140" t="s">
        <v>161</v>
      </c>
      <c r="EW34">
        <v>271</v>
      </c>
      <c r="EX34" s="140" t="s">
        <v>161</v>
      </c>
      <c r="EY34" t="s">
        <v>161</v>
      </c>
      <c r="EZ34" s="133">
        <f t="shared" si="3"/>
        <v>271</v>
      </c>
      <c r="FA34">
        <v>20</v>
      </c>
      <c r="FB34">
        <v>20</v>
      </c>
      <c r="FC34" t="s">
        <v>170</v>
      </c>
      <c r="FD34" t="s">
        <v>177</v>
      </c>
      <c r="FE34" t="s">
        <v>178</v>
      </c>
      <c r="FF34" t="s">
        <v>178</v>
      </c>
      <c r="FG34" t="s">
        <v>178</v>
      </c>
      <c r="FH34" t="s">
        <v>178</v>
      </c>
      <c r="FI34" t="s">
        <v>178</v>
      </c>
      <c r="FJ34" t="s">
        <v>178</v>
      </c>
      <c r="FK34" t="s">
        <v>178</v>
      </c>
      <c r="FL34" t="s">
        <v>178</v>
      </c>
      <c r="FM34" t="s">
        <v>178</v>
      </c>
      <c r="FN34" t="s">
        <v>178</v>
      </c>
      <c r="FO34" t="s">
        <v>178</v>
      </c>
      <c r="FP34" t="s">
        <v>178</v>
      </c>
    </row>
    <row r="35" spans="1:172" ht="19" x14ac:dyDescent="0.2">
      <c r="A35" s="128" t="s">
        <v>152</v>
      </c>
      <c r="B35" t="s">
        <v>197</v>
      </c>
      <c r="C35">
        <v>2008</v>
      </c>
      <c r="D35" t="str">
        <f t="shared" si="4"/>
        <v>10.1016/j.epsl.2008.04.015</v>
      </c>
      <c r="E35" s="155">
        <f t="shared" si="5"/>
        <v>131</v>
      </c>
      <c r="F35" s="132" t="str">
        <f t="shared" si="6"/>
        <v>NA</v>
      </c>
      <c r="G35" s="132" t="str">
        <f t="shared" si="7"/>
        <v>NA</v>
      </c>
      <c r="H35" s="133">
        <f t="shared" si="8"/>
        <v>286</v>
      </c>
      <c r="I35" s="133">
        <f t="shared" si="9"/>
        <v>20</v>
      </c>
      <c r="J35" s="133">
        <f t="shared" si="10"/>
        <v>20</v>
      </c>
      <c r="K35" t="s">
        <v>198</v>
      </c>
      <c r="L35" s="134" t="s">
        <v>199</v>
      </c>
      <c r="M35" s="146" t="s">
        <v>200</v>
      </c>
      <c r="N35" s="147" t="s">
        <v>201</v>
      </c>
      <c r="O35" t="s">
        <v>156</v>
      </c>
      <c r="P35" t="s">
        <v>157</v>
      </c>
      <c r="Q35" t="s">
        <v>161</v>
      </c>
      <c r="R35" t="s">
        <v>161</v>
      </c>
      <c r="S35" t="s">
        <v>161</v>
      </c>
      <c r="T35" t="s">
        <v>161</v>
      </c>
      <c r="U35" s="135" t="s">
        <v>161</v>
      </c>
      <c r="V35">
        <v>5.23</v>
      </c>
      <c r="W35" t="s">
        <v>161</v>
      </c>
      <c r="X35" t="s">
        <v>158</v>
      </c>
      <c r="Y35" s="136">
        <v>12.75</v>
      </c>
      <c r="Z35" s="136">
        <v>-78.73</v>
      </c>
      <c r="AA35" s="136">
        <v>12.75</v>
      </c>
      <c r="AB35" s="136">
        <v>-78.73</v>
      </c>
      <c r="AC35" s="136">
        <v>-2827</v>
      </c>
      <c r="AD35" s="136">
        <v>-2827</v>
      </c>
      <c r="AE35" t="s">
        <v>159</v>
      </c>
      <c r="AF35" t="s">
        <v>160</v>
      </c>
      <c r="AG35" s="148">
        <v>131</v>
      </c>
      <c r="AH35" s="3" t="s">
        <v>161</v>
      </c>
      <c r="AI35" t="s">
        <v>161</v>
      </c>
      <c r="AJ35" t="s">
        <v>161</v>
      </c>
      <c r="AK35" t="s">
        <v>161</v>
      </c>
      <c r="AL35" t="s">
        <v>161</v>
      </c>
      <c r="AM35" s="137" t="s">
        <v>202</v>
      </c>
      <c r="AN35" t="s">
        <v>161</v>
      </c>
      <c r="AO35" t="s">
        <v>161</v>
      </c>
      <c r="AP35" t="s">
        <v>161</v>
      </c>
      <c r="AQ35" t="s">
        <v>161</v>
      </c>
      <c r="AR35" t="s">
        <v>161</v>
      </c>
      <c r="AS35" t="s">
        <v>161</v>
      </c>
      <c r="AT35" t="s">
        <v>161</v>
      </c>
      <c r="AU35" t="s">
        <v>162</v>
      </c>
      <c r="AV35" t="s">
        <v>163</v>
      </c>
      <c r="AW35" t="s">
        <v>164</v>
      </c>
      <c r="AX35" s="138" t="s">
        <v>165</v>
      </c>
      <c r="AY35" t="s">
        <v>203</v>
      </c>
      <c r="AZ35" t="s">
        <v>166</v>
      </c>
      <c r="BA35" t="s">
        <v>167</v>
      </c>
      <c r="BB35" t="s">
        <v>232</v>
      </c>
      <c r="BC35">
        <v>2</v>
      </c>
      <c r="BD35">
        <v>5.9999999999998714E-2</v>
      </c>
      <c r="BE35">
        <v>20.67</v>
      </c>
      <c r="BF35" t="s">
        <v>169</v>
      </c>
      <c r="BG35">
        <v>0.25</v>
      </c>
      <c r="BH35">
        <v>1</v>
      </c>
      <c r="BI35" t="s">
        <v>161</v>
      </c>
      <c r="BJ35" s="3" t="s">
        <v>161</v>
      </c>
      <c r="BK35">
        <v>0.8</v>
      </c>
      <c r="BL35" t="s">
        <v>161</v>
      </c>
      <c r="BM35" t="s">
        <v>161</v>
      </c>
      <c r="BN35" t="s">
        <v>233</v>
      </c>
      <c r="BO35" s="149" t="s">
        <v>234</v>
      </c>
      <c r="BP35" s="150" t="s">
        <v>161</v>
      </c>
      <c r="BQ35" s="150" t="s">
        <v>161</v>
      </c>
      <c r="BR35" s="150" t="s">
        <v>161</v>
      </c>
      <c r="BS35" s="150" t="s">
        <v>161</v>
      </c>
      <c r="BT35" s="150" t="s">
        <v>161</v>
      </c>
      <c r="BU35" s="150" t="s">
        <v>235</v>
      </c>
      <c r="BV35" s="150" t="s">
        <v>171</v>
      </c>
      <c r="BW35" s="150" t="s">
        <v>171</v>
      </c>
      <c r="BX35" s="152">
        <v>29.1</v>
      </c>
      <c r="BY35" t="s">
        <v>161</v>
      </c>
      <c r="BZ35" t="s">
        <v>161</v>
      </c>
      <c r="CA35" t="s">
        <v>161</v>
      </c>
      <c r="CB35" t="s">
        <v>239</v>
      </c>
      <c r="CC35" t="s">
        <v>161</v>
      </c>
      <c r="CD35" t="s">
        <v>161</v>
      </c>
      <c r="CE35" t="s">
        <v>161</v>
      </c>
      <c r="CF35" t="s">
        <v>161</v>
      </c>
      <c r="CG35" t="s">
        <v>161</v>
      </c>
      <c r="CH35" t="s">
        <v>161</v>
      </c>
      <c r="CI35" t="s">
        <v>161</v>
      </c>
      <c r="CJ35" t="s">
        <v>161</v>
      </c>
      <c r="CK35" t="s">
        <v>161</v>
      </c>
      <c r="CL35" t="s">
        <v>161</v>
      </c>
      <c r="CM35" t="s">
        <v>161</v>
      </c>
      <c r="CN35" t="s">
        <v>161</v>
      </c>
      <c r="CO35" t="s">
        <v>161</v>
      </c>
      <c r="CP35" t="s">
        <v>161</v>
      </c>
      <c r="CQ35" t="s">
        <v>161</v>
      </c>
      <c r="CR35" t="s">
        <v>161</v>
      </c>
      <c r="CS35" t="s">
        <v>161</v>
      </c>
      <c r="CT35" t="s">
        <v>161</v>
      </c>
      <c r="CU35" s="141">
        <v>36.200000000000003</v>
      </c>
      <c r="CV35" t="s">
        <v>161</v>
      </c>
      <c r="CW35" t="s">
        <v>161</v>
      </c>
      <c r="CX35" s="153" t="s">
        <v>161</v>
      </c>
      <c r="CY35" t="s">
        <v>172</v>
      </c>
      <c r="CZ35" t="s">
        <v>173</v>
      </c>
      <c r="DA35" t="s">
        <v>173</v>
      </c>
      <c r="DB35" t="s">
        <v>173</v>
      </c>
      <c r="DC35" t="s">
        <v>172</v>
      </c>
      <c r="DD35" t="s">
        <v>173</v>
      </c>
      <c r="DE35" t="s">
        <v>173</v>
      </c>
      <c r="DF35" t="s">
        <v>173</v>
      </c>
      <c r="DG35" t="s">
        <v>172</v>
      </c>
      <c r="DH35" t="s">
        <v>173</v>
      </c>
      <c r="DI35" t="s">
        <v>173</v>
      </c>
      <c r="DJ35" t="s">
        <v>173</v>
      </c>
      <c r="DK35" s="137">
        <v>416</v>
      </c>
      <c r="DL35" t="s">
        <v>161</v>
      </c>
      <c r="DM35" s="137" t="s">
        <v>161</v>
      </c>
      <c r="DN35" t="s">
        <v>236</v>
      </c>
      <c r="DO35">
        <v>39.5</v>
      </c>
      <c r="DP35" t="s">
        <v>174</v>
      </c>
      <c r="DQ35" t="s">
        <v>161</v>
      </c>
      <c r="DR35" t="s">
        <v>233</v>
      </c>
      <c r="DS35" t="s">
        <v>161</v>
      </c>
      <c r="DT35" t="s">
        <v>161</v>
      </c>
      <c r="DU35">
        <v>32.027200000000001</v>
      </c>
      <c r="DV35" t="s">
        <v>175</v>
      </c>
      <c r="DW35" t="s">
        <v>175</v>
      </c>
      <c r="DX35" t="s">
        <v>182</v>
      </c>
      <c r="DY35" t="s">
        <v>175</v>
      </c>
      <c r="DZ35" t="s">
        <v>175</v>
      </c>
      <c r="EA35" t="s">
        <v>237</v>
      </c>
      <c r="EB35" t="s">
        <v>161</v>
      </c>
      <c r="EC35" t="s">
        <v>238</v>
      </c>
      <c r="ED35" t="s">
        <v>238</v>
      </c>
      <c r="EE35" t="s">
        <v>161</v>
      </c>
      <c r="EF35" t="s">
        <v>161</v>
      </c>
      <c r="EG35" t="s">
        <v>161</v>
      </c>
      <c r="EH35" t="s">
        <v>240</v>
      </c>
      <c r="EI35" t="s">
        <v>241</v>
      </c>
      <c r="EJ35" t="s">
        <v>161</v>
      </c>
      <c r="EK35">
        <v>305</v>
      </c>
      <c r="EL35" t="s">
        <v>161</v>
      </c>
      <c r="EM35" t="s">
        <v>161</v>
      </c>
      <c r="EN35" t="s">
        <v>161</v>
      </c>
      <c r="EO35" t="s">
        <v>161</v>
      </c>
      <c r="EP35" t="s">
        <v>161</v>
      </c>
      <c r="EQ35" t="s">
        <v>161</v>
      </c>
      <c r="ER35" t="s">
        <v>161</v>
      </c>
      <c r="ES35">
        <v>8.1590000000000007</v>
      </c>
      <c r="ET35" s="140" t="s">
        <v>176</v>
      </c>
      <c r="EU35" s="140" t="s">
        <v>161</v>
      </c>
      <c r="EV35" s="140" t="s">
        <v>161</v>
      </c>
      <c r="EW35">
        <v>286</v>
      </c>
      <c r="EX35" s="140" t="s">
        <v>161</v>
      </c>
      <c r="EY35" t="s">
        <v>161</v>
      </c>
      <c r="EZ35" s="133">
        <f t="shared" si="3"/>
        <v>286</v>
      </c>
      <c r="FA35">
        <v>20</v>
      </c>
      <c r="FB35">
        <v>20</v>
      </c>
      <c r="FC35" t="s">
        <v>170</v>
      </c>
      <c r="FD35" t="s">
        <v>177</v>
      </c>
      <c r="FE35" t="s">
        <v>178</v>
      </c>
      <c r="FF35" t="s">
        <v>178</v>
      </c>
      <c r="FG35" t="s">
        <v>178</v>
      </c>
      <c r="FH35" t="s">
        <v>178</v>
      </c>
      <c r="FI35" t="s">
        <v>178</v>
      </c>
      <c r="FJ35" t="s">
        <v>178</v>
      </c>
      <c r="FK35" t="s">
        <v>178</v>
      </c>
      <c r="FL35" t="s">
        <v>178</v>
      </c>
      <c r="FM35" t="s">
        <v>178</v>
      </c>
      <c r="FN35" t="s">
        <v>178</v>
      </c>
      <c r="FO35" t="s">
        <v>178</v>
      </c>
      <c r="FP35" t="s">
        <v>178</v>
      </c>
    </row>
  </sheetData>
  <phoneticPr fontId="41" type="noConversion"/>
  <hyperlinks>
    <hyperlink ref="L4" r:id="rId1" xr:uid="{49ED00E3-8197-4A42-B4FB-77DFF3315B0A}"/>
    <hyperlink ref="L5" r:id="rId2" xr:uid="{02C8BC14-F5B4-6D4D-8DAA-02674AFBC91F}"/>
    <hyperlink ref="L6" r:id="rId3" xr:uid="{FCA557DB-3A9C-174C-B1ED-E48DBFB30F4F}"/>
    <hyperlink ref="L8" r:id="rId4" xr:uid="{1DA02F09-7406-0541-AD00-F2B61B73B0D8}"/>
    <hyperlink ref="L10" r:id="rId5" xr:uid="{E3A0DFFA-747C-7249-8471-8FA34C59056A}"/>
    <hyperlink ref="L12" r:id="rId6" xr:uid="{6F6A10A4-E7F4-6C45-A383-07C1111B2A75}"/>
    <hyperlink ref="L14" r:id="rId7" xr:uid="{914703FD-922B-0044-AC51-3F6937EBC622}"/>
    <hyperlink ref="L16" r:id="rId8" xr:uid="{BFCD6099-4747-7E4F-AEC2-0A258D4079FD}"/>
    <hyperlink ref="L18" r:id="rId9" xr:uid="{F148FC58-F0A8-6D40-83C2-8F71D8F1C436}"/>
    <hyperlink ref="L20" r:id="rId10" xr:uid="{985A3F40-C440-D44D-814A-E1BDFB7D0BAC}"/>
    <hyperlink ref="L22" r:id="rId11" xr:uid="{348FD59F-F384-C34D-A388-6734A2A64622}"/>
    <hyperlink ref="L24" r:id="rId12" xr:uid="{92D48014-8133-0842-8916-0D9C84A0FA8D}"/>
    <hyperlink ref="L26" r:id="rId13" xr:uid="{5F1213CD-33F6-2D4E-9C78-9774CDCB69D3}"/>
    <hyperlink ref="L28" r:id="rId14" xr:uid="{5F615275-4C7A-7040-AEAD-38E0D0B80EDD}"/>
    <hyperlink ref="L30" r:id="rId15" xr:uid="{9E270E21-B785-294F-8B23-3DF80993DA3D}"/>
    <hyperlink ref="L32" r:id="rId16" xr:uid="{290FBB93-4225-AC41-B3CB-20E9B79B1031}"/>
    <hyperlink ref="L34" r:id="rId17" xr:uid="{1750B631-799E-6C4C-905B-55E983E01B7E}"/>
    <hyperlink ref="L7" r:id="rId18" xr:uid="{087516FD-2551-0148-83E8-565E1735EFBB}"/>
    <hyperlink ref="L9" r:id="rId19" xr:uid="{9F05B966-264E-E44F-A65A-C255BCE8615C}"/>
    <hyperlink ref="L11" r:id="rId20" xr:uid="{0EF56B7E-92CB-7444-AF24-EBBA5605C31C}"/>
    <hyperlink ref="L13" r:id="rId21" xr:uid="{F933795B-97CA-584B-9B9E-F8BEC34017D6}"/>
    <hyperlink ref="L15" r:id="rId22" xr:uid="{6914D514-44B7-C646-8408-8405A074C1AE}"/>
    <hyperlink ref="L17" r:id="rId23" xr:uid="{BF2AB523-7D2F-C545-883E-6EFF0E054920}"/>
    <hyperlink ref="L19" r:id="rId24" xr:uid="{153CE4EB-1D34-4045-829B-CECBB6F113EF}"/>
    <hyperlink ref="L21" r:id="rId25" xr:uid="{8761BD1D-FA9A-0F47-843C-F70C301A379E}"/>
    <hyperlink ref="L23" r:id="rId26" xr:uid="{C4652DE3-EFE7-1547-82A9-BB3690DADBD4}"/>
    <hyperlink ref="L25" r:id="rId27" xr:uid="{221B924F-5198-D24B-A92F-5EA98130055A}"/>
    <hyperlink ref="L27" r:id="rId28" xr:uid="{A62F142E-3B53-0C44-87CA-F3B78DC48A34}"/>
    <hyperlink ref="L29" r:id="rId29" xr:uid="{62DEE542-EAE5-EB4D-A747-3984D017056C}"/>
    <hyperlink ref="L31" r:id="rId30" xr:uid="{A47BB980-7513-E24A-BDEC-D9B23F81FF66}"/>
    <hyperlink ref="L33" r:id="rId31" xr:uid="{FCABB2DB-E45B-8C4A-B023-E56EFA44DA6D}"/>
    <hyperlink ref="L35" r:id="rId32" xr:uid="{9106EA54-A8B5-734A-83E2-59F2CA58D3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FB87-9F54-D54F-ABD2-90459A82D54B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192</v>
      </c>
    </row>
    <row r="3" spans="1:1" x14ac:dyDescent="0.2">
      <c r="A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2021-06-01T12:48:26Z</dcterms:modified>
</cp:coreProperties>
</file>