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5"/>
  <workbookPr/>
  <mc:AlternateContent xmlns:mc="http://schemas.openxmlformats.org/markup-compatibility/2006">
    <mc:Choice Requires="x15">
      <x15ac:absPath xmlns:x15ac="http://schemas.microsoft.com/office/spreadsheetml/2010/11/ac" url="/Users/Daphnia/Desktop/paleo pCO2 data base/archive/archive data files July 2020/"/>
    </mc:Choice>
  </mc:AlternateContent>
  <xr:revisionPtr revIDLastSave="0" documentId="13_ncr:1_{9A57317D-90AC-D44D-BE01-5CE8A30FF980}" xr6:coauthVersionLast="36" xr6:coauthVersionMax="36" xr10:uidLastSave="{00000000-0000-0000-0000-000000000000}"/>
  <bookViews>
    <workbookView xWindow="0" yWindow="1200" windowWidth="25600" windowHeight="15540" tabRatio="500" xr2:uid="{00000000-000D-0000-FFFF-FFFF00000000}"/>
  </bookViews>
  <sheets>
    <sheet name="boron isotopes" sheetId="2" r:id="rId1"/>
    <sheet name="Column specifications" sheetId="3" r:id="rId2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W5" i="2" l="1"/>
  <c r="EW6" i="2"/>
  <c r="EW7" i="2"/>
  <c r="EW8" i="2"/>
  <c r="EW9" i="2"/>
  <c r="EW10" i="2"/>
  <c r="EW11" i="2"/>
  <c r="EW12" i="2"/>
  <c r="EW13" i="2"/>
  <c r="EW14" i="2"/>
  <c r="EW15" i="2"/>
  <c r="EW16" i="2"/>
  <c r="EW17" i="2"/>
  <c r="EW18" i="2"/>
  <c r="EW19" i="2"/>
  <c r="EW20" i="2"/>
  <c r="EW21" i="2"/>
  <c r="EW22" i="2"/>
  <c r="EW23" i="2"/>
  <c r="EW24" i="2"/>
  <c r="EW25" i="2"/>
  <c r="EW26" i="2"/>
  <c r="EW27" i="2"/>
  <c r="EW28" i="2"/>
  <c r="EW29" i="2"/>
  <c r="EW30" i="2"/>
  <c r="EW31" i="2"/>
  <c r="EW32" i="2"/>
  <c r="EW33" i="2"/>
  <c r="EW34" i="2"/>
  <c r="EW35" i="2"/>
  <c r="EW36" i="2"/>
  <c r="EW37" i="2"/>
  <c r="EW38" i="2"/>
  <c r="EW4" i="2"/>
  <c r="CE5" i="2" l="1"/>
  <c r="CF5" i="2"/>
  <c r="CE6" i="2"/>
  <c r="CF6" i="2"/>
  <c r="CE7" i="2"/>
  <c r="CF7" i="2"/>
  <c r="CE8" i="2"/>
  <c r="CF8" i="2"/>
  <c r="CE9" i="2"/>
  <c r="CF9" i="2"/>
  <c r="CE10" i="2"/>
  <c r="CF10" i="2"/>
  <c r="CE11" i="2"/>
  <c r="CF11" i="2"/>
  <c r="CE12" i="2"/>
  <c r="CF12" i="2"/>
  <c r="CE13" i="2"/>
  <c r="CF13" i="2"/>
  <c r="CE14" i="2"/>
  <c r="CF14" i="2"/>
  <c r="CE15" i="2"/>
  <c r="CF15" i="2"/>
  <c r="CE16" i="2"/>
  <c r="CF16" i="2"/>
  <c r="CE17" i="2"/>
  <c r="CF17" i="2"/>
  <c r="CE18" i="2"/>
  <c r="CF18" i="2"/>
  <c r="CE19" i="2"/>
  <c r="CF19" i="2"/>
  <c r="CE20" i="2"/>
  <c r="CF20" i="2"/>
  <c r="CE21" i="2"/>
  <c r="CF21" i="2"/>
  <c r="CE22" i="2"/>
  <c r="CF22" i="2"/>
  <c r="CE23" i="2"/>
  <c r="CF23" i="2"/>
  <c r="CE24" i="2"/>
  <c r="CF24" i="2"/>
  <c r="CE25" i="2"/>
  <c r="CF25" i="2"/>
  <c r="CE26" i="2"/>
  <c r="CF26" i="2"/>
  <c r="CE27" i="2"/>
  <c r="CF27" i="2"/>
  <c r="CE28" i="2"/>
  <c r="CF28" i="2"/>
  <c r="CE29" i="2"/>
  <c r="CF29" i="2"/>
  <c r="CE30" i="2"/>
  <c r="CF30" i="2"/>
  <c r="CE31" i="2"/>
  <c r="CF31" i="2"/>
  <c r="CE32" i="2"/>
  <c r="CF32" i="2"/>
  <c r="CE33" i="2"/>
  <c r="CF33" i="2"/>
  <c r="CE34" i="2"/>
  <c r="CF34" i="2"/>
  <c r="CE35" i="2"/>
  <c r="CF35" i="2"/>
  <c r="CE36" i="2"/>
  <c r="CF36" i="2"/>
  <c r="CE37" i="2"/>
  <c r="CF37" i="2"/>
  <c r="CE38" i="2"/>
  <c r="CF38" i="2"/>
  <c r="CF4" i="2"/>
  <c r="CE4" i="2"/>
  <c r="E6" i="2" l="1"/>
  <c r="F6" i="2"/>
  <c r="G6" i="2"/>
  <c r="H6" i="2"/>
  <c r="I6" i="2"/>
  <c r="J6" i="2"/>
  <c r="E7" i="2"/>
  <c r="F7" i="2"/>
  <c r="G7" i="2"/>
  <c r="H7" i="2"/>
  <c r="I7" i="2"/>
  <c r="J7" i="2"/>
  <c r="E8" i="2"/>
  <c r="F8" i="2"/>
  <c r="G8" i="2"/>
  <c r="H8" i="2"/>
  <c r="I8" i="2"/>
  <c r="J8" i="2"/>
  <c r="E9" i="2"/>
  <c r="F9" i="2"/>
  <c r="G9" i="2"/>
  <c r="H9" i="2"/>
  <c r="I9" i="2"/>
  <c r="J9" i="2"/>
  <c r="E10" i="2"/>
  <c r="F10" i="2"/>
  <c r="G10" i="2"/>
  <c r="H10" i="2"/>
  <c r="I10" i="2"/>
  <c r="J10" i="2"/>
  <c r="E11" i="2"/>
  <c r="F11" i="2"/>
  <c r="G11" i="2"/>
  <c r="H11" i="2"/>
  <c r="I11" i="2"/>
  <c r="J11" i="2"/>
  <c r="E12" i="2"/>
  <c r="F12" i="2"/>
  <c r="G12" i="2"/>
  <c r="H12" i="2"/>
  <c r="I12" i="2"/>
  <c r="J12" i="2"/>
  <c r="E13" i="2"/>
  <c r="F13" i="2"/>
  <c r="G13" i="2"/>
  <c r="H13" i="2"/>
  <c r="I13" i="2"/>
  <c r="J13" i="2"/>
  <c r="E14" i="2"/>
  <c r="F14" i="2"/>
  <c r="G14" i="2"/>
  <c r="H14" i="2"/>
  <c r="I14" i="2"/>
  <c r="J14" i="2"/>
  <c r="E15" i="2"/>
  <c r="F15" i="2"/>
  <c r="G15" i="2"/>
  <c r="H15" i="2"/>
  <c r="I15" i="2"/>
  <c r="J15" i="2"/>
  <c r="E16" i="2"/>
  <c r="F16" i="2"/>
  <c r="G16" i="2"/>
  <c r="H16" i="2"/>
  <c r="I16" i="2"/>
  <c r="J16" i="2"/>
  <c r="E17" i="2"/>
  <c r="F17" i="2"/>
  <c r="G17" i="2"/>
  <c r="H17" i="2"/>
  <c r="I17" i="2"/>
  <c r="J17" i="2"/>
  <c r="E18" i="2"/>
  <c r="F18" i="2"/>
  <c r="G18" i="2"/>
  <c r="H18" i="2"/>
  <c r="I18" i="2"/>
  <c r="J18" i="2"/>
  <c r="E19" i="2"/>
  <c r="F19" i="2"/>
  <c r="G19" i="2"/>
  <c r="H19" i="2"/>
  <c r="I19" i="2"/>
  <c r="J19" i="2"/>
  <c r="E20" i="2"/>
  <c r="F20" i="2"/>
  <c r="G20" i="2"/>
  <c r="H20" i="2"/>
  <c r="I20" i="2"/>
  <c r="J20" i="2"/>
  <c r="E21" i="2"/>
  <c r="F21" i="2"/>
  <c r="G21" i="2"/>
  <c r="H21" i="2"/>
  <c r="I21" i="2"/>
  <c r="J21" i="2"/>
  <c r="E22" i="2"/>
  <c r="F22" i="2"/>
  <c r="G22" i="2"/>
  <c r="H22" i="2"/>
  <c r="I22" i="2"/>
  <c r="J22" i="2"/>
  <c r="E23" i="2"/>
  <c r="F23" i="2"/>
  <c r="G23" i="2"/>
  <c r="H23" i="2"/>
  <c r="I23" i="2"/>
  <c r="J23" i="2"/>
  <c r="E24" i="2"/>
  <c r="F24" i="2"/>
  <c r="G24" i="2"/>
  <c r="H24" i="2"/>
  <c r="I24" i="2"/>
  <c r="J24" i="2"/>
  <c r="E25" i="2"/>
  <c r="F25" i="2"/>
  <c r="G25" i="2"/>
  <c r="H25" i="2"/>
  <c r="I25" i="2"/>
  <c r="J25" i="2"/>
  <c r="E26" i="2"/>
  <c r="F26" i="2"/>
  <c r="G26" i="2"/>
  <c r="H26" i="2"/>
  <c r="I26" i="2"/>
  <c r="J26" i="2"/>
  <c r="E27" i="2"/>
  <c r="F27" i="2"/>
  <c r="G27" i="2"/>
  <c r="H27" i="2"/>
  <c r="I27" i="2"/>
  <c r="J27" i="2"/>
  <c r="E28" i="2"/>
  <c r="F28" i="2"/>
  <c r="G28" i="2"/>
  <c r="H28" i="2"/>
  <c r="I28" i="2"/>
  <c r="J28" i="2"/>
  <c r="E29" i="2"/>
  <c r="F29" i="2"/>
  <c r="G29" i="2"/>
  <c r="H29" i="2"/>
  <c r="I29" i="2"/>
  <c r="J29" i="2"/>
  <c r="E30" i="2"/>
  <c r="F30" i="2"/>
  <c r="G30" i="2"/>
  <c r="H30" i="2"/>
  <c r="I30" i="2"/>
  <c r="J30" i="2"/>
  <c r="E31" i="2"/>
  <c r="F31" i="2"/>
  <c r="G31" i="2"/>
  <c r="H31" i="2"/>
  <c r="I31" i="2"/>
  <c r="J31" i="2"/>
  <c r="E32" i="2"/>
  <c r="F32" i="2"/>
  <c r="G32" i="2"/>
  <c r="H32" i="2"/>
  <c r="I32" i="2"/>
  <c r="J32" i="2"/>
  <c r="E33" i="2"/>
  <c r="F33" i="2"/>
  <c r="G33" i="2"/>
  <c r="H33" i="2"/>
  <c r="I33" i="2"/>
  <c r="J33" i="2"/>
  <c r="E34" i="2"/>
  <c r="F34" i="2"/>
  <c r="G34" i="2"/>
  <c r="H34" i="2"/>
  <c r="I34" i="2"/>
  <c r="J34" i="2"/>
  <c r="E35" i="2"/>
  <c r="F35" i="2"/>
  <c r="G35" i="2"/>
  <c r="H35" i="2"/>
  <c r="I35" i="2"/>
  <c r="J35" i="2"/>
  <c r="E36" i="2"/>
  <c r="F36" i="2"/>
  <c r="G36" i="2"/>
  <c r="H36" i="2"/>
  <c r="I36" i="2"/>
  <c r="J36" i="2"/>
  <c r="E37" i="2"/>
  <c r="F37" i="2"/>
  <c r="G37" i="2"/>
  <c r="H37" i="2"/>
  <c r="I37" i="2"/>
  <c r="J37" i="2"/>
  <c r="E38" i="2"/>
  <c r="F38" i="2"/>
  <c r="G38" i="2"/>
  <c r="H38" i="2"/>
  <c r="I38" i="2"/>
  <c r="J38" i="2"/>
  <c r="J5" i="2"/>
  <c r="I5" i="2"/>
  <c r="H5" i="2"/>
  <c r="G5" i="2"/>
  <c r="F5" i="2"/>
  <c r="E5" i="2"/>
  <c r="I4" i="2"/>
  <c r="J4" i="2"/>
  <c r="H4" i="2"/>
  <c r="F4" i="2"/>
  <c r="G4" i="2"/>
  <c r="E4" i="2"/>
</calcChain>
</file>

<file path=xl/sharedStrings.xml><?xml version="1.0" encoding="utf-8"?>
<sst xmlns="http://schemas.openxmlformats.org/spreadsheetml/2006/main" count="4618" uniqueCount="247">
  <si>
    <r>
      <rPr>
        <vertAlign val="superscript"/>
        <sz val="10"/>
        <rFont val="Verdana"/>
        <family val="2"/>
      </rPr>
      <t>a</t>
    </r>
    <r>
      <rPr>
        <sz val="12"/>
        <color theme="1"/>
        <rFont val="Calibri"/>
        <family val="2"/>
        <scheme val="minor"/>
      </rPr>
      <t>for definitions of CSF-A, CSF-B and CCSF, please see: https://www.iodp.org/policies-and-guidelines/142-iodp-depth-scales-terminology-april-2011/file</t>
    </r>
  </si>
  <si>
    <t>REFERENCE AND CONTACT INFORMATION</t>
  </si>
  <si>
    <t>SAMPLE IDENTIFICATION</t>
  </si>
  <si>
    <t>AGE CONSTRAINTS</t>
  </si>
  <si>
    <t>ANALYTICAL SPECIFICATIONS</t>
  </si>
  <si>
    <t>VITAL EFFECT</t>
    <phoneticPr fontId="0" type="noConversion"/>
  </si>
  <si>
    <r>
      <rPr>
        <b/>
        <sz val="12"/>
        <rFont val="Calibri (Body)"/>
      </rPr>
      <t>CALCULATED</t>
    </r>
    <r>
      <rPr>
        <b/>
        <sz val="12"/>
        <rFont val="Symbol"/>
        <charset val="2"/>
      </rPr>
      <t xml:space="preserve"> 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</si>
  <si>
    <t>ACCESSORY INPUTS</t>
  </si>
  <si>
    <t>METHOD OF TEMPERATURE DETERMINATION</t>
  </si>
  <si>
    <t>ALTERNATIVE METHOD OF TEMPERATURE RECONSTRUCTION</t>
  </si>
  <si>
    <t>SEAWATER COMPOSITION</t>
  </si>
  <si>
    <t>AQUEOUS BORON ISOTOPE FRACTIONATION</t>
  </si>
  <si>
    <r>
      <t>PARAMETERIZATION OF CO</t>
    </r>
    <r>
      <rPr>
        <b/>
        <vertAlign val="subscript"/>
        <sz val="12"/>
        <color indexed="8"/>
        <rFont val="Calibri"/>
        <family val="2"/>
      </rPr>
      <t>2</t>
    </r>
    <r>
      <rPr>
        <b/>
        <sz val="12"/>
        <color indexed="8"/>
        <rFont val="Calibri"/>
        <family val="2"/>
      </rPr>
      <t xml:space="preserve"> CALCULATION</t>
    </r>
  </si>
  <si>
    <t>SECOND PARAMETER OF THE CARBONATE SYSTEM</t>
  </si>
  <si>
    <t>CALCULATED PARAMETERS OF THE CARBONATE SYSTEM</t>
  </si>
  <si>
    <t>alternative Age (in case different models are available)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</si>
  <si>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(relative to SRM 951)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</si>
  <si>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c</t>
    </r>
    <r>
      <rPr>
        <b/>
        <sz val="12"/>
        <color indexed="8"/>
        <rFont val="Verdana"/>
        <family val="2"/>
      </rPr>
      <t>/</t>
    </r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Verdana"/>
        <family val="2"/>
      </rPr>
      <t>11</t>
    </r>
    <r>
      <rPr>
        <b/>
        <sz val="12"/>
        <color indexed="8"/>
        <rFont val="Verdana"/>
        <family val="2"/>
      </rPr>
      <t>B</t>
    </r>
    <r>
      <rPr>
        <b/>
        <vertAlign val="subscript"/>
        <sz val="12"/>
        <color indexed="8"/>
        <rFont val="Verdana"/>
        <family val="2"/>
      </rPr>
      <t>borate</t>
    </r>
    <r>
      <rPr>
        <b/>
        <sz val="12"/>
        <color indexed="8"/>
        <rFont val="Verdana"/>
        <family val="2"/>
      </rPr>
      <t xml:space="preserve"> calibration slope</t>
    </r>
  </si>
  <si>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c</t>
    </r>
    <r>
      <rPr>
        <b/>
        <sz val="12"/>
        <rFont val="Verdana"/>
        <family val="2"/>
      </rPr>
      <t>/</t>
    </r>
    <r>
      <rPr>
        <b/>
        <sz val="12"/>
        <rFont val="Symbol"/>
        <charset val="2"/>
      </rPr>
      <t>d</t>
    </r>
    <r>
      <rPr>
        <b/>
        <vertAlign val="superscript"/>
        <sz val="12"/>
        <rFont val="Verdana"/>
        <family val="2"/>
      </rPr>
      <t>11</t>
    </r>
    <r>
      <rPr>
        <b/>
        <sz val="12"/>
        <rFont val="Verdana"/>
        <family val="2"/>
      </rPr>
      <t>B</t>
    </r>
    <r>
      <rPr>
        <b/>
        <vertAlign val="subscript"/>
        <sz val="12"/>
        <rFont val="Verdana"/>
        <family val="2"/>
      </rPr>
      <t>borate</t>
    </r>
    <r>
      <rPr>
        <b/>
        <sz val="12"/>
        <rFont val="Verdana"/>
        <family val="2"/>
      </rPr>
      <t xml:space="preserve"> calibration intercept</t>
    </r>
  </si>
  <si>
    <t>pressure (i.e. depth of foraminifer habitat)</t>
  </si>
  <si>
    <t xml:space="preserve">Temperature </t>
  </si>
  <si>
    <t xml:space="preserve"> Mg/Ca</t>
  </si>
  <si>
    <t>e.g., Alkenone UK'37, TEX 86</t>
  </si>
  <si>
    <t>Salinity</t>
  </si>
  <si>
    <t>[Ca] of seawater at S=35</t>
  </si>
  <si>
    <t>[Mg] of seawater at S=35</t>
  </si>
  <si>
    <t>[SO4] of seawater at S=35</t>
  </si>
  <si>
    <r>
      <t>[B]</t>
    </r>
    <r>
      <rPr>
        <b/>
        <vertAlign val="subscript"/>
        <sz val="12"/>
        <rFont val="Verdana"/>
        <family val="2"/>
      </rPr>
      <t>T</t>
    </r>
    <r>
      <rPr>
        <b/>
        <sz val="12"/>
        <rFont val="Verdana"/>
        <family val="2"/>
      </rPr>
      <t xml:space="preserve"> of seawater at S=35</t>
    </r>
  </si>
  <si>
    <r>
      <rPr>
        <b/>
        <sz val="12"/>
        <color indexed="8"/>
        <rFont val="Symbol"/>
        <charset val="2"/>
      </rPr>
      <t>d</t>
    </r>
    <r>
      <rPr>
        <b/>
        <vertAlign val="superscript"/>
        <sz val="12"/>
        <color indexed="8"/>
        <rFont val="Calibri"/>
        <family val="2"/>
      </rPr>
      <t>11</t>
    </r>
    <r>
      <rPr>
        <b/>
        <sz val="12"/>
        <color indexed="8"/>
        <rFont val="Calibri"/>
        <family val="2"/>
      </rPr>
      <t>B</t>
    </r>
    <r>
      <rPr>
        <b/>
        <vertAlign val="subscript"/>
        <sz val="12"/>
        <color indexed="8"/>
        <rFont val="Calibri"/>
        <family val="2"/>
      </rPr>
      <t>sw</t>
    </r>
  </si>
  <si>
    <t>pKB</t>
  </si>
  <si>
    <r>
      <rPr>
        <b/>
        <sz val="12"/>
        <rFont val="Symbol"/>
        <charset val="2"/>
      </rPr>
      <t>a</t>
    </r>
    <r>
      <rPr>
        <b/>
        <vertAlign val="subscript"/>
        <sz val="12"/>
        <rFont val="Verdana"/>
        <family val="2"/>
      </rPr>
      <t>B3-B4</t>
    </r>
    <r>
      <rPr>
        <b/>
        <sz val="12"/>
        <rFont val="Verdana"/>
        <family val="2"/>
      </rPr>
      <t xml:space="preserve"> </t>
    </r>
  </si>
  <si>
    <t>if applicable</t>
  </si>
  <si>
    <t>Name of individual entering the data</t>
  </si>
  <si>
    <t>Contact email</t>
  </si>
  <si>
    <t>Reference of the data product</t>
  </si>
  <si>
    <t>DOI link to reference</t>
  </si>
  <si>
    <t>Site (DSDP/ODP/IODP or other site number)</t>
  </si>
  <si>
    <t>Hole</t>
  </si>
  <si>
    <t>Core</t>
  </si>
  <si>
    <t>Section</t>
  </si>
  <si>
    <t>top cm</t>
  </si>
  <si>
    <t>bottom cm</t>
  </si>
  <si>
    <r>
      <t>core depth below seafloor (meters, specify CSF-A or CSF-B where applicable, original IODP record)</t>
    </r>
    <r>
      <rPr>
        <vertAlign val="superscript"/>
        <sz val="12"/>
        <rFont val="Verdana"/>
        <family val="2"/>
      </rPr>
      <t>a</t>
    </r>
  </si>
  <si>
    <r>
      <t>core composite depth below seafloor (meters, CCSF)</t>
    </r>
    <r>
      <rPr>
        <vertAlign val="superscript"/>
        <sz val="12"/>
        <rFont val="Verdana"/>
        <family val="2"/>
      </rPr>
      <t>a</t>
    </r>
  </si>
  <si>
    <t>reference for composite depth</t>
  </si>
  <si>
    <t>Location (e.g., Atlantic, Carribbean, South China Sea etc.)</t>
  </si>
  <si>
    <t>Modern Latitude (decimal degree, south negative)</t>
  </si>
  <si>
    <t>Modern Longitude (decimal degree, west negative)</t>
  </si>
  <si>
    <t>Paleo Latitude (decimal degree, south negative)</t>
  </si>
  <si>
    <t>Paleo Longitude (decimal degree, west negative)</t>
  </si>
  <si>
    <t>Modern elevation (m), below sea level negative</t>
  </si>
  <si>
    <t>Paleo elevation (m), below sea level negative</t>
  </si>
  <si>
    <t>reference and Method to determine Paleo position</t>
  </si>
  <si>
    <t>notes about any flags in the studied core section</t>
  </si>
  <si>
    <t>type of uncertainty (e.g., set value, normal distribution, +/- range)</t>
  </si>
  <si>
    <t>Age Scale (GTS 20XX)</t>
  </si>
  <si>
    <t>age method (nannofossil biostratigraphy, radiolaria, magnetic polarity, radiometric etc.)</t>
  </si>
  <si>
    <t>reference to age model, if different from primary reference of data set</t>
  </si>
  <si>
    <t>foraminifer species analyzed</t>
  </si>
  <si>
    <t>foraminifer size class (µm)</t>
  </si>
  <si>
    <t xml:space="preserve">number of foraminifera shells per sample </t>
  </si>
  <si>
    <t>total sample weight (mg)</t>
  </si>
  <si>
    <t>Reference for sample  cleaning procedure</t>
  </si>
  <si>
    <t>Boron separation method (e.g., column chemistry, microsublimation)</t>
  </si>
  <si>
    <t>analytical Method (e.g., MC-ICP-MS, P-TIMS, N-TIMS etc)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</si>
  <si>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 (‰, average of replicates)</t>
    </r>
  </si>
  <si>
    <t>type of uncertainty (e.g., set value, normal distribution, specify whether uncertainty is presented as standard deviation or standard error)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</si>
  <si>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(report internal or external reproducibility, whichever is larger)</t>
    </r>
  </si>
  <si>
    <t>slope value</t>
  </si>
  <si>
    <t>type of uncertainty (e.g., set value, normal distribution)</t>
  </si>
  <si>
    <r>
      <t>2</t>
    </r>
    <r>
      <rPr>
        <sz val="12"/>
        <color theme="1"/>
        <rFont val="Symbol"/>
        <charset val="2"/>
      </rPr>
      <t xml:space="preserve">s </t>
    </r>
    <r>
      <rPr>
        <sz val="12"/>
        <color theme="1"/>
        <rFont val="Verdana"/>
        <family val="2"/>
      </rPr>
      <t>uncertainty</t>
    </r>
  </si>
  <si>
    <t>intercept value</t>
  </si>
  <si>
    <t>Reference for calibration slope</t>
  </si>
  <si>
    <t>Notes (e.g., shell size corrected?)</t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</si>
  <si>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 xml:space="preserve">borate </t>
    </r>
    <r>
      <rPr>
        <sz val="12"/>
        <color theme="1"/>
        <rFont val="Verdana"/>
        <family val="2"/>
      </rPr>
      <t>(‰)</t>
    </r>
  </si>
  <si>
    <t>Error propagation method</t>
  </si>
  <si>
    <t>depth habitat (m)</t>
  </si>
  <si>
    <t>temperature (°C)</t>
  </si>
  <si>
    <t>Mg/Ca  (mmol/mol, average of replicates)</t>
  </si>
  <si>
    <t>temperature calibration equation</t>
  </si>
  <si>
    <t>reference for temperature calibration equation</t>
  </si>
  <si>
    <t>salinity correction (list reference if applied)</t>
  </si>
  <si>
    <t>dissolution correction (list reference if applied)</t>
  </si>
  <si>
    <t>pH correction (list reference if applied)</t>
  </si>
  <si>
    <t>average proxy value (please specify units)</t>
  </si>
  <si>
    <t xml:space="preserve">temperature calibration equation </t>
  </si>
  <si>
    <r>
      <t xml:space="preserve">used same sample material as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analyses? If not, provide details</t>
    </r>
  </si>
  <si>
    <t>Salinity (unit-less)</t>
  </si>
  <si>
    <t>method of salinity estimation (list reference if applicable)</t>
  </si>
  <si>
    <t xml:space="preserve">reference for [Ca] of seawater value </t>
  </si>
  <si>
    <t>reference for [Mg] of seawater value</t>
  </si>
  <si>
    <t>reference for [SO4] of seawater value</t>
  </si>
  <si>
    <r>
      <t>reference for [B]</t>
    </r>
    <r>
      <rPr>
        <vertAlign val="subscript"/>
        <sz val="12"/>
        <rFont val="Verdana"/>
        <family val="2"/>
      </rPr>
      <t>T</t>
    </r>
    <r>
      <rPr>
        <sz val="12"/>
        <rFont val="Verdana"/>
        <family val="2"/>
      </rPr>
      <t xml:space="preserve"> value</t>
    </r>
  </si>
  <si>
    <r>
      <rPr>
        <sz val="12"/>
        <color theme="1"/>
        <rFont val="Symbol"/>
        <charset val="2"/>
      </rPr>
      <t>d</t>
    </r>
    <r>
      <rPr>
        <vertAlign val="superscript"/>
        <sz val="12"/>
        <color theme="1"/>
        <rFont val="Verdana"/>
        <family val="2"/>
      </rPr>
      <t>11</t>
    </r>
    <r>
      <rPr>
        <sz val="12"/>
        <color theme="1"/>
        <rFont val="Verdana"/>
        <family val="2"/>
      </rPr>
      <t>B</t>
    </r>
    <r>
      <rPr>
        <vertAlign val="subscript"/>
        <sz val="12"/>
        <color theme="1"/>
        <rFont val="Verdana"/>
        <family val="2"/>
      </rPr>
      <t>sw</t>
    </r>
    <r>
      <rPr>
        <sz val="12"/>
        <color theme="1"/>
        <rFont val="Verdana"/>
        <family val="2"/>
      </rPr>
      <t xml:space="preserve"> (‰)</t>
    </r>
  </si>
  <si>
    <r>
      <t xml:space="preserve">reference  for </t>
    </r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</si>
  <si>
    <t>reference for pKB and for correction of major ion composition, if applied</t>
  </si>
  <si>
    <t>reference for pressure effect on pKB</t>
  </si>
  <si>
    <r>
      <t xml:space="preserve">value for </t>
    </r>
    <r>
      <rPr>
        <sz val="12"/>
        <color theme="1"/>
        <rFont val="Symbol"/>
        <charset val="2"/>
      </rPr>
      <t>a</t>
    </r>
    <r>
      <rPr>
        <vertAlign val="subscript"/>
        <sz val="12"/>
        <color theme="1"/>
        <rFont val="Verdana"/>
        <family val="2"/>
      </rPr>
      <t>B3-B4</t>
    </r>
    <r>
      <rPr>
        <sz val="12"/>
        <color theme="1"/>
        <rFont val="Verdana"/>
        <family val="2"/>
      </rPr>
      <t xml:space="preserve"> </t>
    </r>
  </si>
  <si>
    <r>
      <t xml:space="preserve">equation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</si>
  <si>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 xml:space="preserve">reference for temperature correction of </t>
    </r>
    <r>
      <rPr>
        <sz val="12"/>
        <rFont val="Symbol"/>
        <charset val="2"/>
      </rPr>
      <t>a</t>
    </r>
    <r>
      <rPr>
        <vertAlign val="subscript"/>
        <sz val="12"/>
        <rFont val="Verdana"/>
        <family val="2"/>
      </rPr>
      <t>B3-B4</t>
    </r>
    <r>
      <rPr>
        <sz val="12"/>
        <rFont val="Verdana"/>
        <family val="2"/>
      </rPr>
      <t xml:space="preserve"> (if applied)</t>
    </r>
  </si>
  <si>
    <r>
      <t>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calculation program and version, e.g. CO2SYS, seacarb, other (please specify)</t>
    </r>
  </si>
  <si>
    <t>reference for pK0 and for correction of major ion composition, if applied</t>
  </si>
  <si>
    <t>reference for pK1 and for correction of major ion composition, if applied</t>
  </si>
  <si>
    <t>reference for pK2 and for correction of major ion composition, if applied</t>
  </si>
  <si>
    <r>
      <t>reference for pKHSO</t>
    </r>
    <r>
      <rPr>
        <vertAlign val="subscript"/>
        <sz val="12"/>
        <color theme="1"/>
        <rFont val="Verdana"/>
        <family val="2"/>
      </rPr>
      <t>4</t>
    </r>
  </si>
  <si>
    <r>
      <t>reference for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and for correction of major ion composition, if applied</t>
    </r>
  </si>
  <si>
    <r>
      <t>reference for pressure effect on pKsp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and pKsp</t>
    </r>
    <r>
      <rPr>
        <vertAlign val="subscript"/>
        <sz val="12"/>
        <rFont val="Verdana"/>
        <family val="2"/>
      </rPr>
      <t>aragonite</t>
    </r>
  </si>
  <si>
    <r>
      <t>Parameter used (e.g., alkalinity</t>
    </r>
    <r>
      <rPr>
        <sz val="12"/>
        <rFont val="Verdana"/>
        <family val="2"/>
      </rPr>
      <t>, DIC, [CO</t>
    </r>
    <r>
      <rPr>
        <vertAlign val="subscript"/>
        <sz val="12"/>
        <rFont val="Verdana"/>
        <family val="2"/>
      </rPr>
      <t>3</t>
    </r>
    <r>
      <rPr>
        <vertAlign val="superscript"/>
        <sz val="12"/>
        <rFont val="Verdana"/>
        <family val="2"/>
      </rPr>
      <t>2-</t>
    </r>
    <r>
      <rPr>
        <sz val="12"/>
        <rFont val="Verdana"/>
        <family val="2"/>
      </rPr>
      <t>]</t>
    </r>
  </si>
  <si>
    <r>
      <t xml:space="preserve">Method for deriving 2nd parameter (e.g., CCD, </t>
    </r>
    <r>
      <rPr>
        <sz val="12"/>
        <rFont val="Symbol"/>
        <charset val="2"/>
      </rPr>
      <t>W</t>
    </r>
    <r>
      <rPr>
        <sz val="12"/>
        <rFont val="Verdana"/>
        <family val="2"/>
      </rPr>
      <t>, LOSCAR, GENIE, code can be submitted as supplement)</t>
    </r>
  </si>
  <si>
    <t>Reference for second parameter (if not primary reference of data set)</t>
  </si>
  <si>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 xml:space="preserve">calcite </t>
    </r>
    <r>
      <rPr>
        <sz val="12"/>
        <color theme="1"/>
        <rFont val="Verdana"/>
        <family val="2"/>
      </rPr>
      <t>(if used as a constraint)</t>
    </r>
  </si>
  <si>
    <t>pH</t>
  </si>
  <si>
    <r>
      <t>Aqueous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(µatm)</t>
    </r>
  </si>
  <si>
    <r>
      <t>Air-sea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disequilibrium (µatm)</t>
    </r>
  </si>
  <si>
    <t xml:space="preserve">Notes about air-sea disequilibrium: what is the estimate based on; are there assumptions on seasonality? </t>
  </si>
  <si>
    <r>
      <rPr>
        <vertAlign val="superscript"/>
        <sz val="12"/>
        <rFont val="Verdana"/>
        <family val="2"/>
      </rPr>
      <t>b</t>
    </r>
    <r>
      <rPr>
        <sz val="12"/>
        <rFont val="Verdana"/>
        <family val="2"/>
      </rPr>
      <t>Atmospheric pCO</t>
    </r>
    <r>
      <rPr>
        <vertAlign val="subscript"/>
        <sz val="12"/>
        <rFont val="Verdana"/>
        <family val="2"/>
      </rPr>
      <t>2</t>
    </r>
    <r>
      <rPr>
        <sz val="12"/>
        <rFont val="Verdana"/>
        <family val="2"/>
      </rPr>
      <t xml:space="preserve"> (i.e. after correction for any modern air-sea disequilibrium, µatm)</t>
    </r>
  </si>
  <si>
    <t>Error propagation method (code can be provided in supplement)</t>
  </si>
  <si>
    <r>
      <t>parameters included in the error propagation (e.g., calibration uncertainty,</t>
    </r>
    <r>
      <rPr>
        <sz val="12"/>
        <rFont val="Symbol"/>
        <charset val="2"/>
      </rPr>
      <t xml:space="preserve"> 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</t>
    </r>
    <r>
      <rPr>
        <vertAlign val="subscript"/>
        <sz val="12"/>
        <rFont val="Verdana"/>
        <family val="2"/>
      </rPr>
      <t>sw</t>
    </r>
    <r>
      <rPr>
        <sz val="12"/>
        <rFont val="Verdana"/>
        <family val="2"/>
      </rPr>
      <t>, T, S, second parameter of the carbonate system)</t>
    </r>
  </si>
  <si>
    <r>
      <rPr>
        <vertAlign val="superscript"/>
        <sz val="12"/>
        <rFont val="Verdana"/>
        <family val="2"/>
      </rPr>
      <t>c</t>
    </r>
    <r>
      <rPr>
        <sz val="12"/>
        <rFont val="Verdana"/>
        <family val="2"/>
      </rPr>
      <t>Alkalinity (µmol/kg, if not used as an input parameter)</t>
    </r>
  </si>
  <si>
    <t>DIC (µmol/kg, if not used as an input parameter</t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</si>
  <si>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</t>
    </r>
    <r>
      <rPr>
        <sz val="12"/>
        <rFont val="Verdana"/>
        <family val="2"/>
      </rPr>
      <t>, if not used as an input parameter</t>
    </r>
  </si>
  <si>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aragonite</t>
    </r>
    <r>
      <rPr>
        <sz val="12"/>
        <rFont val="Verdana"/>
        <family val="2"/>
      </rPr>
      <t>, if not used as an input parameter</t>
    </r>
  </si>
  <si>
    <t>Additional Notes</t>
  </si>
  <si>
    <t>Basic Info</t>
  </si>
  <si>
    <t>proxy</t>
  </si>
  <si>
    <t>first_author_last_name</t>
  </si>
  <si>
    <t>publication_year</t>
  </si>
  <si>
    <t>doi</t>
  </si>
  <si>
    <t>age_ka</t>
  </si>
  <si>
    <t>Age_uncertainty_pos_ka</t>
  </si>
  <si>
    <t>Age_uncertainty_neg_ka</t>
  </si>
  <si>
    <r>
      <rPr>
        <sz val="12"/>
        <rFont val="Symbol"/>
        <charset val="2"/>
      </rPr>
      <t>d</t>
    </r>
    <r>
      <rPr>
        <vertAlign val="superscript"/>
        <sz val="12"/>
        <rFont val="Verdana"/>
        <family val="2"/>
      </rPr>
      <t>11</t>
    </r>
    <r>
      <rPr>
        <sz val="12"/>
        <rFont val="Verdana"/>
        <family val="2"/>
      </rPr>
      <t>B of individual replicate measurements of the same solution; separate by commas</t>
    </r>
  </si>
  <si>
    <t>Mg/Ca of individual replicate measurements; separate replicates by commas</t>
  </si>
  <si>
    <t>proxy value of individual replicate measurements; separate replicates by commas</t>
  </si>
  <si>
    <t>central value (µmol/kg)</t>
  </si>
  <si>
    <t>Age (ka)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</si>
  <si>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pos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</si>
  <si>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Age uncertainty neg (ka)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</si>
  <si>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pos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</si>
  <si>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temperature neg (°C)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</si>
  <si>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 uncertainty pos (mmol/mol)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</si>
  <si>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Mg/Ca uncertainty neg (mmol/mol)</t>
    </r>
  </si>
  <si>
    <r>
      <t>[B]</t>
    </r>
    <r>
      <rPr>
        <vertAlign val="subscript"/>
        <sz val="12"/>
        <color theme="1"/>
        <rFont val="Verdana"/>
        <family val="2"/>
      </rPr>
      <t xml:space="preserve">T </t>
    </r>
    <r>
      <rPr>
        <sz val="12"/>
        <color theme="1"/>
        <rFont val="Verdana"/>
        <family val="2"/>
      </rPr>
      <t>(µmol/kg)</t>
    </r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</si>
  <si>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</si>
  <si>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</si>
  <si>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</si>
  <si>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pos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</si>
  <si>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pCO2 uncertainty neg</t>
    </r>
  </si>
  <si>
    <t>boron isotopes</t>
  </si>
  <si>
    <t>NA</t>
  </si>
  <si>
    <t>300-355</t>
  </si>
  <si>
    <t>Dickson 1990</t>
  </si>
  <si>
    <t>none applied</t>
  </si>
  <si>
    <t xml:space="preserve">set value </t>
  </si>
  <si>
    <r>
      <t xml:space="preserve">reference for </t>
    </r>
    <r>
      <rPr>
        <sz val="12"/>
        <color rgb="FF000000"/>
        <rFont val="Symbol"/>
        <charset val="2"/>
      </rPr>
      <t>a</t>
    </r>
    <r>
      <rPr>
        <vertAlign val="subscript"/>
        <sz val="12"/>
        <color rgb="FF000000"/>
        <rFont val="Verdana"/>
        <family val="2"/>
      </rPr>
      <t>B3-B4</t>
    </r>
  </si>
  <si>
    <t>Klochko et al. (2006)</t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</si>
  <si>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calcite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</si>
  <si>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>calcite neg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</si>
  <si>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uncertainty </t>
    </r>
    <r>
      <rPr>
        <sz val="12"/>
        <rFont val="Symbol"/>
        <charset val="2"/>
      </rPr>
      <t>W</t>
    </r>
    <r>
      <rPr>
        <vertAlign val="subscript"/>
        <sz val="12"/>
        <rFont val="Verdana"/>
        <family val="2"/>
      </rPr>
      <t xml:space="preserve">aragonite </t>
    </r>
    <r>
      <rPr>
        <sz val="12"/>
        <rFont val="Verdana"/>
        <family val="2"/>
      </rPr>
      <t>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</si>
  <si>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</si>
  <si>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alkalinity uncertainty neg</t>
    </r>
  </si>
  <si>
    <r>
      <t>2</t>
    </r>
    <r>
      <rPr>
        <sz val="12"/>
        <rFont val="Symbol"/>
        <charset val="2"/>
      </rPr>
      <t xml:space="preserve">s </t>
    </r>
    <r>
      <rPr>
        <sz val="12"/>
        <rFont val="Verdana"/>
        <family val="2"/>
      </rPr>
      <t>DIC uncertainty pos</t>
    </r>
  </si>
  <si>
    <r>
      <t>2</t>
    </r>
    <r>
      <rPr>
        <sz val="12"/>
        <rFont val="Symbol"/>
        <charset val="2"/>
      </rPr>
      <t>s</t>
    </r>
    <r>
      <rPr>
        <sz val="12"/>
        <rFont val="Verdana"/>
        <family val="2"/>
      </rPr>
      <t xml:space="preserve"> DIC uncertainty neg</t>
    </r>
  </si>
  <si>
    <t>Greenop</t>
  </si>
  <si>
    <t>Greenop,R.,G.L.Foster,P.A.Wilson,andC. H. Lear (2014), Middle Miocene climate instability associated with high-amplitude CO2 variability, Paleoceanography, 29,845–853, doi:10.1002/2014PA002653.</t>
  </si>
  <si>
    <t>10.1002/2014PA002653</t>
  </si>
  <si>
    <t>B</t>
  </si>
  <si>
    <r>
      <t>Holbourn, A et al. (2004): Middle Miocene isotope stratigraphy and paleoceanographic evolution of the northwest and southwest Australian margins (Wombat Plateau and Great Australian Bight). </t>
    </r>
    <r>
      <rPr>
        <i/>
        <sz val="12"/>
        <color rgb="FF000000"/>
        <rFont val="Calibri"/>
        <family val="2"/>
      </rPr>
      <t>Palaeogeography, Palaeoclimatology, Palaeoecology</t>
    </r>
    <r>
      <rPr>
        <sz val="12"/>
        <color rgb="FF000000"/>
        <rFont val="Calibri"/>
        <family val="2"/>
      </rPr>
      <t>, </t>
    </r>
    <r>
      <rPr>
        <b/>
        <sz val="12"/>
        <color rgb="FF000000"/>
        <rFont val="Calibri"/>
        <family val="2"/>
      </rPr>
      <t>208(1-2)</t>
    </r>
    <r>
      <rPr>
        <sz val="12"/>
        <color rgb="FF000000"/>
        <rFont val="Calibri"/>
        <family val="2"/>
      </rPr>
      <t>, 1-22,</t>
    </r>
  </si>
  <si>
    <t>Indian Ocean</t>
  </si>
  <si>
    <r>
      <t>Berggren et al. (1995a,b) with updates from Chaisson and Pearson (1997)</t>
    </r>
    <r>
      <rPr>
        <sz val="14"/>
        <rFont val="Calibri"/>
        <family val="2"/>
      </rPr>
      <t>, </t>
    </r>
    <r>
      <rPr>
        <sz val="12"/>
        <rFont val="Calibri"/>
        <family val="2"/>
      </rPr>
      <t>Pearson and Chaisson (1997)</t>
    </r>
    <r>
      <rPr>
        <sz val="14"/>
        <rFont val="Calibri"/>
        <family val="2"/>
      </rPr>
      <t>, </t>
    </r>
    <r>
      <rPr>
        <sz val="12"/>
        <rFont val="Calibri"/>
        <family val="2"/>
      </rPr>
      <t>Curry et al. (1995)</t>
    </r>
  </si>
  <si>
    <t>Biostratigraphy and isotope datums</t>
  </si>
  <si>
    <r>
      <t>Holbourn, A et al. (2004): Middle Miocene isotope stratigraphy and paleoceanographic evolution of the northwest and southwest Australian margins (Wombat Plateau and Great Australian Bight). </t>
    </r>
    <r>
      <rPr>
        <i/>
        <sz val="12"/>
        <rFont val="Calibri"/>
        <family val="2"/>
      </rPr>
      <t>Palaeogeography, Palaeoclimatology, Palaeoecology</t>
    </r>
    <r>
      <rPr>
        <sz val="12"/>
        <rFont val="Calibri"/>
        <family val="2"/>
      </rPr>
      <t>, </t>
    </r>
    <r>
      <rPr>
        <b/>
        <sz val="12"/>
        <rFont val="Calibri"/>
        <family val="2"/>
      </rPr>
      <t>208(1-2)</t>
    </r>
    <r>
      <rPr>
        <sz val="12"/>
        <rFont val="Calibri"/>
        <family val="2"/>
      </rPr>
      <t>, 1-22,</t>
    </r>
  </si>
  <si>
    <t>T. trilobus</t>
  </si>
  <si>
    <t>Barker et al., 2003</t>
  </si>
  <si>
    <t>Column chemistry</t>
  </si>
  <si>
    <t>MC-ICP-MS</t>
  </si>
  <si>
    <t>14.57,15.11</t>
  </si>
  <si>
    <t>14.58,14.86</t>
  </si>
  <si>
    <t>15.5,15.83</t>
  </si>
  <si>
    <t>16.08,15.98</t>
  </si>
  <si>
    <t>16.38,15.85</t>
  </si>
  <si>
    <t>15.03,14.12</t>
  </si>
  <si>
    <t>16.05,16.01</t>
  </si>
  <si>
    <t>15.86,15.65</t>
  </si>
  <si>
    <t>14.54,14.40</t>
  </si>
  <si>
    <t>14.93,14.93</t>
  </si>
  <si>
    <t>16.04,16.27</t>
  </si>
  <si>
    <t>16.6,15.51</t>
  </si>
  <si>
    <t>15.62,15.95</t>
  </si>
  <si>
    <t>14.17,14.24</t>
  </si>
  <si>
    <t>15.67,15.86</t>
  </si>
  <si>
    <t>15.97,16.01</t>
  </si>
  <si>
    <t>15.52,14.60</t>
  </si>
  <si>
    <t>15.75,15.98</t>
  </si>
  <si>
    <t>15.96,16.28</t>
  </si>
  <si>
    <t>16.77,16.35</t>
  </si>
  <si>
    <t>14.34,14.87</t>
  </si>
  <si>
    <t>16.09,16.03</t>
  </si>
  <si>
    <t>14.66,14.66</t>
  </si>
  <si>
    <t>16.11,16.38</t>
  </si>
  <si>
    <t>16.8,16.81</t>
  </si>
  <si>
    <t>14.9,13.94</t>
  </si>
  <si>
    <t>16.14,16.26</t>
  </si>
  <si>
    <t>16.61,16.66</t>
  </si>
  <si>
    <t>16.75,16.62</t>
  </si>
  <si>
    <t>15.5,15.68</t>
  </si>
  <si>
    <t>16.94,17.07</t>
  </si>
  <si>
    <t>16.33,16.39</t>
  </si>
  <si>
    <t>2 standard deviations normal distribution</t>
  </si>
  <si>
    <t>Corrected to 300-355 using Seki et al., 2010</t>
  </si>
  <si>
    <t>normal</t>
  </si>
  <si>
    <t>Anand et al., 2003</t>
  </si>
  <si>
    <t>Normal</t>
  </si>
  <si>
    <t>Modern</t>
  </si>
  <si>
    <t>Horita et al., 2002</t>
  </si>
  <si>
    <t>Foster et al., 2012</t>
  </si>
  <si>
    <t>Ben-Yaakov and Goldhaber 1973</t>
  </si>
  <si>
    <t>Alkalinity</t>
  </si>
  <si>
    <t>CCD and benthic d11B</t>
  </si>
  <si>
    <t>d11Bsw, T, S, d11B, Alk</t>
  </si>
  <si>
    <t>Rosanna Geenop, Bärbel Hönisch</t>
  </si>
  <si>
    <t>n of replicate measurements</t>
  </si>
  <si>
    <t>2se of replicates ( [ 2* (sd/sqrt(n))] )</t>
  </si>
  <si>
    <r>
      <t>2</t>
    </r>
    <r>
      <rPr>
        <sz val="12"/>
        <color rgb="FF000000"/>
        <rFont val="Symbol"/>
        <charset val="2"/>
      </rPr>
      <t>s</t>
    </r>
    <r>
      <rPr>
        <sz val="12"/>
        <color rgb="FF000000"/>
        <rFont val="Verdana"/>
        <family val="2"/>
      </rPr>
      <t xml:space="preserve"> uncertainty </t>
    </r>
  </si>
  <si>
    <t>[Ca] (mol/kg)</t>
  </si>
  <si>
    <t>[Mg] (mol/kg)</t>
  </si>
  <si>
    <t>[SO4] (mol/kg)</t>
  </si>
  <si>
    <t>pH scale reported (e.g., total scale, seawater scale)</t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</si>
  <si>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pos (µmol/kg)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</si>
  <si>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Calibri"/>
        <family val="2"/>
        <scheme val="minor"/>
      </rPr>
      <t xml:space="preserve"> uncertainty neg (µmol/kg)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</si>
  <si>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>correction</t>
    </r>
  </si>
  <si>
    <r>
      <t>Mg/Ca</t>
    </r>
    <r>
      <rPr>
        <vertAlign val="subscript"/>
        <sz val="12"/>
        <rFont val="Verdana"/>
        <family val="2"/>
      </rPr>
      <t xml:space="preserve">sw </t>
    </r>
    <r>
      <rPr>
        <sz val="12"/>
        <rFont val="Verdana"/>
        <family val="2"/>
      </rPr>
      <t xml:space="preserve">correction  reference </t>
    </r>
  </si>
  <si>
    <r>
      <rPr>
        <vertAlign val="superscript"/>
        <sz val="10"/>
        <rFont val="Verdana"/>
        <family val="2"/>
      </rPr>
      <t>b</t>
    </r>
    <r>
      <rPr>
        <sz val="12"/>
        <color theme="1"/>
        <rFont val="Calibri"/>
        <family val="2"/>
        <scheme val="minor"/>
      </rPr>
      <t>this spreadsheet is specifically designed for boron isotope records aimed at paleo-pCO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reconstructions, but it is equally useful for other boron isotope records collected, e.g., in upwelling areas. Such studies should leave the atmospheric pCO</t>
    </r>
    <r>
      <rPr>
        <vertAlign val="subscript"/>
        <sz val="10"/>
        <rFont val="Verdana"/>
        <family val="2"/>
      </rPr>
      <t>2</t>
    </r>
    <r>
      <rPr>
        <sz val="12"/>
        <color theme="1"/>
        <rFont val="Calibri"/>
        <family val="2"/>
        <scheme val="minor"/>
      </rPr>
      <t xml:space="preserve"> column (EW) blank, but may want to report the air-sea disequilibrium in column EX</t>
    </r>
  </si>
  <si>
    <r>
      <rPr>
        <vertAlign val="superscript"/>
        <sz val="10"/>
        <rFont val="Verdana"/>
        <family val="2"/>
      </rPr>
      <t>c</t>
    </r>
    <r>
      <rPr>
        <sz val="12"/>
        <color theme="1"/>
        <rFont val="Calibri"/>
        <family val="2"/>
        <scheme val="minor"/>
      </rPr>
      <t>because minor alkalinity contributors like NH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PO</t>
    </r>
    <r>
      <rPr>
        <vertAlign val="subscript"/>
        <sz val="10"/>
        <rFont val="Verdana"/>
        <family val="2"/>
      </rPr>
      <t>4</t>
    </r>
    <r>
      <rPr>
        <sz val="12"/>
        <color theme="1"/>
        <rFont val="Calibri"/>
        <family val="2"/>
        <scheme val="minor"/>
      </rPr>
      <t>, HSiO</t>
    </r>
    <r>
      <rPr>
        <vertAlign val="subscript"/>
        <sz val="10"/>
        <rFont val="Verdana"/>
        <family val="2"/>
      </rPr>
      <t>3</t>
    </r>
    <r>
      <rPr>
        <sz val="12"/>
        <color theme="1"/>
        <rFont val="Calibri"/>
        <family val="2"/>
        <scheme val="minor"/>
      </rPr>
      <t>, HS</t>
    </r>
    <r>
      <rPr>
        <vertAlign val="superscript"/>
        <sz val="10"/>
        <rFont val="Verdana"/>
        <family val="2"/>
      </rPr>
      <t xml:space="preserve">- </t>
    </r>
    <r>
      <rPr>
        <sz val="12"/>
        <color theme="1"/>
        <rFont val="Calibri"/>
        <family val="2"/>
        <scheme val="minor"/>
      </rPr>
      <t>and S</t>
    </r>
    <r>
      <rPr>
        <vertAlign val="superscript"/>
        <sz val="10"/>
        <rFont val="Verdana"/>
        <family val="2"/>
      </rPr>
      <t>2-</t>
    </r>
    <r>
      <rPr>
        <sz val="12"/>
        <color theme="1"/>
        <rFont val="Calibri"/>
        <family val="2"/>
        <scheme val="minor"/>
      </rPr>
      <t xml:space="preserve"> are not included in these calculations, the alkalinity estimate reported in column EK includes only carbon and boron alkalinity, and should therefore be considered an approximation to total alkalinity</t>
    </r>
  </si>
  <si>
    <r>
      <t>2</t>
    </r>
    <r>
      <rPr>
        <sz val="12"/>
        <color theme="1"/>
        <rFont val="Symbol"/>
        <charset val="2"/>
      </rPr>
      <t>s</t>
    </r>
    <r>
      <rPr>
        <sz val="12"/>
        <color theme="1"/>
        <rFont val="Verdana"/>
        <family val="2"/>
      </rPr>
      <t xml:space="preserve"> uncertainty </t>
    </r>
    <r>
      <rPr>
        <sz val="12"/>
        <color theme="1"/>
        <rFont val="Symbol"/>
        <charset val="2"/>
      </rPr>
      <t>W</t>
    </r>
    <r>
      <rPr>
        <vertAlign val="subscript"/>
        <sz val="12"/>
        <color theme="1"/>
        <rFont val="Verdana"/>
        <family val="2"/>
      </rPr>
      <t>aragonite neg</t>
    </r>
  </si>
  <si>
    <t>Lee et al. (2010)</t>
  </si>
  <si>
    <t>Takahashi et al. (2009)</t>
  </si>
  <si>
    <t>Monte Carlo (10,000 simulations)</t>
  </si>
  <si>
    <t>Foster et al., 2012, Sosdian et al., 2018</t>
  </si>
  <si>
    <t>100-150</t>
  </si>
  <si>
    <t>1-1.5</t>
  </si>
  <si>
    <t>rg200@st-andrews.ac.uk, hoenisch@ldeo.columbia.edu</t>
  </si>
  <si>
    <t>These CO2 estimates are updated in Sosdian et al. (2018). Note that air-sea disequilibrium in this study was acknowledged but not subtracted.</t>
  </si>
  <si>
    <t>notes about uncertainty estimate: e.g., included calibration slope and intercept</t>
  </si>
  <si>
    <t>CO2_ppm</t>
  </si>
  <si>
    <t>CO2_uncertainty_pos_ppm</t>
  </si>
  <si>
    <t>CO2_uncertainty_neg_ppm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</si>
</sst>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vertAlign val="superscript"/>
      <sz val="10"/>
      <name val="Verdana"/>
      <family val="2"/>
    </font>
    <font>
      <vertAlign val="subscript"/>
      <sz val="10"/>
      <name val="Verdana"/>
      <family val="2"/>
    </font>
    <font>
      <b/>
      <sz val="12"/>
      <name val="Calibri"/>
      <family val="2"/>
      <scheme val="minor"/>
    </font>
    <font>
      <b/>
      <sz val="12"/>
      <color indexed="8"/>
      <name val="Calibri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12"/>
      <name val="Calibri (Body)"/>
    </font>
    <font>
      <b/>
      <sz val="12"/>
      <name val="Symbol"/>
      <charset val="2"/>
    </font>
    <font>
      <b/>
      <vertAlign val="superscript"/>
      <sz val="12"/>
      <name val="Verdana"/>
      <family val="2"/>
    </font>
    <font>
      <b/>
      <vertAlign val="subscript"/>
      <sz val="12"/>
      <name val="Verdana"/>
      <family val="2"/>
    </font>
    <font>
      <b/>
      <vertAlign val="subscript"/>
      <sz val="12"/>
      <color indexed="8"/>
      <name val="Calibri"/>
      <family val="2"/>
    </font>
    <font>
      <sz val="12"/>
      <name val="Symbol"/>
      <charset val="2"/>
    </font>
    <font>
      <vertAlign val="superscript"/>
      <sz val="12"/>
      <name val="Verdana"/>
      <family val="2"/>
    </font>
    <font>
      <b/>
      <sz val="12"/>
      <color indexed="8"/>
      <name val="Verdana"/>
      <family val="2"/>
    </font>
    <font>
      <b/>
      <sz val="12"/>
      <color indexed="8"/>
      <name val="Symbol"/>
      <charset val="2"/>
    </font>
    <font>
      <b/>
      <vertAlign val="superscript"/>
      <sz val="12"/>
      <color indexed="8"/>
      <name val="Verdana"/>
      <family val="2"/>
    </font>
    <font>
      <b/>
      <vertAlign val="subscript"/>
      <sz val="12"/>
      <color indexed="8"/>
      <name val="Verdana"/>
      <family val="2"/>
    </font>
    <font>
      <b/>
      <vertAlign val="superscript"/>
      <sz val="12"/>
      <color indexed="8"/>
      <name val="Calibri"/>
      <family val="2"/>
    </font>
    <font>
      <sz val="12"/>
      <color theme="1"/>
      <name val="Verdana"/>
      <family val="2"/>
    </font>
    <font>
      <sz val="12"/>
      <color rgb="FF000000"/>
      <name val="Verdana"/>
      <family val="2"/>
    </font>
    <font>
      <sz val="12"/>
      <color rgb="FF000000"/>
      <name val="Symbol"/>
      <charset val="2"/>
    </font>
    <font>
      <sz val="12"/>
      <color theme="1"/>
      <name val="Symbol"/>
      <charset val="2"/>
    </font>
    <font>
      <vertAlign val="superscript"/>
      <sz val="12"/>
      <color theme="1"/>
      <name val="Verdana"/>
      <family val="2"/>
    </font>
    <font>
      <vertAlign val="subscript"/>
      <sz val="12"/>
      <color theme="1"/>
      <name val="Verdana"/>
      <family val="2"/>
    </font>
    <font>
      <vertAlign val="subscript"/>
      <sz val="12"/>
      <name val="Verdana"/>
      <family val="2"/>
    </font>
    <font>
      <sz val="11"/>
      <color rgb="FF000000"/>
      <name val="Calibri"/>
      <family val="2"/>
      <charset val="1"/>
    </font>
    <font>
      <sz val="12"/>
      <name val="Verdana"/>
      <family val="2"/>
      <charset val="2"/>
    </font>
    <font>
      <sz val="12"/>
      <color theme="1"/>
      <name val="Calibri"/>
      <family val="2"/>
    </font>
    <font>
      <vertAlign val="subscript"/>
      <sz val="12"/>
      <color rgb="FF000000"/>
      <name val="Verdana"/>
      <family val="2"/>
    </font>
    <font>
      <sz val="12"/>
      <color rgb="FF000000"/>
      <name val="Calibri"/>
      <family val="2"/>
    </font>
    <font>
      <i/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sz val="14"/>
      <name val="Calibri"/>
      <family val="2"/>
    </font>
    <font>
      <i/>
      <sz val="12"/>
      <name val="Calibri"/>
      <family val="2"/>
    </font>
    <font>
      <b/>
      <sz val="12"/>
      <name val="Calibri"/>
      <family val="2"/>
    </font>
    <font>
      <sz val="12"/>
      <color rgb="FF000000"/>
      <name val="Calibri"/>
      <family val="2"/>
      <scheme val="minor"/>
    </font>
    <font>
      <sz val="12"/>
      <color rgb="FF1C1D1E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D38EFF"/>
        <bgColor indexed="64"/>
      </patternFill>
    </fill>
    <fill>
      <patternFill patternType="solid">
        <fgColor rgb="FFCDFDCC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D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DFDCC"/>
        <bgColor rgb="FF000000"/>
      </patternFill>
    </fill>
    <fill>
      <patternFill patternType="solid">
        <fgColor rgb="FFA9D08D"/>
        <bgColor indexed="64"/>
      </patternFill>
    </fill>
    <fill>
      <patternFill patternType="solid">
        <fgColor rgb="FFCEFDCC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9A"/>
        <bgColor indexed="64"/>
      </patternFill>
    </fill>
    <fill>
      <patternFill patternType="solid">
        <fgColor rgb="FFFFFF98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7" fillId="0" borderId="0"/>
    <xf numFmtId="0" fontId="1" fillId="0" borderId="0"/>
  </cellStyleXfs>
  <cellXfs count="158">
    <xf numFmtId="0" fontId="0" fillId="0" borderId="0" xfId="0"/>
    <xf numFmtId="0" fontId="0" fillId="0" borderId="0" xfId="0" applyAlignment="1">
      <alignment vertical="top"/>
    </xf>
    <xf numFmtId="0" fontId="4" fillId="0" borderId="1" xfId="0" applyFont="1" applyBorder="1"/>
    <xf numFmtId="0" fontId="0" fillId="0" borderId="2" xfId="0" applyBorder="1"/>
    <xf numFmtId="0" fontId="0" fillId="0" borderId="2" xfId="0" applyBorder="1" applyAlignment="1">
      <alignment vertical="top"/>
    </xf>
    <xf numFmtId="0" fontId="0" fillId="0" borderId="3" xfId="0" applyBorder="1"/>
    <xf numFmtId="0" fontId="5" fillId="2" borderId="1" xfId="0" applyFont="1" applyFill="1" applyBorder="1"/>
    <xf numFmtId="0" fontId="5" fillId="2" borderId="2" xfId="0" applyFont="1" applyFill="1" applyBorder="1"/>
    <xf numFmtId="0" fontId="0" fillId="2" borderId="2" xfId="0" applyFill="1" applyBorder="1"/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/>
    <xf numFmtId="0" fontId="0" fillId="3" borderId="5" xfId="0" applyFill="1" applyBorder="1"/>
    <xf numFmtId="0" fontId="6" fillId="3" borderId="4" xfId="0" applyFont="1" applyFill="1" applyBorder="1"/>
    <xf numFmtId="0" fontId="5" fillId="4" borderId="4" xfId="0" applyFont="1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2" xfId="0" applyFill="1" applyBorder="1"/>
    <xf numFmtId="0" fontId="5" fillId="4" borderId="2" xfId="0" applyFont="1" applyFill="1" applyBorder="1"/>
    <xf numFmtId="0" fontId="5" fillId="4" borderId="3" xfId="0" applyFont="1" applyFill="1" applyBorder="1"/>
    <xf numFmtId="0" fontId="5" fillId="5" borderId="1" xfId="0" applyFont="1" applyFill="1" applyBorder="1"/>
    <xf numFmtId="0" fontId="6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left" vertical="center"/>
    </xf>
    <xf numFmtId="0" fontId="6" fillId="5" borderId="5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5" fillId="7" borderId="2" xfId="0" applyFont="1" applyFill="1" applyBorder="1"/>
    <xf numFmtId="0" fontId="5" fillId="7" borderId="3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0" fontId="0" fillId="6" borderId="2" xfId="0" applyFill="1" applyBorder="1"/>
    <xf numFmtId="0" fontId="0" fillId="6" borderId="4" xfId="0" applyFill="1" applyBorder="1"/>
    <xf numFmtId="0" fontId="5" fillId="7" borderId="1" xfId="0" applyFont="1" applyFill="1" applyBorder="1"/>
    <xf numFmtId="0" fontId="5" fillId="7" borderId="5" xfId="0" applyFont="1" applyFill="1" applyBorder="1"/>
    <xf numFmtId="0" fontId="5" fillId="8" borderId="2" xfId="0" applyFont="1" applyFill="1" applyBorder="1"/>
    <xf numFmtId="0" fontId="5" fillId="9" borderId="1" xfId="0" applyFont="1" applyFill="1" applyBorder="1"/>
    <xf numFmtId="0" fontId="5" fillId="9" borderId="2" xfId="0" applyFont="1" applyFill="1" applyBorder="1"/>
    <xf numFmtId="0" fontId="0" fillId="9" borderId="2" xfId="0" applyFill="1" applyBorder="1"/>
    <xf numFmtId="0" fontId="0" fillId="0" borderId="6" xfId="0" applyBorder="1"/>
    <xf numFmtId="0" fontId="4" fillId="0" borderId="7" xfId="0" applyFont="1" applyBorder="1"/>
    <xf numFmtId="0" fontId="0" fillId="0" borderId="8" xfId="0" applyBorder="1"/>
    <xf numFmtId="0" fontId="0" fillId="0" borderId="8" xfId="0" applyBorder="1" applyAlignment="1">
      <alignment vertical="top"/>
    </xf>
    <xf numFmtId="0" fontId="0" fillId="0" borderId="9" xfId="0" applyBorder="1"/>
    <xf numFmtId="0" fontId="5" fillId="2" borderId="8" xfId="0" applyFont="1" applyFill="1" applyBorder="1"/>
    <xf numFmtId="0" fontId="0" fillId="2" borderId="8" xfId="0" applyFill="1" applyBorder="1"/>
    <xf numFmtId="0" fontId="5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5" fillId="5" borderId="0" xfId="0" applyFont="1" applyFill="1" applyBorder="1"/>
    <xf numFmtId="0" fontId="6" fillId="5" borderId="0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/>
    </xf>
    <xf numFmtId="0" fontId="5" fillId="7" borderId="4" xfId="0" applyFont="1" applyFill="1" applyBorder="1"/>
    <xf numFmtId="0" fontId="5" fillId="7" borderId="0" xfId="0" applyFont="1" applyFill="1" applyBorder="1"/>
    <xf numFmtId="0" fontId="5" fillId="6" borderId="0" xfId="0" applyFont="1" applyFill="1" applyBorder="1"/>
    <xf numFmtId="0" fontId="0" fillId="6" borderId="0" xfId="0" applyFill="1"/>
    <xf numFmtId="0" fontId="7" fillId="7" borderId="4" xfId="0" applyFont="1" applyFill="1" applyBorder="1" applyAlignment="1">
      <alignment horizontal="left" vertical="center"/>
    </xf>
    <xf numFmtId="0" fontId="6" fillId="7" borderId="5" xfId="0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left" vertical="center"/>
    </xf>
    <xf numFmtId="0" fontId="5" fillId="7" borderId="12" xfId="0" applyFont="1" applyFill="1" applyBorder="1"/>
    <xf numFmtId="0" fontId="15" fillId="7" borderId="4" xfId="0" applyFont="1" applyFill="1" applyBorder="1"/>
    <xf numFmtId="0" fontId="7" fillId="7" borderId="0" xfId="0" applyFont="1" applyFill="1" applyBorder="1" applyAlignment="1">
      <alignment horizontal="left" vertical="center"/>
    </xf>
    <xf numFmtId="0" fontId="6" fillId="7" borderId="0" xfId="0" applyFont="1" applyFill="1" applyBorder="1" applyAlignment="1">
      <alignment horizontal="left" vertical="center"/>
    </xf>
    <xf numFmtId="0" fontId="5" fillId="6" borderId="4" xfId="0" applyFont="1" applyFill="1" applyBorder="1"/>
    <xf numFmtId="0" fontId="5" fillId="6" borderId="10" xfId="0" applyFont="1" applyFill="1" applyBorder="1"/>
    <xf numFmtId="0" fontId="7" fillId="7" borderId="11" xfId="0" applyFont="1" applyFill="1" applyBorder="1" applyAlignment="1">
      <alignment horizontal="center" vertical="center" wrapText="1"/>
    </xf>
    <xf numFmtId="0" fontId="6" fillId="7" borderId="0" xfId="0" applyFont="1" applyFill="1" applyBorder="1" applyAlignment="1">
      <alignment horizontal="center" vertical="center" wrapText="1"/>
    </xf>
    <xf numFmtId="0" fontId="5" fillId="7" borderId="11" xfId="0" applyFont="1" applyFill="1" applyBorder="1"/>
    <xf numFmtId="0" fontId="5" fillId="8" borderId="0" xfId="0" applyFont="1" applyFill="1" applyBorder="1"/>
    <xf numFmtId="0" fontId="5" fillId="8" borderId="8" xfId="0" applyFont="1" applyFill="1" applyBorder="1"/>
    <xf numFmtId="0" fontId="5" fillId="2" borderId="7" xfId="0" applyFont="1" applyFill="1" applyBorder="1"/>
    <xf numFmtId="0" fontId="0" fillId="0" borderId="13" xfId="0" applyBorder="1"/>
    <xf numFmtId="0" fontId="20" fillId="10" borderId="14" xfId="0" applyFont="1" applyFill="1" applyBorder="1" applyAlignment="1">
      <alignment horizontal="center" vertical="center" wrapText="1"/>
    </xf>
    <xf numFmtId="0" fontId="20" fillId="10" borderId="15" xfId="0" applyFont="1" applyFill="1" applyBorder="1" applyAlignment="1">
      <alignment horizontal="center" vertical="center" wrapText="1"/>
    </xf>
    <xf numFmtId="0" fontId="20" fillId="10" borderId="16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 wrapText="1"/>
    </xf>
    <xf numFmtId="0" fontId="21" fillId="4" borderId="2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21" fillId="5" borderId="8" xfId="0" applyFont="1" applyFill="1" applyBorder="1" applyAlignment="1">
      <alignment horizontal="center" vertical="center" wrapText="1"/>
    </xf>
    <xf numFmtId="0" fontId="20" fillId="5" borderId="8" xfId="0" applyFont="1" applyFill="1" applyBorder="1" applyAlignment="1">
      <alignment horizontal="center" vertical="center" wrapText="1"/>
    </xf>
    <xf numFmtId="0" fontId="20" fillId="6" borderId="1" xfId="0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20" fillId="7" borderId="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 wrapText="1"/>
    </xf>
    <xf numFmtId="0" fontId="21" fillId="8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0" fillId="0" borderId="12" xfId="0" applyBorder="1"/>
    <xf numFmtId="0" fontId="0" fillId="0" borderId="7" xfId="0" applyBorder="1"/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2" xfId="0" quotePrefix="1" applyBorder="1" applyAlignment="1">
      <alignment wrapText="1"/>
    </xf>
    <xf numFmtId="0" fontId="28" fillId="4" borderId="1" xfId="0" applyFont="1" applyFill="1" applyBorder="1" applyAlignment="1">
      <alignment horizontal="center" vertical="center" wrapText="1"/>
    </xf>
    <xf numFmtId="0" fontId="0" fillId="12" borderId="2" xfId="0" quotePrefix="1" applyFill="1" applyBorder="1" applyAlignment="1">
      <alignment horizontal="center" vertical="center" wrapText="1"/>
    </xf>
    <xf numFmtId="0" fontId="0" fillId="13" borderId="2" xfId="0" quotePrefix="1" applyFill="1" applyBorder="1" applyAlignment="1">
      <alignment horizontal="center" vertical="center" wrapText="1"/>
    </xf>
    <xf numFmtId="0" fontId="7" fillId="6" borderId="0" xfId="0" applyFont="1" applyFill="1" applyBorder="1" applyAlignment="1">
      <alignment horizontal="left" vertical="center"/>
    </xf>
    <xf numFmtId="0" fontId="0" fillId="13" borderId="3" xfId="0" quotePrefix="1" applyFill="1" applyBorder="1" applyAlignment="1">
      <alignment horizontal="center" vertical="center" wrapText="1"/>
    </xf>
    <xf numFmtId="0" fontId="0" fillId="14" borderId="2" xfId="0" quotePrefix="1" applyFill="1" applyBorder="1" applyAlignment="1">
      <alignment horizontal="center" vertical="center" wrapText="1"/>
    </xf>
    <xf numFmtId="0" fontId="0" fillId="14" borderId="3" xfId="0" quotePrefix="1" applyFill="1" applyBorder="1" applyAlignment="1">
      <alignment horizontal="center" vertical="center" wrapText="1"/>
    </xf>
    <xf numFmtId="0" fontId="0" fillId="15" borderId="2" xfId="0" quotePrefix="1" applyFill="1" applyBorder="1" applyAlignment="1">
      <alignment horizontal="center" vertical="center" wrapText="1"/>
    </xf>
    <xf numFmtId="0" fontId="0" fillId="0" borderId="0" xfId="0" applyFill="1" applyBorder="1"/>
    <xf numFmtId="0" fontId="6" fillId="4" borderId="2" xfId="0" applyFont="1" applyFill="1" applyBorder="1" applyAlignment="1">
      <alignment horizontal="left" vertical="center"/>
    </xf>
    <xf numFmtId="0" fontId="28" fillId="4" borderId="2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29" fillId="0" borderId="0" xfId="0" applyFont="1"/>
    <xf numFmtId="1" fontId="0" fillId="0" borderId="0" xfId="0" applyNumberFormat="1"/>
    <xf numFmtId="0" fontId="6" fillId="16" borderId="8" xfId="0" quotePrefix="1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2" fontId="0" fillId="0" borderId="0" xfId="0" applyNumberFormat="1" applyFont="1"/>
    <xf numFmtId="2" fontId="0" fillId="0" borderId="0" xfId="0" applyNumberFormat="1" applyFont="1" applyFill="1" applyAlignment="1">
      <alignment horizontal="center"/>
    </xf>
    <xf numFmtId="2" fontId="0" fillId="0" borderId="0" xfId="0" applyNumberFormat="1" applyFont="1" applyAlignment="1">
      <alignment horizontal="center"/>
    </xf>
    <xf numFmtId="0" fontId="31" fillId="0" borderId="0" xfId="0" applyFont="1"/>
    <xf numFmtId="2" fontId="0" fillId="0" borderId="0" xfId="0" applyNumberFormat="1" applyFont="1" applyFill="1" applyBorder="1" applyAlignment="1">
      <alignment horizontal="right"/>
    </xf>
    <xf numFmtId="0" fontId="34" fillId="0" borderId="0" xfId="0" applyFont="1"/>
    <xf numFmtId="2" fontId="0" fillId="0" borderId="0" xfId="0" applyNumberFormat="1" applyFont="1" applyAlignment="1">
      <alignment horizontal="right"/>
    </xf>
    <xf numFmtId="2" fontId="0" fillId="0" borderId="0" xfId="0" applyNumberFormat="1" applyFont="1" applyFill="1" applyAlignment="1">
      <alignment horizontal="right"/>
    </xf>
    <xf numFmtId="2" fontId="0" fillId="0" borderId="0" xfId="0" applyNumberFormat="1"/>
    <xf numFmtId="1" fontId="0" fillId="0" borderId="0" xfId="0" applyNumberFormat="1" applyFont="1"/>
    <xf numFmtId="2" fontId="0" fillId="0" borderId="0" xfId="0" applyNumberFormat="1" applyFont="1" applyFill="1"/>
    <xf numFmtId="0" fontId="38" fillId="0" borderId="0" xfId="0" applyFont="1"/>
    <xf numFmtId="0" fontId="39" fillId="0" borderId="0" xfId="0" applyFont="1"/>
    <xf numFmtId="0" fontId="6" fillId="2" borderId="9" xfId="0" applyFont="1" applyFill="1" applyBorder="1" applyAlignment="1">
      <alignment horizontal="center" vertical="center" wrapText="1"/>
    </xf>
    <xf numFmtId="0" fontId="21" fillId="6" borderId="3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center" vertical="center" wrapText="1"/>
    </xf>
    <xf numFmtId="0" fontId="20" fillId="16" borderId="0" xfId="0" applyFont="1" applyFill="1" applyAlignment="1">
      <alignment vertic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/>
    </xf>
    <xf numFmtId="1" fontId="0" fillId="0" borderId="0" xfId="0" applyNumberFormat="1" applyFill="1"/>
    <xf numFmtId="0" fontId="0" fillId="0" borderId="2" xfId="0" applyBorder="1" applyAlignment="1">
      <alignment horizontal="center" wrapText="1"/>
    </xf>
    <xf numFmtId="0" fontId="0" fillId="0" borderId="2" xfId="0" quotePrefix="1" applyBorder="1" applyAlignment="1">
      <alignment horizontal="center" wrapText="1"/>
    </xf>
    <xf numFmtId="0" fontId="0" fillId="0" borderId="3" xfId="0" quotePrefix="1" applyBorder="1" applyAlignment="1">
      <alignment horizontal="center" wrapText="1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9" defaultPivotStyle="PivotStyleMedium7"/>
  <colors>
    <mruColors>
      <color rgb="FFFFFF9A"/>
      <color rgb="FFC6E0B4"/>
      <color rgb="FFA9D08D"/>
      <color rgb="FFCEF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38"/>
  <sheetViews>
    <sheetView tabSelected="1" workbookViewId="0">
      <selection activeCell="K7" sqref="K7"/>
    </sheetView>
  </sheetViews>
  <sheetFormatPr baseColWidth="10" defaultColWidth="11" defaultRowHeight="16"/>
  <cols>
    <col min="1" max="1" width="14.1640625" customWidth="1"/>
    <col min="6" max="6" width="14.6640625" customWidth="1"/>
    <col min="7" max="7" width="15.5" customWidth="1"/>
    <col min="11" max="11" width="14.1640625" customWidth="1"/>
    <col min="12" max="12" width="25.6640625" customWidth="1"/>
    <col min="13" max="13" width="16" style="1" customWidth="1"/>
    <col min="14" max="14" width="22.33203125" customWidth="1"/>
    <col min="24" max="24" width="23" customWidth="1"/>
    <col min="34" max="34" width="13.33203125" customWidth="1"/>
    <col min="35" max="36" width="14.33203125" customWidth="1"/>
    <col min="38" max="38" width="16.33203125" customWidth="1"/>
    <col min="39" max="39" width="13.5" customWidth="1"/>
    <col min="47" max="47" width="13.5" customWidth="1"/>
    <col min="48" max="48" width="13.83203125" customWidth="1"/>
    <col min="49" max="49" width="14.1640625" customWidth="1"/>
    <col min="50" max="50" width="16.6640625" customWidth="1"/>
    <col min="52" max="52" width="12.83203125" customWidth="1"/>
    <col min="54" max="54" width="16.33203125" customWidth="1"/>
    <col min="55" max="55" width="12.83203125" customWidth="1"/>
    <col min="56" max="56" width="13.33203125" customWidth="1"/>
    <col min="57" max="57" width="14.33203125" customWidth="1"/>
    <col min="58" max="58" width="14.5" customWidth="1"/>
    <col min="59" max="59" width="16.5" customWidth="1"/>
    <col min="61" max="61" width="14.5" customWidth="1"/>
    <col min="62" max="62" width="14.1640625" customWidth="1"/>
    <col min="64" max="64" width="14" customWidth="1"/>
    <col min="65" max="65" width="13.83203125" customWidth="1"/>
    <col min="66" max="66" width="13.1640625" customWidth="1"/>
    <col min="69" max="69" width="13.6640625" customWidth="1"/>
    <col min="70" max="70" width="12.83203125" customWidth="1"/>
    <col min="71" max="71" width="14.83203125" customWidth="1"/>
    <col min="72" max="72" width="13.1640625" customWidth="1"/>
    <col min="74" max="74" width="15.1640625" customWidth="1"/>
    <col min="75" max="75" width="15.83203125" customWidth="1"/>
    <col min="76" max="76" width="15.6640625" customWidth="1"/>
    <col min="77" max="77" width="16.6640625" customWidth="1"/>
    <col min="78" max="79" width="14.5" customWidth="1"/>
    <col min="81" max="81" width="15.83203125" customWidth="1"/>
    <col min="82" max="82" width="15.6640625" customWidth="1"/>
    <col min="83" max="84" width="16" customWidth="1"/>
    <col min="85" max="85" width="19" customWidth="1"/>
    <col min="86" max="86" width="14" customWidth="1"/>
    <col min="90" max="90" width="15" customWidth="1"/>
    <col min="91" max="91" width="12.6640625" customWidth="1"/>
    <col min="95" max="95" width="12.83203125" customWidth="1"/>
    <col min="102" max="102" width="13.1640625" customWidth="1"/>
    <col min="103" max="103" width="13.83203125" customWidth="1"/>
    <col min="116" max="116" width="14.5" customWidth="1"/>
    <col min="117" max="117" width="13.83203125" customWidth="1"/>
    <col min="118" max="118" width="15" customWidth="1"/>
    <col min="120" max="121" width="15.33203125" customWidth="1"/>
    <col min="123" max="123" width="14.1640625" customWidth="1"/>
    <col min="126" max="126" width="14.33203125" customWidth="1"/>
    <col min="127" max="128" width="13.83203125" customWidth="1"/>
    <col min="129" max="129" width="15.1640625" customWidth="1"/>
    <col min="130" max="130" width="14.6640625" customWidth="1"/>
    <col min="131" max="131" width="15" customWidth="1"/>
    <col min="132" max="132" width="13.33203125" customWidth="1"/>
    <col min="136" max="136" width="14.83203125" customWidth="1"/>
    <col min="137" max="137" width="14.6640625" customWidth="1"/>
    <col min="138" max="138" width="13.83203125" customWidth="1"/>
    <col min="139" max="139" width="15" customWidth="1"/>
    <col min="140" max="140" width="14.33203125" customWidth="1"/>
    <col min="142" max="142" width="15.33203125" customWidth="1"/>
    <col min="143" max="144" width="15" customWidth="1"/>
    <col min="145" max="145" width="14.83203125" customWidth="1"/>
    <col min="146" max="147" width="14.6640625" customWidth="1"/>
    <col min="148" max="148" width="15.1640625" customWidth="1"/>
    <col min="151" max="151" width="14.33203125" customWidth="1"/>
    <col min="152" max="152" width="15" customWidth="1"/>
    <col min="154" max="154" width="15.5" customWidth="1"/>
    <col min="155" max="155" width="15.1640625" customWidth="1"/>
    <col min="156" max="156" width="15.33203125" customWidth="1"/>
    <col min="157" max="158" width="13.83203125" customWidth="1"/>
    <col min="159" max="159" width="14.6640625" customWidth="1"/>
    <col min="160" max="160" width="17" customWidth="1"/>
    <col min="161" max="161" width="13.1640625" customWidth="1"/>
    <col min="162" max="163" width="14" customWidth="1"/>
    <col min="164" max="164" width="13.6640625" customWidth="1"/>
    <col min="167" max="168" width="13.1640625" customWidth="1"/>
    <col min="169" max="169" width="13.83203125" customWidth="1"/>
    <col min="170" max="171" width="16" customWidth="1"/>
    <col min="172" max="172" width="15.5" customWidth="1"/>
    <col min="173" max="173" width="20.5" customWidth="1"/>
  </cols>
  <sheetData>
    <row r="1" spans="1:191" ht="18">
      <c r="A1" s="108" t="s">
        <v>123</v>
      </c>
      <c r="B1" s="109"/>
      <c r="C1" s="109"/>
      <c r="D1" s="109"/>
      <c r="E1" s="109"/>
      <c r="F1" s="109"/>
      <c r="G1" s="109"/>
      <c r="H1" s="109"/>
      <c r="I1" s="109"/>
      <c r="J1" s="110"/>
      <c r="K1" s="2" t="s">
        <v>1</v>
      </c>
      <c r="L1" s="3"/>
      <c r="M1" s="4"/>
      <c r="N1" s="5"/>
      <c r="O1" s="6" t="s">
        <v>2</v>
      </c>
      <c r="P1" s="7"/>
      <c r="Q1" s="7"/>
      <c r="R1" s="7"/>
      <c r="S1" s="7"/>
      <c r="T1" s="7"/>
      <c r="U1" s="8"/>
      <c r="V1" s="126"/>
      <c r="W1" s="8"/>
      <c r="X1" s="7"/>
      <c r="Y1" s="7"/>
      <c r="Z1" s="7"/>
      <c r="AA1" s="7"/>
      <c r="AB1" s="7"/>
      <c r="AC1" s="7"/>
      <c r="AD1" s="7"/>
      <c r="AE1" s="7"/>
      <c r="AF1" s="7"/>
      <c r="AG1" s="9" t="s">
        <v>3</v>
      </c>
      <c r="AH1" s="10"/>
      <c r="AI1" s="11"/>
      <c r="AJ1" s="11"/>
      <c r="AK1" s="12"/>
      <c r="AL1" s="12"/>
      <c r="AM1" s="12"/>
      <c r="AN1" s="13"/>
      <c r="AO1" s="12"/>
      <c r="AP1" s="12"/>
      <c r="AQ1" s="12"/>
      <c r="AR1" s="12"/>
      <c r="AS1" s="12"/>
      <c r="AT1" s="12"/>
      <c r="AU1" s="14" t="s">
        <v>4</v>
      </c>
      <c r="AV1" s="15"/>
      <c r="AW1" s="15"/>
      <c r="AX1" s="15"/>
      <c r="AY1" s="15"/>
      <c r="AZ1" s="15"/>
      <c r="BA1" s="15"/>
      <c r="BB1" s="16"/>
      <c r="BC1" s="17"/>
      <c r="BD1" s="17"/>
      <c r="BE1" s="17"/>
      <c r="BF1" s="18"/>
      <c r="BG1" s="19"/>
      <c r="BH1" s="20" t="s">
        <v>5</v>
      </c>
      <c r="BI1" s="21"/>
      <c r="BJ1" s="21"/>
      <c r="BK1" s="21"/>
      <c r="BL1" s="21"/>
      <c r="BM1" s="21"/>
      <c r="BN1" s="21"/>
      <c r="BO1" s="22"/>
      <c r="BP1" s="23" t="s">
        <v>6</v>
      </c>
      <c r="BQ1" s="23"/>
      <c r="BR1" s="24"/>
      <c r="BS1" s="24"/>
      <c r="BT1" s="24"/>
      <c r="BU1" s="25" t="s">
        <v>7</v>
      </c>
      <c r="BV1" s="26"/>
      <c r="BW1" s="26"/>
      <c r="BX1" s="25"/>
      <c r="BY1" s="28"/>
      <c r="BZ1" s="28"/>
      <c r="CA1" s="29"/>
      <c r="CB1" s="28" t="s">
        <v>8</v>
      </c>
      <c r="CC1" s="30"/>
      <c r="CD1" s="28"/>
      <c r="CE1" s="28"/>
      <c r="CF1" s="28"/>
      <c r="CG1" s="28"/>
      <c r="CH1" s="28"/>
      <c r="CI1" s="28"/>
      <c r="CJ1" s="28"/>
      <c r="CK1" s="28"/>
      <c r="CL1" s="28"/>
      <c r="CM1" s="28"/>
      <c r="CN1" s="25" t="s">
        <v>9</v>
      </c>
      <c r="CO1" s="28"/>
      <c r="CP1" s="28"/>
      <c r="CQ1" s="28"/>
      <c r="CR1" s="28"/>
      <c r="CS1" s="28"/>
      <c r="CT1" s="29"/>
      <c r="CU1" s="26" t="s">
        <v>10</v>
      </c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31"/>
      <c r="DP1" s="28"/>
      <c r="DQ1" s="28"/>
      <c r="DR1" s="29"/>
      <c r="DS1" s="26"/>
      <c r="DT1" s="26"/>
      <c r="DU1" s="32" t="s">
        <v>11</v>
      </c>
      <c r="DV1" s="26"/>
      <c r="DW1" s="26"/>
      <c r="DX1" s="26"/>
      <c r="DY1" s="26"/>
      <c r="DZ1" s="27"/>
      <c r="EA1" s="32" t="s">
        <v>12</v>
      </c>
      <c r="EB1" s="26"/>
      <c r="EC1" s="26"/>
      <c r="ED1" s="26"/>
      <c r="EE1" s="26"/>
      <c r="EF1" s="33"/>
      <c r="EG1" s="61"/>
      <c r="EH1" s="34" t="s">
        <v>13</v>
      </c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5" t="s">
        <v>14</v>
      </c>
      <c r="ET1" s="36"/>
      <c r="EU1" s="36"/>
      <c r="EV1" s="36"/>
      <c r="EW1" s="37"/>
      <c r="EX1" s="37"/>
      <c r="EY1" s="37"/>
      <c r="EZ1" s="37"/>
      <c r="FA1" s="36"/>
      <c r="FB1" s="36"/>
      <c r="FC1" s="36"/>
      <c r="FD1" s="36"/>
      <c r="FE1" s="35"/>
      <c r="FF1" s="36"/>
      <c r="FG1" s="36"/>
      <c r="FH1" s="36"/>
      <c r="FI1" s="36"/>
      <c r="FJ1" s="36"/>
      <c r="FK1" s="7"/>
      <c r="FL1" s="7"/>
      <c r="FM1" s="7"/>
      <c r="FN1" s="7"/>
      <c r="FO1" s="7"/>
      <c r="FP1" s="7"/>
      <c r="FQ1" s="38"/>
    </row>
    <row r="2" spans="1:191" ht="20">
      <c r="A2" s="111"/>
      <c r="B2" s="40"/>
      <c r="C2" s="40"/>
      <c r="D2" s="40"/>
      <c r="E2" s="40"/>
      <c r="F2" s="40"/>
      <c r="G2" s="40"/>
      <c r="H2" s="40"/>
      <c r="I2" s="40"/>
      <c r="J2" s="42"/>
      <c r="K2" s="39"/>
      <c r="L2" s="40"/>
      <c r="M2" s="41"/>
      <c r="N2" s="42"/>
      <c r="O2" s="43"/>
      <c r="P2" s="43"/>
      <c r="Q2" s="43"/>
      <c r="R2" s="43"/>
      <c r="S2" s="43"/>
      <c r="T2" s="43"/>
      <c r="U2" s="44"/>
      <c r="V2" s="126"/>
      <c r="W2" s="44"/>
      <c r="X2" s="43"/>
      <c r="Y2" s="43"/>
      <c r="Z2" s="43"/>
      <c r="AA2" s="43"/>
      <c r="AB2" s="43"/>
      <c r="AC2" s="43"/>
      <c r="AD2" s="43"/>
      <c r="AE2" s="43"/>
      <c r="AF2" s="43"/>
      <c r="AG2" s="45"/>
      <c r="AH2" s="10"/>
      <c r="AI2" s="11"/>
      <c r="AJ2" s="11"/>
      <c r="AK2" s="12"/>
      <c r="AL2" s="12"/>
      <c r="AM2" s="12"/>
      <c r="AN2" s="13" t="s">
        <v>15</v>
      </c>
      <c r="AO2" s="12"/>
      <c r="AP2" s="12"/>
      <c r="AQ2" s="12"/>
      <c r="AR2" s="12"/>
      <c r="AS2" s="12"/>
      <c r="AT2" s="12"/>
      <c r="AU2" s="16"/>
      <c r="AV2" s="17"/>
      <c r="AW2" s="15"/>
      <c r="AX2" s="15"/>
      <c r="AY2" s="15"/>
      <c r="AZ2" s="15"/>
      <c r="BA2" s="17"/>
      <c r="BB2" s="46" t="s">
        <v>16</v>
      </c>
      <c r="BC2" s="124"/>
      <c r="BD2" s="124"/>
      <c r="BE2" s="17"/>
      <c r="BF2" s="18"/>
      <c r="BG2" s="19"/>
      <c r="BH2" s="47" t="s">
        <v>17</v>
      </c>
      <c r="BI2" s="48"/>
      <c r="BJ2" s="48"/>
      <c r="BK2" s="49" t="s">
        <v>18</v>
      </c>
      <c r="BL2" s="50"/>
      <c r="BM2" s="51"/>
      <c r="BN2" s="51"/>
      <c r="BO2" s="52"/>
      <c r="BP2" s="53"/>
      <c r="BQ2" s="53"/>
      <c r="BR2" s="21"/>
      <c r="BS2" s="21"/>
      <c r="BT2" s="21"/>
      <c r="BU2" s="54" t="s">
        <v>19</v>
      </c>
      <c r="BV2" s="55"/>
      <c r="BW2" s="55"/>
      <c r="BX2" s="25" t="s">
        <v>20</v>
      </c>
      <c r="BY2" s="28"/>
      <c r="BZ2" s="28"/>
      <c r="CA2" s="29"/>
      <c r="CB2" s="118" t="s">
        <v>21</v>
      </c>
      <c r="CC2" s="57"/>
      <c r="CD2" s="56"/>
      <c r="CE2" s="56"/>
      <c r="CF2" s="56"/>
      <c r="CG2" s="56"/>
      <c r="CH2" s="56"/>
      <c r="CI2" s="56"/>
      <c r="CJ2" s="56"/>
      <c r="CK2" s="56"/>
      <c r="CL2" s="56"/>
      <c r="CM2" s="56"/>
      <c r="CN2" s="25" t="s">
        <v>22</v>
      </c>
      <c r="CO2" s="30"/>
      <c r="CP2" s="28"/>
      <c r="CQ2" s="28"/>
      <c r="CR2" s="28"/>
      <c r="CS2" s="28"/>
      <c r="CT2" s="29"/>
      <c r="CU2" s="55" t="s">
        <v>23</v>
      </c>
      <c r="CV2" s="55"/>
      <c r="CW2" s="55"/>
      <c r="CX2" s="55"/>
      <c r="CY2" s="58" t="s">
        <v>24</v>
      </c>
      <c r="CZ2" s="59"/>
      <c r="DA2" s="59"/>
      <c r="DB2" s="60"/>
      <c r="DC2" s="58" t="s">
        <v>25</v>
      </c>
      <c r="DD2" s="33"/>
      <c r="DE2" s="33"/>
      <c r="DF2" s="61"/>
      <c r="DG2" s="62" t="s">
        <v>26</v>
      </c>
      <c r="DH2" s="33"/>
      <c r="DI2" s="33"/>
      <c r="DJ2" s="61"/>
      <c r="DK2" s="63" t="s">
        <v>27</v>
      </c>
      <c r="DL2" s="64"/>
      <c r="DM2" s="55"/>
      <c r="DN2" s="55"/>
      <c r="DO2" s="65" t="s">
        <v>28</v>
      </c>
      <c r="DP2" s="56"/>
      <c r="DQ2" s="56"/>
      <c r="DR2" s="66"/>
      <c r="DS2" s="55" t="s">
        <v>29</v>
      </c>
      <c r="DT2" s="55"/>
      <c r="DU2" s="67" t="s">
        <v>30</v>
      </c>
      <c r="DV2" s="68"/>
      <c r="DW2" s="68"/>
      <c r="DX2" s="68"/>
      <c r="DY2" s="55"/>
      <c r="DZ2" s="55"/>
      <c r="EA2" s="69"/>
      <c r="EB2" s="55"/>
      <c r="EC2" s="55"/>
      <c r="ED2" s="55"/>
      <c r="EE2" s="33"/>
      <c r="EF2" s="54" t="s">
        <v>31</v>
      </c>
      <c r="EG2" s="27"/>
      <c r="EH2" s="34"/>
      <c r="EI2" s="34"/>
      <c r="EJ2" s="34"/>
      <c r="EK2" s="70"/>
      <c r="EL2" s="70"/>
      <c r="EM2" s="70"/>
      <c r="EN2" s="70"/>
      <c r="EO2" s="71"/>
      <c r="EP2" s="71"/>
      <c r="EQ2" s="71"/>
      <c r="ER2" s="71"/>
      <c r="ES2" s="72"/>
      <c r="ET2" s="43"/>
      <c r="EU2" s="43"/>
      <c r="EV2" s="43"/>
      <c r="EW2" s="43"/>
      <c r="EX2" s="43"/>
      <c r="EY2" s="43"/>
      <c r="EZ2" s="43"/>
      <c r="FA2" s="43"/>
      <c r="FB2" s="43"/>
      <c r="FC2" s="43"/>
      <c r="FD2" s="43"/>
      <c r="FE2" s="6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3"/>
    </row>
    <row r="3" spans="1:191" ht="238">
      <c r="A3" s="112" t="s">
        <v>124</v>
      </c>
      <c r="B3" s="113" t="s">
        <v>125</v>
      </c>
      <c r="C3" s="113" t="s">
        <v>126</v>
      </c>
      <c r="D3" s="3" t="s">
        <v>127</v>
      </c>
      <c r="E3" s="3" t="s">
        <v>128</v>
      </c>
      <c r="F3" s="114" t="s">
        <v>129</v>
      </c>
      <c r="G3" s="114" t="s">
        <v>130</v>
      </c>
      <c r="H3" s="155" t="s">
        <v>244</v>
      </c>
      <c r="I3" s="156" t="s">
        <v>245</v>
      </c>
      <c r="J3" s="157" t="s">
        <v>246</v>
      </c>
      <c r="K3" s="74" t="s">
        <v>32</v>
      </c>
      <c r="L3" s="75" t="s">
        <v>33</v>
      </c>
      <c r="M3" s="75" t="s">
        <v>34</v>
      </c>
      <c r="N3" s="76" t="s">
        <v>35</v>
      </c>
      <c r="O3" s="77" t="s">
        <v>36</v>
      </c>
      <c r="P3" s="77" t="s">
        <v>37</v>
      </c>
      <c r="Q3" s="77" t="s">
        <v>38</v>
      </c>
      <c r="R3" s="77" t="s">
        <v>39</v>
      </c>
      <c r="S3" s="77" t="s">
        <v>40</v>
      </c>
      <c r="T3" s="77" t="s">
        <v>41</v>
      </c>
      <c r="U3" s="77" t="s">
        <v>42</v>
      </c>
      <c r="V3" s="146" t="s">
        <v>43</v>
      </c>
      <c r="W3" s="77" t="s">
        <v>44</v>
      </c>
      <c r="X3" s="77" t="s">
        <v>45</v>
      </c>
      <c r="Y3" s="77" t="s">
        <v>46</v>
      </c>
      <c r="Z3" s="77" t="s">
        <v>47</v>
      </c>
      <c r="AA3" s="77" t="s">
        <v>48</v>
      </c>
      <c r="AB3" s="77" t="s">
        <v>49</v>
      </c>
      <c r="AC3" s="77" t="s">
        <v>50</v>
      </c>
      <c r="AD3" s="77" t="s">
        <v>51</v>
      </c>
      <c r="AE3" s="77" t="s">
        <v>52</v>
      </c>
      <c r="AF3" s="77" t="s">
        <v>53</v>
      </c>
      <c r="AG3" s="78" t="s">
        <v>135</v>
      </c>
      <c r="AH3" s="79" t="s">
        <v>54</v>
      </c>
      <c r="AI3" s="116" t="s">
        <v>136</v>
      </c>
      <c r="AJ3" s="116" t="s">
        <v>137</v>
      </c>
      <c r="AK3" s="80" t="s">
        <v>55</v>
      </c>
      <c r="AL3" s="80" t="s">
        <v>56</v>
      </c>
      <c r="AM3" s="81" t="s">
        <v>57</v>
      </c>
      <c r="AN3" s="78" t="s">
        <v>135</v>
      </c>
      <c r="AO3" s="79" t="s">
        <v>54</v>
      </c>
      <c r="AP3" s="116" t="s">
        <v>136</v>
      </c>
      <c r="AQ3" s="116" t="s">
        <v>137</v>
      </c>
      <c r="AR3" s="80" t="s">
        <v>55</v>
      </c>
      <c r="AS3" s="80" t="s">
        <v>56</v>
      </c>
      <c r="AT3" s="80" t="s">
        <v>57</v>
      </c>
      <c r="AU3" s="82" t="s">
        <v>58</v>
      </c>
      <c r="AV3" s="83" t="s">
        <v>59</v>
      </c>
      <c r="AW3" s="83" t="s">
        <v>60</v>
      </c>
      <c r="AX3" s="83" t="s">
        <v>61</v>
      </c>
      <c r="AY3" s="83" t="s">
        <v>62</v>
      </c>
      <c r="AZ3" s="83" t="s">
        <v>63</v>
      </c>
      <c r="BA3" s="83" t="s">
        <v>64</v>
      </c>
      <c r="BB3" s="115" t="s">
        <v>131</v>
      </c>
      <c r="BC3" s="125" t="s">
        <v>221</v>
      </c>
      <c r="BD3" s="125" t="s">
        <v>222</v>
      </c>
      <c r="BE3" s="84" t="s">
        <v>65</v>
      </c>
      <c r="BF3" s="85" t="s">
        <v>66</v>
      </c>
      <c r="BG3" s="85" t="s">
        <v>67</v>
      </c>
      <c r="BH3" s="86" t="s">
        <v>68</v>
      </c>
      <c r="BI3" s="87" t="s">
        <v>69</v>
      </c>
      <c r="BJ3" s="88" t="s">
        <v>70</v>
      </c>
      <c r="BK3" s="89" t="s">
        <v>71</v>
      </c>
      <c r="BL3" s="90" t="s">
        <v>69</v>
      </c>
      <c r="BM3" s="91" t="s">
        <v>70</v>
      </c>
      <c r="BN3" s="51" t="s">
        <v>72</v>
      </c>
      <c r="BO3" s="52" t="s">
        <v>73</v>
      </c>
      <c r="BP3" s="91" t="s">
        <v>74</v>
      </c>
      <c r="BQ3" s="87" t="s">
        <v>69</v>
      </c>
      <c r="BR3" s="88" t="s">
        <v>70</v>
      </c>
      <c r="BS3" s="51" t="s">
        <v>243</v>
      </c>
      <c r="BT3" s="51" t="s">
        <v>75</v>
      </c>
      <c r="BU3" s="92" t="s">
        <v>76</v>
      </c>
      <c r="BV3" s="93" t="s">
        <v>54</v>
      </c>
      <c r="BW3" s="147" t="s">
        <v>143</v>
      </c>
      <c r="BX3" s="94" t="s">
        <v>77</v>
      </c>
      <c r="BY3" s="93" t="s">
        <v>54</v>
      </c>
      <c r="BZ3" s="117" t="s">
        <v>138</v>
      </c>
      <c r="CA3" s="119" t="s">
        <v>139</v>
      </c>
      <c r="CB3" s="95" t="s">
        <v>132</v>
      </c>
      <c r="CC3" s="94" t="s">
        <v>78</v>
      </c>
      <c r="CD3" s="93" t="s">
        <v>54</v>
      </c>
      <c r="CE3" s="117" t="s">
        <v>140</v>
      </c>
      <c r="CF3" s="119" t="s">
        <v>141</v>
      </c>
      <c r="CG3" s="95" t="s">
        <v>79</v>
      </c>
      <c r="CH3" s="95" t="s">
        <v>80</v>
      </c>
      <c r="CI3" s="95" t="s">
        <v>230</v>
      </c>
      <c r="CJ3" s="95" t="s">
        <v>231</v>
      </c>
      <c r="CK3" s="95" t="s">
        <v>81</v>
      </c>
      <c r="CL3" s="95" t="s">
        <v>82</v>
      </c>
      <c r="CM3" s="95" t="s">
        <v>83</v>
      </c>
      <c r="CN3" s="96" t="s">
        <v>133</v>
      </c>
      <c r="CO3" s="94" t="s">
        <v>84</v>
      </c>
      <c r="CP3" s="93" t="s">
        <v>54</v>
      </c>
      <c r="CQ3" s="93" t="s">
        <v>223</v>
      </c>
      <c r="CR3" s="95" t="s">
        <v>85</v>
      </c>
      <c r="CS3" s="95" t="s">
        <v>80</v>
      </c>
      <c r="CT3" s="95" t="s">
        <v>86</v>
      </c>
      <c r="CU3" s="92" t="s">
        <v>87</v>
      </c>
      <c r="CV3" s="93" t="s">
        <v>54</v>
      </c>
      <c r="CW3" s="93" t="s">
        <v>223</v>
      </c>
      <c r="CX3" s="97" t="s">
        <v>88</v>
      </c>
      <c r="CY3" s="94" t="s">
        <v>224</v>
      </c>
      <c r="CZ3" s="93" t="s">
        <v>54</v>
      </c>
      <c r="DA3" s="93" t="s">
        <v>223</v>
      </c>
      <c r="DB3" s="97" t="s">
        <v>89</v>
      </c>
      <c r="DC3" s="94" t="s">
        <v>225</v>
      </c>
      <c r="DD3" s="93" t="s">
        <v>54</v>
      </c>
      <c r="DE3" s="93" t="s">
        <v>223</v>
      </c>
      <c r="DF3" s="97" t="s">
        <v>90</v>
      </c>
      <c r="DG3" s="94" t="s">
        <v>226</v>
      </c>
      <c r="DH3" s="93" t="s">
        <v>54</v>
      </c>
      <c r="DI3" s="93" t="s">
        <v>223</v>
      </c>
      <c r="DJ3" s="97" t="s">
        <v>91</v>
      </c>
      <c r="DK3" s="94" t="s">
        <v>142</v>
      </c>
      <c r="DL3" s="93" t="s">
        <v>54</v>
      </c>
      <c r="DM3" s="93" t="s">
        <v>223</v>
      </c>
      <c r="DN3" s="98" t="s">
        <v>92</v>
      </c>
      <c r="DO3" s="92" t="s">
        <v>93</v>
      </c>
      <c r="DP3" s="93" t="s">
        <v>54</v>
      </c>
      <c r="DQ3" s="93" t="s">
        <v>223</v>
      </c>
      <c r="DR3" s="99" t="s">
        <v>94</v>
      </c>
      <c r="DS3" s="98" t="s">
        <v>95</v>
      </c>
      <c r="DT3" s="98" t="s">
        <v>96</v>
      </c>
      <c r="DU3" s="92" t="s">
        <v>97</v>
      </c>
      <c r="DV3" s="93" t="s">
        <v>54</v>
      </c>
      <c r="DW3" s="93" t="s">
        <v>223</v>
      </c>
      <c r="DX3" s="93" t="s">
        <v>154</v>
      </c>
      <c r="DY3" s="98" t="s">
        <v>98</v>
      </c>
      <c r="DZ3" s="97" t="s">
        <v>99</v>
      </c>
      <c r="EA3" s="95" t="s">
        <v>100</v>
      </c>
      <c r="EB3" s="98" t="s">
        <v>101</v>
      </c>
      <c r="EC3" s="98" t="s">
        <v>102</v>
      </c>
      <c r="ED3" s="98" t="s">
        <v>103</v>
      </c>
      <c r="EE3" s="100" t="s">
        <v>104</v>
      </c>
      <c r="EF3" s="101" t="s">
        <v>105</v>
      </c>
      <c r="EG3" s="98" t="s">
        <v>106</v>
      </c>
      <c r="EH3" s="148" t="s">
        <v>107</v>
      </c>
      <c r="EI3" s="149" t="s">
        <v>108</v>
      </c>
      <c r="EJ3" s="149" t="s">
        <v>109</v>
      </c>
      <c r="EK3" s="102" t="s">
        <v>134</v>
      </c>
      <c r="EL3" s="103" t="s">
        <v>54</v>
      </c>
      <c r="EM3" s="120" t="s">
        <v>228</v>
      </c>
      <c r="EN3" s="121" t="s">
        <v>229</v>
      </c>
      <c r="EO3" s="102" t="s">
        <v>110</v>
      </c>
      <c r="EP3" s="103" t="s">
        <v>54</v>
      </c>
      <c r="EQ3" s="120" t="s">
        <v>144</v>
      </c>
      <c r="ER3" s="121" t="s">
        <v>145</v>
      </c>
      <c r="ES3" s="104" t="s">
        <v>111</v>
      </c>
      <c r="ET3" s="77" t="s">
        <v>227</v>
      </c>
      <c r="EU3" s="122" t="s">
        <v>144</v>
      </c>
      <c r="EV3" s="122" t="s">
        <v>145</v>
      </c>
      <c r="EW3" s="77" t="s">
        <v>112</v>
      </c>
      <c r="EX3" s="77" t="s">
        <v>113</v>
      </c>
      <c r="EY3" s="77" t="s">
        <v>114</v>
      </c>
      <c r="EZ3" s="77" t="s">
        <v>115</v>
      </c>
      <c r="FA3" s="122" t="s">
        <v>146</v>
      </c>
      <c r="FB3" s="122" t="s">
        <v>147</v>
      </c>
      <c r="FC3" s="77" t="s">
        <v>116</v>
      </c>
      <c r="FD3" s="77" t="s">
        <v>117</v>
      </c>
      <c r="FE3" s="104" t="s">
        <v>118</v>
      </c>
      <c r="FF3" s="129" t="s">
        <v>159</v>
      </c>
      <c r="FG3" s="129" t="s">
        <v>160</v>
      </c>
      <c r="FH3" s="77" t="s">
        <v>119</v>
      </c>
      <c r="FI3" s="129" t="s">
        <v>161</v>
      </c>
      <c r="FJ3" s="129" t="s">
        <v>162</v>
      </c>
      <c r="FK3" s="105" t="s">
        <v>120</v>
      </c>
      <c r="FL3" s="105" t="s">
        <v>156</v>
      </c>
      <c r="FM3" s="105" t="s">
        <v>157</v>
      </c>
      <c r="FN3" s="105" t="s">
        <v>121</v>
      </c>
      <c r="FO3" s="130" t="s">
        <v>158</v>
      </c>
      <c r="FP3" s="150" t="s">
        <v>234</v>
      </c>
      <c r="FQ3" s="106" t="s">
        <v>122</v>
      </c>
      <c r="FR3" s="107"/>
      <c r="FS3" s="107"/>
      <c r="FT3" s="107"/>
      <c r="FU3" s="107"/>
      <c r="FV3" s="107"/>
      <c r="FW3" s="107"/>
      <c r="FX3" s="107"/>
      <c r="FY3" s="107"/>
      <c r="FZ3" s="107"/>
      <c r="GA3" s="107"/>
      <c r="GB3" s="107"/>
      <c r="GC3" s="107"/>
      <c r="GD3" s="107"/>
      <c r="GE3" s="107"/>
      <c r="GF3" s="107"/>
      <c r="GG3" s="107"/>
      <c r="GH3" s="107"/>
      <c r="GI3" s="107"/>
    </row>
    <row r="4" spans="1:191" ht="19">
      <c r="A4" s="123" t="s">
        <v>148</v>
      </c>
      <c r="B4" t="s">
        <v>163</v>
      </c>
      <c r="C4">
        <v>2014</v>
      </c>
      <c r="D4" t="s">
        <v>165</v>
      </c>
      <c r="E4" s="141">
        <f>AG4</f>
        <v>15541.34460575358</v>
      </c>
      <c r="F4" s="141" t="str">
        <f t="shared" ref="F4:G4" si="0">AH4</f>
        <v>NA</v>
      </c>
      <c r="G4" s="141" t="str">
        <f t="shared" si="0"/>
        <v>NA</v>
      </c>
      <c r="H4" s="128">
        <f>EZ4</f>
        <v>299.77725079999539</v>
      </c>
      <c r="I4" s="128">
        <f t="shared" ref="I4:J4" si="1">FA4</f>
        <v>113.53722778422048</v>
      </c>
      <c r="J4" s="128">
        <f t="shared" si="1"/>
        <v>91.833857966991872</v>
      </c>
      <c r="K4" t="s">
        <v>220</v>
      </c>
      <c r="L4" s="153" t="s">
        <v>241</v>
      </c>
      <c r="M4" s="1" t="s">
        <v>164</v>
      </c>
      <c r="N4" t="s">
        <v>165</v>
      </c>
      <c r="O4" s="131">
        <v>761</v>
      </c>
      <c r="P4" t="s">
        <v>166</v>
      </c>
      <c r="Q4" s="132">
        <v>6</v>
      </c>
      <c r="R4" s="132">
        <v>3</v>
      </c>
      <c r="S4" s="142">
        <v>96</v>
      </c>
      <c r="T4">
        <v>98</v>
      </c>
      <c r="U4" s="151" t="s">
        <v>149</v>
      </c>
      <c r="V4" s="134">
        <v>47.06</v>
      </c>
      <c r="W4" s="136" t="s">
        <v>167</v>
      </c>
      <c r="X4" t="s">
        <v>168</v>
      </c>
      <c r="Y4" s="136">
        <v>-16.739722220000001</v>
      </c>
      <c r="Z4" s="127">
        <v>115.53611110999999</v>
      </c>
      <c r="AA4" s="151" t="s">
        <v>149</v>
      </c>
      <c r="AB4" s="151" t="s">
        <v>149</v>
      </c>
      <c r="AC4">
        <v>-2179</v>
      </c>
      <c r="AD4" s="151" t="s">
        <v>149</v>
      </c>
      <c r="AE4" s="151" t="s">
        <v>149</v>
      </c>
      <c r="AF4" s="151" t="s">
        <v>149</v>
      </c>
      <c r="AG4" s="137">
        <v>15541.34460575358</v>
      </c>
      <c r="AH4" s="152" t="s">
        <v>149</v>
      </c>
      <c r="AI4" s="151" t="s">
        <v>149</v>
      </c>
      <c r="AJ4" s="151" t="s">
        <v>149</v>
      </c>
      <c r="AK4" s="138" t="s">
        <v>169</v>
      </c>
      <c r="AL4" s="138" t="s">
        <v>170</v>
      </c>
      <c r="AM4" s="138" t="s">
        <v>171</v>
      </c>
      <c r="AN4" t="s">
        <v>149</v>
      </c>
      <c r="AO4" t="s">
        <v>149</v>
      </c>
      <c r="AP4" t="s">
        <v>149</v>
      </c>
      <c r="AQ4" t="s">
        <v>149</v>
      </c>
      <c r="AR4" t="s">
        <v>149</v>
      </c>
      <c r="AS4" t="s">
        <v>149</v>
      </c>
      <c r="AT4" t="s">
        <v>149</v>
      </c>
      <c r="AU4" t="s">
        <v>172</v>
      </c>
      <c r="AV4" t="s">
        <v>150</v>
      </c>
      <c r="AW4" t="s">
        <v>239</v>
      </c>
      <c r="AX4" t="s">
        <v>240</v>
      </c>
      <c r="AY4" t="s">
        <v>173</v>
      </c>
      <c r="AZ4" t="s">
        <v>174</v>
      </c>
      <c r="BA4" t="s">
        <v>175</v>
      </c>
      <c r="BB4" s="140">
        <v>15.965278142428847</v>
      </c>
      <c r="BC4">
        <v>1</v>
      </c>
      <c r="BD4" t="s">
        <v>149</v>
      </c>
      <c r="BE4" s="133">
        <v>15.965278142428847</v>
      </c>
      <c r="BF4" t="s">
        <v>208</v>
      </c>
      <c r="BG4" s="134">
        <v>0.37848467917098549</v>
      </c>
      <c r="BH4">
        <v>0.83299999999999996</v>
      </c>
      <c r="BI4" t="s">
        <v>210</v>
      </c>
      <c r="BJ4" s="152" t="s">
        <v>149</v>
      </c>
      <c r="BK4">
        <v>2.67</v>
      </c>
      <c r="BL4" t="s">
        <v>210</v>
      </c>
      <c r="BM4" s="152" t="s">
        <v>149</v>
      </c>
      <c r="BN4" s="151" t="s">
        <v>238</v>
      </c>
      <c r="BO4" t="s">
        <v>209</v>
      </c>
      <c r="BP4" s="151" t="s">
        <v>149</v>
      </c>
      <c r="BQ4" s="151" t="s">
        <v>149</v>
      </c>
      <c r="BR4" s="151" t="s">
        <v>149</v>
      </c>
      <c r="BS4" s="151" t="s">
        <v>149</v>
      </c>
      <c r="BT4" s="151" t="s">
        <v>149</v>
      </c>
      <c r="BU4">
        <v>0</v>
      </c>
      <c r="BV4" s="151" t="s">
        <v>149</v>
      </c>
      <c r="BW4" s="151" t="s">
        <v>149</v>
      </c>
      <c r="BX4" s="133">
        <v>32.29809227972126</v>
      </c>
      <c r="BY4" t="s">
        <v>210</v>
      </c>
      <c r="BZ4">
        <v>3</v>
      </c>
      <c r="CA4">
        <v>3</v>
      </c>
      <c r="CB4" s="151" t="s">
        <v>149</v>
      </c>
      <c r="CC4" s="133">
        <v>4.7348946233107476</v>
      </c>
      <c r="CD4" t="s">
        <v>210</v>
      </c>
      <c r="CE4" s="141">
        <f>CC4*0.015</f>
        <v>7.1023419349661207E-2</v>
      </c>
      <c r="CF4" s="141">
        <f>CC4*0.015</f>
        <v>7.1023419349661207E-2</v>
      </c>
      <c r="CG4" s="151" t="s">
        <v>149</v>
      </c>
      <c r="CH4" t="s">
        <v>211</v>
      </c>
      <c r="CI4" s="151">
        <v>3.43</v>
      </c>
      <c r="CJ4" t="s">
        <v>214</v>
      </c>
      <c r="CK4" s="151" t="s">
        <v>149</v>
      </c>
      <c r="CL4" s="151" t="s">
        <v>149</v>
      </c>
      <c r="CM4" s="151" t="s">
        <v>149</v>
      </c>
      <c r="CN4" t="s">
        <v>149</v>
      </c>
      <c r="CO4" t="s">
        <v>149</v>
      </c>
      <c r="CP4" t="s">
        <v>149</v>
      </c>
      <c r="CQ4" t="s">
        <v>149</v>
      </c>
      <c r="CR4" t="s">
        <v>149</v>
      </c>
      <c r="CS4" t="s">
        <v>149</v>
      </c>
      <c r="CT4" t="s">
        <v>149</v>
      </c>
      <c r="CU4">
        <v>35</v>
      </c>
      <c r="CV4" t="s">
        <v>212</v>
      </c>
      <c r="CW4">
        <v>3</v>
      </c>
      <c r="CX4" t="s">
        <v>213</v>
      </c>
      <c r="CY4">
        <v>14</v>
      </c>
      <c r="CZ4" s="151" t="s">
        <v>149</v>
      </c>
      <c r="DA4" s="151" t="s">
        <v>149</v>
      </c>
      <c r="DB4" s="144" t="s">
        <v>214</v>
      </c>
      <c r="DC4" s="144">
        <v>45</v>
      </c>
      <c r="DD4" s="151" t="s">
        <v>149</v>
      </c>
      <c r="DE4" s="151" t="s">
        <v>149</v>
      </c>
      <c r="DF4" t="s">
        <v>214</v>
      </c>
      <c r="DG4" s="151" t="s">
        <v>149</v>
      </c>
      <c r="DH4" s="151" t="s">
        <v>149</v>
      </c>
      <c r="DI4" s="151" t="s">
        <v>149</v>
      </c>
      <c r="DJ4" s="151" t="s">
        <v>149</v>
      </c>
      <c r="DK4">
        <v>432.6</v>
      </c>
      <c r="DL4" s="151" t="s">
        <v>149</v>
      </c>
      <c r="DM4" s="151" t="s">
        <v>149</v>
      </c>
      <c r="DN4" s="151" t="s">
        <v>235</v>
      </c>
      <c r="DO4" s="145">
        <v>37.82</v>
      </c>
      <c r="DP4" s="127" t="s">
        <v>210</v>
      </c>
      <c r="DQ4" s="127">
        <v>0.7</v>
      </c>
      <c r="DR4" t="s">
        <v>215</v>
      </c>
      <c r="DS4" t="s">
        <v>151</v>
      </c>
      <c r="DT4" s="151" t="s">
        <v>149</v>
      </c>
      <c r="DU4">
        <v>1.0271999999999999</v>
      </c>
      <c r="DV4" t="s">
        <v>152</v>
      </c>
      <c r="DW4" t="s">
        <v>152</v>
      </c>
      <c r="DX4" t="s">
        <v>155</v>
      </c>
      <c r="DY4" t="s">
        <v>152</v>
      </c>
      <c r="DZ4" t="s">
        <v>152</v>
      </c>
      <c r="EA4" s="151" t="s">
        <v>149</v>
      </c>
      <c r="EB4" s="151" t="s">
        <v>149</v>
      </c>
      <c r="EC4" s="127" t="s">
        <v>216</v>
      </c>
      <c r="ED4" s="127" t="s">
        <v>216</v>
      </c>
      <c r="EE4" s="151" t="s">
        <v>149</v>
      </c>
      <c r="EF4" s="151" t="s">
        <v>149</v>
      </c>
      <c r="EG4" s="151" t="s">
        <v>149</v>
      </c>
      <c r="EH4" t="s">
        <v>217</v>
      </c>
      <c r="EI4" t="s">
        <v>218</v>
      </c>
      <c r="EJ4" t="s">
        <v>215</v>
      </c>
      <c r="EK4" s="145">
        <v>1292</v>
      </c>
      <c r="EL4" t="s">
        <v>153</v>
      </c>
      <c r="EM4">
        <v>300</v>
      </c>
      <c r="EN4">
        <v>300</v>
      </c>
      <c r="EO4" s="151" t="s">
        <v>149</v>
      </c>
      <c r="EP4" s="151" t="s">
        <v>149</v>
      </c>
      <c r="EQ4" s="151" t="s">
        <v>149</v>
      </c>
      <c r="ER4" s="151" t="s">
        <v>149</v>
      </c>
      <c r="ES4" s="151" t="s">
        <v>149</v>
      </c>
      <c r="ET4" s="151" t="s">
        <v>149</v>
      </c>
      <c r="EU4" s="151" t="s">
        <v>149</v>
      </c>
      <c r="EV4" s="151" t="s">
        <v>149</v>
      </c>
      <c r="EW4" s="154">
        <f>EZ4</f>
        <v>299.77725079999539</v>
      </c>
      <c r="EX4" s="151">
        <v>25</v>
      </c>
      <c r="EY4" s="151" t="s">
        <v>236</v>
      </c>
      <c r="EZ4" s="142">
        <v>299.77725079999539</v>
      </c>
      <c r="FA4" s="142">
        <v>113.53722778422048</v>
      </c>
      <c r="FB4" s="142">
        <v>91.833857966991872</v>
      </c>
      <c r="FC4" s="151" t="s">
        <v>237</v>
      </c>
      <c r="FD4" t="s">
        <v>219</v>
      </c>
      <c r="FE4" s="151" t="s">
        <v>149</v>
      </c>
      <c r="FF4" s="151" t="s">
        <v>149</v>
      </c>
      <c r="FG4" s="151" t="s">
        <v>149</v>
      </c>
      <c r="FH4" s="151" t="s">
        <v>149</v>
      </c>
      <c r="FI4" s="151" t="s">
        <v>149</v>
      </c>
      <c r="FJ4" s="151" t="s">
        <v>149</v>
      </c>
      <c r="FK4" s="151" t="s">
        <v>149</v>
      </c>
      <c r="FL4" s="151" t="s">
        <v>149</v>
      </c>
      <c r="FM4" s="151" t="s">
        <v>149</v>
      </c>
      <c r="FN4" s="151" t="s">
        <v>149</v>
      </c>
      <c r="FO4" s="151" t="s">
        <v>149</v>
      </c>
      <c r="FP4" s="151" t="s">
        <v>149</v>
      </c>
      <c r="FQ4" s="151" t="s">
        <v>242</v>
      </c>
    </row>
    <row r="5" spans="1:191" ht="19">
      <c r="A5" s="123" t="s">
        <v>148</v>
      </c>
      <c r="B5" t="s">
        <v>163</v>
      </c>
      <c r="C5">
        <v>2014</v>
      </c>
      <c r="D5" t="s">
        <v>165</v>
      </c>
      <c r="E5" s="141">
        <f>AG5</f>
        <v>15599.553828550255</v>
      </c>
      <c r="F5" s="141" t="str">
        <f t="shared" ref="F5:F6" si="2">AH5</f>
        <v>NA</v>
      </c>
      <c r="G5" s="141" t="str">
        <f t="shared" ref="G5:G6" si="3">AI5</f>
        <v>NA</v>
      </c>
      <c r="H5" s="128">
        <f>EZ5</f>
        <v>441.6500465567284</v>
      </c>
      <c r="I5" s="128">
        <f t="shared" ref="I5:I6" si="4">FA5</f>
        <v>176.25792922360051</v>
      </c>
      <c r="J5" s="128">
        <f t="shared" ref="J5:J6" si="5">FB5</f>
        <v>141.60489052368274</v>
      </c>
      <c r="K5" t="s">
        <v>220</v>
      </c>
      <c r="L5" s="153" t="s">
        <v>241</v>
      </c>
      <c r="M5" s="1" t="s">
        <v>164</v>
      </c>
      <c r="N5" t="s">
        <v>165</v>
      </c>
      <c r="O5" s="131">
        <v>761</v>
      </c>
      <c r="P5" t="s">
        <v>166</v>
      </c>
      <c r="Q5" s="132">
        <v>6</v>
      </c>
      <c r="R5" s="132">
        <v>3</v>
      </c>
      <c r="S5" s="142">
        <v>118</v>
      </c>
      <c r="T5">
        <v>120</v>
      </c>
      <c r="U5" s="151" t="s">
        <v>149</v>
      </c>
      <c r="V5" s="134">
        <v>47.28</v>
      </c>
      <c r="W5" s="136" t="s">
        <v>167</v>
      </c>
      <c r="X5" t="s">
        <v>168</v>
      </c>
      <c r="Y5" s="136">
        <v>-16.739722220000001</v>
      </c>
      <c r="Z5" s="127">
        <v>115.53611110999999</v>
      </c>
      <c r="AA5" s="151" t="s">
        <v>149</v>
      </c>
      <c r="AB5" s="151" t="s">
        <v>149</v>
      </c>
      <c r="AC5">
        <v>-2179</v>
      </c>
      <c r="AD5" s="151" t="s">
        <v>149</v>
      </c>
      <c r="AE5" s="151" t="s">
        <v>149</v>
      </c>
      <c r="AF5" s="151" t="s">
        <v>149</v>
      </c>
      <c r="AG5" s="137">
        <v>15599.553828550255</v>
      </c>
      <c r="AH5" s="152" t="s">
        <v>149</v>
      </c>
      <c r="AI5" s="151" t="s">
        <v>149</v>
      </c>
      <c r="AJ5" s="151" t="s">
        <v>149</v>
      </c>
      <c r="AK5" s="138" t="s">
        <v>169</v>
      </c>
      <c r="AL5" s="138" t="s">
        <v>170</v>
      </c>
      <c r="AM5" s="138" t="s">
        <v>171</v>
      </c>
      <c r="AN5" t="s">
        <v>149</v>
      </c>
      <c r="AO5" t="s">
        <v>149</v>
      </c>
      <c r="AP5" t="s">
        <v>149</v>
      </c>
      <c r="AQ5" t="s">
        <v>149</v>
      </c>
      <c r="AR5" t="s">
        <v>149</v>
      </c>
      <c r="AS5" t="s">
        <v>149</v>
      </c>
      <c r="AT5" t="s">
        <v>149</v>
      </c>
      <c r="AU5" t="s">
        <v>172</v>
      </c>
      <c r="AV5" t="s">
        <v>150</v>
      </c>
      <c r="AW5" t="s">
        <v>239</v>
      </c>
      <c r="AX5" t="s">
        <v>240</v>
      </c>
      <c r="AY5" t="s">
        <v>173</v>
      </c>
      <c r="AZ5" t="s">
        <v>174</v>
      </c>
      <c r="BA5" t="s">
        <v>175</v>
      </c>
      <c r="BB5" s="140" t="s">
        <v>176</v>
      </c>
      <c r="BC5">
        <v>2</v>
      </c>
      <c r="BD5" s="141">
        <v>0.54342566493468247</v>
      </c>
      <c r="BE5" s="133">
        <v>14.840545038016348</v>
      </c>
      <c r="BF5" t="s">
        <v>208</v>
      </c>
      <c r="BG5" s="134">
        <v>0.30516813520038544</v>
      </c>
      <c r="BH5">
        <v>0.83299999999999996</v>
      </c>
      <c r="BI5" t="s">
        <v>210</v>
      </c>
      <c r="BJ5" s="152" t="s">
        <v>149</v>
      </c>
      <c r="BK5">
        <v>2.67</v>
      </c>
      <c r="BL5" t="s">
        <v>210</v>
      </c>
      <c r="BM5" s="152" t="s">
        <v>149</v>
      </c>
      <c r="BN5" s="151" t="s">
        <v>238</v>
      </c>
      <c r="BO5" t="s">
        <v>209</v>
      </c>
      <c r="BP5" s="151" t="s">
        <v>149</v>
      </c>
      <c r="BQ5" s="151" t="s">
        <v>149</v>
      </c>
      <c r="BR5" s="151" t="s">
        <v>149</v>
      </c>
      <c r="BS5" s="151" t="s">
        <v>149</v>
      </c>
      <c r="BT5" s="151" t="s">
        <v>149</v>
      </c>
      <c r="BU5">
        <v>0</v>
      </c>
      <c r="BV5" s="151" t="s">
        <v>149</v>
      </c>
      <c r="BW5" s="151" t="s">
        <v>149</v>
      </c>
      <c r="BX5" s="133">
        <v>31.537942839683637</v>
      </c>
      <c r="BY5" t="s">
        <v>210</v>
      </c>
      <c r="BZ5">
        <v>3</v>
      </c>
      <c r="CA5">
        <v>3</v>
      </c>
      <c r="CB5" s="151" t="s">
        <v>149</v>
      </c>
      <c r="CC5" s="133">
        <v>4.3473337601126794</v>
      </c>
      <c r="CD5" t="s">
        <v>210</v>
      </c>
      <c r="CE5" s="141">
        <f t="shared" ref="CE5:CE38" si="6">CC5*0.015</f>
        <v>6.5210006401690182E-2</v>
      </c>
      <c r="CF5" s="141">
        <f t="shared" ref="CF5:CF38" si="7">CC5*0.015</f>
        <v>6.5210006401690182E-2</v>
      </c>
      <c r="CG5" s="151" t="s">
        <v>149</v>
      </c>
      <c r="CH5" t="s">
        <v>211</v>
      </c>
      <c r="CI5" s="151">
        <v>3.43</v>
      </c>
      <c r="CJ5" t="s">
        <v>214</v>
      </c>
      <c r="CK5" s="151" t="s">
        <v>149</v>
      </c>
      <c r="CL5" s="151" t="s">
        <v>149</v>
      </c>
      <c r="CM5" s="151" t="s">
        <v>149</v>
      </c>
      <c r="CN5" t="s">
        <v>149</v>
      </c>
      <c r="CO5" t="s">
        <v>149</v>
      </c>
      <c r="CP5" t="s">
        <v>149</v>
      </c>
      <c r="CQ5" t="s">
        <v>149</v>
      </c>
      <c r="CR5" t="s">
        <v>149</v>
      </c>
      <c r="CS5" t="s">
        <v>149</v>
      </c>
      <c r="CT5" t="s">
        <v>149</v>
      </c>
      <c r="CU5">
        <v>35</v>
      </c>
      <c r="CV5" t="s">
        <v>212</v>
      </c>
      <c r="CW5">
        <v>3</v>
      </c>
      <c r="CX5" t="s">
        <v>213</v>
      </c>
      <c r="CY5">
        <v>14</v>
      </c>
      <c r="CZ5" s="151" t="s">
        <v>149</v>
      </c>
      <c r="DA5" s="151" t="s">
        <v>149</v>
      </c>
      <c r="DB5" s="144" t="s">
        <v>214</v>
      </c>
      <c r="DC5" s="144">
        <v>45</v>
      </c>
      <c r="DD5" s="151" t="s">
        <v>149</v>
      </c>
      <c r="DE5" s="151" t="s">
        <v>149</v>
      </c>
      <c r="DF5" t="s">
        <v>214</v>
      </c>
      <c r="DG5" s="151" t="s">
        <v>149</v>
      </c>
      <c r="DH5" s="151" t="s">
        <v>149</v>
      </c>
      <c r="DI5" s="151" t="s">
        <v>149</v>
      </c>
      <c r="DJ5" s="151" t="s">
        <v>149</v>
      </c>
      <c r="DK5">
        <v>432.6</v>
      </c>
      <c r="DL5" s="151" t="s">
        <v>149</v>
      </c>
      <c r="DM5" s="151" t="s">
        <v>149</v>
      </c>
      <c r="DN5" s="151" t="s">
        <v>235</v>
      </c>
      <c r="DO5" s="145">
        <v>37.82</v>
      </c>
      <c r="DP5" s="127" t="s">
        <v>210</v>
      </c>
      <c r="DQ5" s="127">
        <v>0.7</v>
      </c>
      <c r="DR5" t="s">
        <v>215</v>
      </c>
      <c r="DS5" t="s">
        <v>151</v>
      </c>
      <c r="DT5" s="151" t="s">
        <v>149</v>
      </c>
      <c r="DU5">
        <v>1.0271999999999999</v>
      </c>
      <c r="DV5" t="s">
        <v>152</v>
      </c>
      <c r="DW5" t="s">
        <v>152</v>
      </c>
      <c r="DX5" t="s">
        <v>155</v>
      </c>
      <c r="DY5" t="s">
        <v>152</v>
      </c>
      <c r="DZ5" t="s">
        <v>152</v>
      </c>
      <c r="EA5" s="151" t="s">
        <v>149</v>
      </c>
      <c r="EB5" s="151" t="s">
        <v>149</v>
      </c>
      <c r="EC5" s="127" t="s">
        <v>216</v>
      </c>
      <c r="ED5" s="127" t="s">
        <v>216</v>
      </c>
      <c r="EE5" s="151" t="s">
        <v>149</v>
      </c>
      <c r="EF5" s="151" t="s">
        <v>149</v>
      </c>
      <c r="EG5" s="151" t="s">
        <v>149</v>
      </c>
      <c r="EH5" t="s">
        <v>217</v>
      </c>
      <c r="EI5" t="s">
        <v>218</v>
      </c>
      <c r="EJ5" t="s">
        <v>215</v>
      </c>
      <c r="EK5">
        <v>1292</v>
      </c>
      <c r="EL5" t="s">
        <v>153</v>
      </c>
      <c r="EM5">
        <v>300</v>
      </c>
      <c r="EN5">
        <v>300</v>
      </c>
      <c r="EO5" s="151" t="s">
        <v>149</v>
      </c>
      <c r="EP5" s="151" t="s">
        <v>149</v>
      </c>
      <c r="EQ5" s="151" t="s">
        <v>149</v>
      </c>
      <c r="ER5" s="151" t="s">
        <v>149</v>
      </c>
      <c r="ES5" s="151" t="s">
        <v>149</v>
      </c>
      <c r="ET5" s="151" t="s">
        <v>149</v>
      </c>
      <c r="EU5" s="151" t="s">
        <v>149</v>
      </c>
      <c r="EV5" s="151" t="s">
        <v>149</v>
      </c>
      <c r="EW5" s="154">
        <f t="shared" ref="EW5:EW38" si="8">EZ5</f>
        <v>441.6500465567284</v>
      </c>
      <c r="EX5" s="151">
        <v>25</v>
      </c>
      <c r="EY5" s="151" t="s">
        <v>236</v>
      </c>
      <c r="EZ5" s="142">
        <v>441.6500465567284</v>
      </c>
      <c r="FA5" s="142">
        <v>176.25792922360051</v>
      </c>
      <c r="FB5" s="142">
        <v>141.60489052368274</v>
      </c>
      <c r="FC5" s="151" t="s">
        <v>237</v>
      </c>
      <c r="FD5" t="s">
        <v>219</v>
      </c>
      <c r="FE5" s="151" t="s">
        <v>149</v>
      </c>
      <c r="FF5" s="151" t="s">
        <v>149</v>
      </c>
      <c r="FG5" s="151" t="s">
        <v>149</v>
      </c>
      <c r="FH5" s="151" t="s">
        <v>149</v>
      </c>
      <c r="FI5" s="151" t="s">
        <v>149</v>
      </c>
      <c r="FJ5" s="151" t="s">
        <v>149</v>
      </c>
      <c r="FK5" s="151" t="s">
        <v>149</v>
      </c>
      <c r="FL5" s="151" t="s">
        <v>149</v>
      </c>
      <c r="FM5" s="151" t="s">
        <v>149</v>
      </c>
      <c r="FN5" s="151" t="s">
        <v>149</v>
      </c>
      <c r="FO5" s="151" t="s">
        <v>149</v>
      </c>
      <c r="FP5" s="151" t="s">
        <v>149</v>
      </c>
      <c r="FQ5" s="151" t="s">
        <v>242</v>
      </c>
    </row>
    <row r="6" spans="1:191" ht="19">
      <c r="A6" s="123" t="s">
        <v>148</v>
      </c>
      <c r="B6" t="s">
        <v>163</v>
      </c>
      <c r="C6">
        <v>2014</v>
      </c>
      <c r="D6" t="s">
        <v>165</v>
      </c>
      <c r="E6" s="141">
        <f t="shared" ref="E6:E38" si="9">AG6</f>
        <v>15612.770481478605</v>
      </c>
      <c r="F6" s="141" t="str">
        <f t="shared" si="2"/>
        <v>NA</v>
      </c>
      <c r="G6" s="141" t="str">
        <f t="shared" si="3"/>
        <v>NA</v>
      </c>
      <c r="H6" s="128">
        <f t="shared" ref="H6:H38" si="10">EZ6</f>
        <v>468.55909582593591</v>
      </c>
      <c r="I6" s="128">
        <f t="shared" si="4"/>
        <v>187.48851284045708</v>
      </c>
      <c r="J6" s="128">
        <f t="shared" si="5"/>
        <v>149.55695926694227</v>
      </c>
      <c r="K6" t="s">
        <v>220</v>
      </c>
      <c r="L6" s="153" t="s">
        <v>241</v>
      </c>
      <c r="M6" s="1" t="s">
        <v>164</v>
      </c>
      <c r="N6" t="s">
        <v>165</v>
      </c>
      <c r="O6" s="131">
        <v>761</v>
      </c>
      <c r="P6" t="s">
        <v>166</v>
      </c>
      <c r="Q6" s="132">
        <v>6</v>
      </c>
      <c r="R6" s="132">
        <v>3</v>
      </c>
      <c r="S6" s="142">
        <v>123</v>
      </c>
      <c r="T6">
        <v>125</v>
      </c>
      <c r="U6" s="151" t="s">
        <v>149</v>
      </c>
      <c r="V6" s="134">
        <v>47.33</v>
      </c>
      <c r="W6" s="136" t="s">
        <v>167</v>
      </c>
      <c r="X6" t="s">
        <v>168</v>
      </c>
      <c r="Y6" s="136">
        <v>-16.739722220000001</v>
      </c>
      <c r="Z6" s="127">
        <v>115.53611110999999</v>
      </c>
      <c r="AA6" s="151" t="s">
        <v>149</v>
      </c>
      <c r="AB6" s="151" t="s">
        <v>149</v>
      </c>
      <c r="AC6">
        <v>-2179</v>
      </c>
      <c r="AD6" s="151" t="s">
        <v>149</v>
      </c>
      <c r="AE6" s="151" t="s">
        <v>149</v>
      </c>
      <c r="AF6" s="151" t="s">
        <v>149</v>
      </c>
      <c r="AG6" s="137">
        <v>15612.770481478605</v>
      </c>
      <c r="AH6" s="152" t="s">
        <v>149</v>
      </c>
      <c r="AI6" s="151" t="s">
        <v>149</v>
      </c>
      <c r="AJ6" s="151" t="s">
        <v>149</v>
      </c>
      <c r="AK6" s="138" t="s">
        <v>169</v>
      </c>
      <c r="AL6" s="138" t="s">
        <v>170</v>
      </c>
      <c r="AM6" s="138" t="s">
        <v>171</v>
      </c>
      <c r="AN6" t="s">
        <v>149</v>
      </c>
      <c r="AO6" t="s">
        <v>149</v>
      </c>
      <c r="AP6" t="s">
        <v>149</v>
      </c>
      <c r="AQ6" t="s">
        <v>149</v>
      </c>
      <c r="AR6" t="s">
        <v>149</v>
      </c>
      <c r="AS6" t="s">
        <v>149</v>
      </c>
      <c r="AT6" t="s">
        <v>149</v>
      </c>
      <c r="AU6" t="s">
        <v>172</v>
      </c>
      <c r="AV6" t="s">
        <v>150</v>
      </c>
      <c r="AW6" t="s">
        <v>239</v>
      </c>
      <c r="AX6" t="s">
        <v>240</v>
      </c>
      <c r="AY6" t="s">
        <v>173</v>
      </c>
      <c r="AZ6" t="s">
        <v>174</v>
      </c>
      <c r="BA6" t="s">
        <v>175</v>
      </c>
      <c r="BB6" s="140" t="s">
        <v>177</v>
      </c>
      <c r="BC6">
        <v>2</v>
      </c>
      <c r="BD6" s="141">
        <v>0.28035559072177385</v>
      </c>
      <c r="BE6" s="133">
        <v>14.717375245562483</v>
      </c>
      <c r="BF6" t="s">
        <v>208</v>
      </c>
      <c r="BG6" s="134">
        <v>0.24375292870860932</v>
      </c>
      <c r="BH6">
        <v>0.83299999999999996</v>
      </c>
      <c r="BI6" t="s">
        <v>210</v>
      </c>
      <c r="BJ6" s="152" t="s">
        <v>149</v>
      </c>
      <c r="BK6">
        <v>2.67</v>
      </c>
      <c r="BL6" t="s">
        <v>210</v>
      </c>
      <c r="BM6" s="152" t="s">
        <v>149</v>
      </c>
      <c r="BN6" s="151" t="s">
        <v>238</v>
      </c>
      <c r="BO6" t="s">
        <v>209</v>
      </c>
      <c r="BP6" s="151" t="s">
        <v>149</v>
      </c>
      <c r="BQ6" s="151" t="s">
        <v>149</v>
      </c>
      <c r="BR6" s="151" t="s">
        <v>149</v>
      </c>
      <c r="BS6" s="151" t="s">
        <v>149</v>
      </c>
      <c r="BT6" s="151" t="s">
        <v>149</v>
      </c>
      <c r="BU6">
        <v>0</v>
      </c>
      <c r="BV6" s="151" t="s">
        <v>149</v>
      </c>
      <c r="BW6" s="151" t="s">
        <v>149</v>
      </c>
      <c r="BX6" s="133">
        <v>31.813476905712093</v>
      </c>
      <c r="BY6" t="s">
        <v>210</v>
      </c>
      <c r="BZ6">
        <v>3</v>
      </c>
      <c r="CA6">
        <v>3</v>
      </c>
      <c r="CB6" s="151" t="s">
        <v>149</v>
      </c>
      <c r="CC6" s="133">
        <v>4.4993133888650636</v>
      </c>
      <c r="CD6" t="s">
        <v>210</v>
      </c>
      <c r="CE6" s="141">
        <f t="shared" si="6"/>
        <v>6.7489700832975952E-2</v>
      </c>
      <c r="CF6" s="141">
        <f t="shared" si="7"/>
        <v>6.7489700832975952E-2</v>
      </c>
      <c r="CG6" s="151" t="s">
        <v>149</v>
      </c>
      <c r="CH6" t="s">
        <v>211</v>
      </c>
      <c r="CI6" s="151">
        <v>3.43</v>
      </c>
      <c r="CJ6" t="s">
        <v>214</v>
      </c>
      <c r="CK6" s="151" t="s">
        <v>149</v>
      </c>
      <c r="CL6" s="151" t="s">
        <v>149</v>
      </c>
      <c r="CM6" s="151" t="s">
        <v>149</v>
      </c>
      <c r="CN6" t="s">
        <v>149</v>
      </c>
      <c r="CO6" t="s">
        <v>149</v>
      </c>
      <c r="CP6" t="s">
        <v>149</v>
      </c>
      <c r="CQ6" t="s">
        <v>149</v>
      </c>
      <c r="CR6" t="s">
        <v>149</v>
      </c>
      <c r="CS6" t="s">
        <v>149</v>
      </c>
      <c r="CT6" t="s">
        <v>149</v>
      </c>
      <c r="CU6">
        <v>35</v>
      </c>
      <c r="CV6" t="s">
        <v>212</v>
      </c>
      <c r="CW6">
        <v>3</v>
      </c>
      <c r="CX6" t="s">
        <v>213</v>
      </c>
      <c r="CY6">
        <v>14</v>
      </c>
      <c r="CZ6" s="151" t="s">
        <v>149</v>
      </c>
      <c r="DA6" s="151" t="s">
        <v>149</v>
      </c>
      <c r="DB6" s="144" t="s">
        <v>214</v>
      </c>
      <c r="DC6" s="144">
        <v>45</v>
      </c>
      <c r="DD6" s="151" t="s">
        <v>149</v>
      </c>
      <c r="DE6" s="151" t="s">
        <v>149</v>
      </c>
      <c r="DF6" t="s">
        <v>214</v>
      </c>
      <c r="DG6" s="151" t="s">
        <v>149</v>
      </c>
      <c r="DH6" s="151" t="s">
        <v>149</v>
      </c>
      <c r="DI6" s="151" t="s">
        <v>149</v>
      </c>
      <c r="DJ6" s="151" t="s">
        <v>149</v>
      </c>
      <c r="DK6">
        <v>432.6</v>
      </c>
      <c r="DL6" s="151" t="s">
        <v>149</v>
      </c>
      <c r="DM6" s="151" t="s">
        <v>149</v>
      </c>
      <c r="DN6" s="151" t="s">
        <v>235</v>
      </c>
      <c r="DO6" s="145">
        <v>37.82</v>
      </c>
      <c r="DP6" s="127" t="s">
        <v>210</v>
      </c>
      <c r="DQ6" s="127">
        <v>0.7</v>
      </c>
      <c r="DR6" t="s">
        <v>215</v>
      </c>
      <c r="DS6" t="s">
        <v>151</v>
      </c>
      <c r="DT6" s="151" t="s">
        <v>149</v>
      </c>
      <c r="DU6">
        <v>1.0271999999999999</v>
      </c>
      <c r="DV6" t="s">
        <v>152</v>
      </c>
      <c r="DW6" t="s">
        <v>152</v>
      </c>
      <c r="DX6" t="s">
        <v>155</v>
      </c>
      <c r="DY6" t="s">
        <v>152</v>
      </c>
      <c r="DZ6" t="s">
        <v>152</v>
      </c>
      <c r="EA6" s="151" t="s">
        <v>149</v>
      </c>
      <c r="EB6" s="151" t="s">
        <v>149</v>
      </c>
      <c r="EC6" s="127" t="s">
        <v>216</v>
      </c>
      <c r="ED6" s="127" t="s">
        <v>216</v>
      </c>
      <c r="EE6" s="151" t="s">
        <v>149</v>
      </c>
      <c r="EF6" s="151" t="s">
        <v>149</v>
      </c>
      <c r="EG6" s="151" t="s">
        <v>149</v>
      </c>
      <c r="EH6" t="s">
        <v>217</v>
      </c>
      <c r="EI6" t="s">
        <v>218</v>
      </c>
      <c r="EJ6" t="s">
        <v>215</v>
      </c>
      <c r="EK6" s="145">
        <v>1292</v>
      </c>
      <c r="EL6" t="s">
        <v>153</v>
      </c>
      <c r="EM6">
        <v>300</v>
      </c>
      <c r="EN6">
        <v>300</v>
      </c>
      <c r="EO6" s="151" t="s">
        <v>149</v>
      </c>
      <c r="EP6" s="151" t="s">
        <v>149</v>
      </c>
      <c r="EQ6" s="151" t="s">
        <v>149</v>
      </c>
      <c r="ER6" s="151" t="s">
        <v>149</v>
      </c>
      <c r="ES6" s="151" t="s">
        <v>149</v>
      </c>
      <c r="ET6" s="151" t="s">
        <v>149</v>
      </c>
      <c r="EU6" s="151" t="s">
        <v>149</v>
      </c>
      <c r="EV6" s="151" t="s">
        <v>149</v>
      </c>
      <c r="EW6" s="154">
        <f t="shared" si="8"/>
        <v>468.55909582593591</v>
      </c>
      <c r="EX6" s="151">
        <v>25</v>
      </c>
      <c r="EY6" s="151" t="s">
        <v>236</v>
      </c>
      <c r="EZ6" s="142">
        <v>468.55909582593591</v>
      </c>
      <c r="FA6" s="142">
        <v>187.48851284045708</v>
      </c>
      <c r="FB6" s="142">
        <v>149.55695926694227</v>
      </c>
      <c r="FC6" s="151" t="s">
        <v>237</v>
      </c>
      <c r="FD6" t="s">
        <v>219</v>
      </c>
      <c r="FE6" s="151" t="s">
        <v>149</v>
      </c>
      <c r="FF6" s="151" t="s">
        <v>149</v>
      </c>
      <c r="FG6" s="151" t="s">
        <v>149</v>
      </c>
      <c r="FH6" s="151" t="s">
        <v>149</v>
      </c>
      <c r="FI6" s="151" t="s">
        <v>149</v>
      </c>
      <c r="FJ6" s="151" t="s">
        <v>149</v>
      </c>
      <c r="FK6" s="151" t="s">
        <v>149</v>
      </c>
      <c r="FL6" s="151" t="s">
        <v>149</v>
      </c>
      <c r="FM6" s="151" t="s">
        <v>149</v>
      </c>
      <c r="FN6" s="151" t="s">
        <v>149</v>
      </c>
      <c r="FO6" s="151" t="s">
        <v>149</v>
      </c>
      <c r="FP6" s="151" t="s">
        <v>149</v>
      </c>
      <c r="FQ6" s="151" t="s">
        <v>242</v>
      </c>
    </row>
    <row r="7" spans="1:191" ht="19">
      <c r="A7" s="123" t="s">
        <v>148</v>
      </c>
      <c r="B7" t="s">
        <v>163</v>
      </c>
      <c r="C7">
        <v>2014</v>
      </c>
      <c r="D7" t="s">
        <v>165</v>
      </c>
      <c r="E7" s="141">
        <f t="shared" si="9"/>
        <v>15625.986305972787</v>
      </c>
      <c r="F7" s="141" t="str">
        <f t="shared" ref="F7:F38" si="11">AH7</f>
        <v>NA</v>
      </c>
      <c r="G7" s="141" t="str">
        <f t="shared" ref="G7:G38" si="12">AI7</f>
        <v>NA</v>
      </c>
      <c r="H7" s="128">
        <f t="shared" si="10"/>
        <v>329.84206661166087</v>
      </c>
      <c r="I7" s="128">
        <f t="shared" ref="I7:I38" si="13">FA7</f>
        <v>122.80013655105614</v>
      </c>
      <c r="J7" s="128">
        <f t="shared" ref="J7:J38" si="14">FB7</f>
        <v>100.65583479906641</v>
      </c>
      <c r="K7" t="s">
        <v>220</v>
      </c>
      <c r="L7" s="153" t="s">
        <v>241</v>
      </c>
      <c r="M7" s="1" t="s">
        <v>164</v>
      </c>
      <c r="N7" t="s">
        <v>165</v>
      </c>
      <c r="O7" s="131">
        <v>761</v>
      </c>
      <c r="P7" t="s">
        <v>166</v>
      </c>
      <c r="Q7" s="132">
        <v>6</v>
      </c>
      <c r="R7" s="132">
        <v>3</v>
      </c>
      <c r="S7" s="142">
        <v>128</v>
      </c>
      <c r="T7">
        <v>130</v>
      </c>
      <c r="U7" s="151" t="s">
        <v>149</v>
      </c>
      <c r="V7" s="134">
        <v>47.38</v>
      </c>
      <c r="W7" s="136" t="s">
        <v>167</v>
      </c>
      <c r="X7" t="s">
        <v>168</v>
      </c>
      <c r="Y7" s="136">
        <v>-16.739722220000001</v>
      </c>
      <c r="Z7" s="127">
        <v>115.53611110999999</v>
      </c>
      <c r="AA7" s="151" t="s">
        <v>149</v>
      </c>
      <c r="AB7" s="151" t="s">
        <v>149</v>
      </c>
      <c r="AC7">
        <v>-2179</v>
      </c>
      <c r="AD7" s="151" t="s">
        <v>149</v>
      </c>
      <c r="AE7" s="151" t="s">
        <v>149</v>
      </c>
      <c r="AF7" s="151" t="s">
        <v>149</v>
      </c>
      <c r="AG7" s="137">
        <v>15625.986305972787</v>
      </c>
      <c r="AH7" s="152" t="s">
        <v>149</v>
      </c>
      <c r="AI7" s="151" t="s">
        <v>149</v>
      </c>
      <c r="AJ7" s="151" t="s">
        <v>149</v>
      </c>
      <c r="AK7" s="138" t="s">
        <v>169</v>
      </c>
      <c r="AL7" s="138" t="s">
        <v>170</v>
      </c>
      <c r="AM7" s="138" t="s">
        <v>171</v>
      </c>
      <c r="AN7" t="s">
        <v>149</v>
      </c>
      <c r="AO7" t="s">
        <v>149</v>
      </c>
      <c r="AP7" t="s">
        <v>149</v>
      </c>
      <c r="AQ7" t="s">
        <v>149</v>
      </c>
      <c r="AR7" t="s">
        <v>149</v>
      </c>
      <c r="AS7" t="s">
        <v>149</v>
      </c>
      <c r="AT7" t="s">
        <v>149</v>
      </c>
      <c r="AU7" t="s">
        <v>172</v>
      </c>
      <c r="AV7" t="s">
        <v>150</v>
      </c>
      <c r="AW7" t="s">
        <v>239</v>
      </c>
      <c r="AX7" t="s">
        <v>240</v>
      </c>
      <c r="AY7" t="s">
        <v>173</v>
      </c>
      <c r="AZ7" t="s">
        <v>174</v>
      </c>
      <c r="BA7" t="s">
        <v>175</v>
      </c>
      <c r="BB7" s="140" t="s">
        <v>178</v>
      </c>
      <c r="BC7">
        <v>2</v>
      </c>
      <c r="BD7" s="141">
        <v>0.33540842095891144</v>
      </c>
      <c r="BE7" s="133">
        <v>15.663091044493633</v>
      </c>
      <c r="BF7" t="s">
        <v>208</v>
      </c>
      <c r="BG7" s="134">
        <v>0.31302352356807828</v>
      </c>
      <c r="BH7">
        <v>0.83299999999999996</v>
      </c>
      <c r="BI7" t="s">
        <v>210</v>
      </c>
      <c r="BJ7" s="152" t="s">
        <v>149</v>
      </c>
      <c r="BK7">
        <v>2.67</v>
      </c>
      <c r="BL7" t="s">
        <v>210</v>
      </c>
      <c r="BM7" s="152" t="s">
        <v>149</v>
      </c>
      <c r="BN7" s="151" t="s">
        <v>238</v>
      </c>
      <c r="BO7" t="s">
        <v>209</v>
      </c>
      <c r="BP7" s="151" t="s">
        <v>149</v>
      </c>
      <c r="BQ7" s="151" t="s">
        <v>149</v>
      </c>
      <c r="BR7" s="151" t="s">
        <v>149</v>
      </c>
      <c r="BS7" s="151" t="s">
        <v>149</v>
      </c>
      <c r="BT7" s="151" t="s">
        <v>149</v>
      </c>
      <c r="BU7">
        <v>0</v>
      </c>
      <c r="BV7" s="151" t="s">
        <v>149</v>
      </c>
      <c r="BW7" s="151" t="s">
        <v>149</v>
      </c>
      <c r="BX7" s="133">
        <v>32.085730687951553</v>
      </c>
      <c r="BY7" t="s">
        <v>210</v>
      </c>
      <c r="BZ7">
        <v>3</v>
      </c>
      <c r="CA7">
        <v>3</v>
      </c>
      <c r="CB7" s="151" t="s">
        <v>149</v>
      </c>
      <c r="CC7" s="133">
        <v>4.6850790319505959</v>
      </c>
      <c r="CD7" t="s">
        <v>210</v>
      </c>
      <c r="CE7" s="141">
        <f t="shared" si="6"/>
        <v>7.0276185479258943E-2</v>
      </c>
      <c r="CF7" s="141">
        <f t="shared" si="7"/>
        <v>7.0276185479258943E-2</v>
      </c>
      <c r="CG7" s="151" t="s">
        <v>149</v>
      </c>
      <c r="CH7" t="s">
        <v>211</v>
      </c>
      <c r="CI7" s="151">
        <v>3.43</v>
      </c>
      <c r="CJ7" t="s">
        <v>214</v>
      </c>
      <c r="CK7" s="151" t="s">
        <v>149</v>
      </c>
      <c r="CL7" s="151" t="s">
        <v>149</v>
      </c>
      <c r="CM7" s="151" t="s">
        <v>149</v>
      </c>
      <c r="CN7" t="s">
        <v>149</v>
      </c>
      <c r="CO7" t="s">
        <v>149</v>
      </c>
      <c r="CP7" t="s">
        <v>149</v>
      </c>
      <c r="CQ7" t="s">
        <v>149</v>
      </c>
      <c r="CR7" t="s">
        <v>149</v>
      </c>
      <c r="CS7" t="s">
        <v>149</v>
      </c>
      <c r="CT7" t="s">
        <v>149</v>
      </c>
      <c r="CU7">
        <v>35</v>
      </c>
      <c r="CV7" t="s">
        <v>212</v>
      </c>
      <c r="CW7">
        <v>3</v>
      </c>
      <c r="CX7" t="s">
        <v>213</v>
      </c>
      <c r="CY7">
        <v>14</v>
      </c>
      <c r="CZ7" s="151" t="s">
        <v>149</v>
      </c>
      <c r="DA7" s="151" t="s">
        <v>149</v>
      </c>
      <c r="DB7" s="144" t="s">
        <v>214</v>
      </c>
      <c r="DC7" s="144">
        <v>45</v>
      </c>
      <c r="DD7" s="151" t="s">
        <v>149</v>
      </c>
      <c r="DE7" s="151" t="s">
        <v>149</v>
      </c>
      <c r="DF7" t="s">
        <v>214</v>
      </c>
      <c r="DG7" s="151" t="s">
        <v>149</v>
      </c>
      <c r="DH7" s="151" t="s">
        <v>149</v>
      </c>
      <c r="DI7" s="151" t="s">
        <v>149</v>
      </c>
      <c r="DJ7" s="151" t="s">
        <v>149</v>
      </c>
      <c r="DK7">
        <v>432.6</v>
      </c>
      <c r="DL7" s="151" t="s">
        <v>149</v>
      </c>
      <c r="DM7" s="151" t="s">
        <v>149</v>
      </c>
      <c r="DN7" s="151" t="s">
        <v>235</v>
      </c>
      <c r="DO7" s="145">
        <v>37.82</v>
      </c>
      <c r="DP7" s="127" t="s">
        <v>210</v>
      </c>
      <c r="DQ7" s="127">
        <v>0.7</v>
      </c>
      <c r="DR7" t="s">
        <v>215</v>
      </c>
      <c r="DS7" t="s">
        <v>151</v>
      </c>
      <c r="DT7" s="151" t="s">
        <v>149</v>
      </c>
      <c r="DU7">
        <v>1.0271999999999999</v>
      </c>
      <c r="DV7" t="s">
        <v>152</v>
      </c>
      <c r="DW7" t="s">
        <v>152</v>
      </c>
      <c r="DX7" t="s">
        <v>155</v>
      </c>
      <c r="DY7" t="s">
        <v>152</v>
      </c>
      <c r="DZ7" t="s">
        <v>152</v>
      </c>
      <c r="EA7" s="151" t="s">
        <v>149</v>
      </c>
      <c r="EB7" s="151" t="s">
        <v>149</v>
      </c>
      <c r="EC7" s="127" t="s">
        <v>216</v>
      </c>
      <c r="ED7" s="127" t="s">
        <v>216</v>
      </c>
      <c r="EE7" s="151" t="s">
        <v>149</v>
      </c>
      <c r="EF7" s="151" t="s">
        <v>149</v>
      </c>
      <c r="EG7" s="151" t="s">
        <v>149</v>
      </c>
      <c r="EH7" t="s">
        <v>217</v>
      </c>
      <c r="EI7" t="s">
        <v>218</v>
      </c>
      <c r="EJ7" t="s">
        <v>215</v>
      </c>
      <c r="EK7">
        <v>1292</v>
      </c>
      <c r="EL7" t="s">
        <v>153</v>
      </c>
      <c r="EM7">
        <v>300</v>
      </c>
      <c r="EN7">
        <v>300</v>
      </c>
      <c r="EO7" s="151" t="s">
        <v>149</v>
      </c>
      <c r="EP7" s="151" t="s">
        <v>149</v>
      </c>
      <c r="EQ7" s="151" t="s">
        <v>149</v>
      </c>
      <c r="ER7" s="151" t="s">
        <v>149</v>
      </c>
      <c r="ES7" s="151" t="s">
        <v>149</v>
      </c>
      <c r="ET7" s="151" t="s">
        <v>149</v>
      </c>
      <c r="EU7" s="151" t="s">
        <v>149</v>
      </c>
      <c r="EV7" s="151" t="s">
        <v>149</v>
      </c>
      <c r="EW7" s="154">
        <f t="shared" si="8"/>
        <v>329.84206661166087</v>
      </c>
      <c r="EX7" s="151">
        <v>25</v>
      </c>
      <c r="EY7" s="151" t="s">
        <v>236</v>
      </c>
      <c r="EZ7" s="142">
        <v>329.84206661166087</v>
      </c>
      <c r="FA7" s="142">
        <v>122.80013655105614</v>
      </c>
      <c r="FB7" s="142">
        <v>100.65583479906641</v>
      </c>
      <c r="FC7" s="151" t="s">
        <v>237</v>
      </c>
      <c r="FD7" t="s">
        <v>219</v>
      </c>
      <c r="FE7" s="151" t="s">
        <v>149</v>
      </c>
      <c r="FF7" s="151" t="s">
        <v>149</v>
      </c>
      <c r="FG7" s="151" t="s">
        <v>149</v>
      </c>
      <c r="FH7" s="151" t="s">
        <v>149</v>
      </c>
      <c r="FI7" s="151" t="s">
        <v>149</v>
      </c>
      <c r="FJ7" s="151" t="s">
        <v>149</v>
      </c>
      <c r="FK7" s="151" t="s">
        <v>149</v>
      </c>
      <c r="FL7" s="151" t="s">
        <v>149</v>
      </c>
      <c r="FM7" s="151" t="s">
        <v>149</v>
      </c>
      <c r="FN7" s="151" t="s">
        <v>149</v>
      </c>
      <c r="FO7" s="151" t="s">
        <v>149</v>
      </c>
      <c r="FP7" s="151" t="s">
        <v>149</v>
      </c>
      <c r="FQ7" s="151" t="s">
        <v>242</v>
      </c>
    </row>
    <row r="8" spans="1:191" ht="19">
      <c r="A8" s="123" t="s">
        <v>148</v>
      </c>
      <c r="B8" t="s">
        <v>163</v>
      </c>
      <c r="C8">
        <v>2014</v>
      </c>
      <c r="D8" t="s">
        <v>165</v>
      </c>
      <c r="E8" s="141">
        <f t="shared" si="9"/>
        <v>15652.422949721995</v>
      </c>
      <c r="F8" s="141" t="str">
        <f t="shared" si="11"/>
        <v>NA</v>
      </c>
      <c r="G8" s="141" t="str">
        <f t="shared" si="12"/>
        <v>NA</v>
      </c>
      <c r="H8" s="128">
        <f t="shared" si="10"/>
        <v>293.96406512551602</v>
      </c>
      <c r="I8" s="128">
        <f t="shared" si="13"/>
        <v>112.02059487924828</v>
      </c>
      <c r="J8" s="128">
        <f t="shared" si="14"/>
        <v>91.678107353231724</v>
      </c>
      <c r="K8" t="s">
        <v>220</v>
      </c>
      <c r="L8" s="153" t="s">
        <v>241</v>
      </c>
      <c r="M8" s="1" t="s">
        <v>164</v>
      </c>
      <c r="N8" t="s">
        <v>165</v>
      </c>
      <c r="O8" s="131">
        <v>761</v>
      </c>
      <c r="P8" t="s">
        <v>166</v>
      </c>
      <c r="Q8" s="132">
        <v>6</v>
      </c>
      <c r="R8" s="132">
        <v>3</v>
      </c>
      <c r="S8" s="142">
        <v>138</v>
      </c>
      <c r="T8">
        <v>140</v>
      </c>
      <c r="U8" s="151" t="s">
        <v>149</v>
      </c>
      <c r="V8" s="134">
        <v>47.48</v>
      </c>
      <c r="W8" s="136" t="s">
        <v>167</v>
      </c>
      <c r="X8" t="s">
        <v>168</v>
      </c>
      <c r="Y8" s="136">
        <v>-16.739722220000001</v>
      </c>
      <c r="Z8" s="127">
        <v>115.53611110999999</v>
      </c>
      <c r="AA8" s="151" t="s">
        <v>149</v>
      </c>
      <c r="AB8" s="151" t="s">
        <v>149</v>
      </c>
      <c r="AC8">
        <v>-2179</v>
      </c>
      <c r="AD8" s="151" t="s">
        <v>149</v>
      </c>
      <c r="AE8" s="151" t="s">
        <v>149</v>
      </c>
      <c r="AF8" s="151" t="s">
        <v>149</v>
      </c>
      <c r="AG8" s="137">
        <v>15652.422949721995</v>
      </c>
      <c r="AH8" s="152" t="s">
        <v>149</v>
      </c>
      <c r="AI8" s="151" t="s">
        <v>149</v>
      </c>
      <c r="AJ8" s="151" t="s">
        <v>149</v>
      </c>
      <c r="AK8" s="138" t="s">
        <v>169</v>
      </c>
      <c r="AL8" s="138" t="s">
        <v>170</v>
      </c>
      <c r="AM8" s="138" t="s">
        <v>171</v>
      </c>
      <c r="AN8" t="s">
        <v>149</v>
      </c>
      <c r="AO8" t="s">
        <v>149</v>
      </c>
      <c r="AP8" t="s">
        <v>149</v>
      </c>
      <c r="AQ8" t="s">
        <v>149</v>
      </c>
      <c r="AR8" t="s">
        <v>149</v>
      </c>
      <c r="AS8" t="s">
        <v>149</v>
      </c>
      <c r="AT8" t="s">
        <v>149</v>
      </c>
      <c r="AU8" t="s">
        <v>172</v>
      </c>
      <c r="AV8" t="s">
        <v>150</v>
      </c>
      <c r="AW8" t="s">
        <v>239</v>
      </c>
      <c r="AX8" t="s">
        <v>240</v>
      </c>
      <c r="AY8" t="s">
        <v>173</v>
      </c>
      <c r="AZ8" t="s">
        <v>174</v>
      </c>
      <c r="BA8" t="s">
        <v>175</v>
      </c>
      <c r="BB8" s="140" t="s">
        <v>179</v>
      </c>
      <c r="BC8">
        <v>2</v>
      </c>
      <c r="BD8" s="141">
        <v>9.6382456699499727E-2</v>
      </c>
      <c r="BE8" s="133">
        <v>16.02787274795255</v>
      </c>
      <c r="BF8" t="s">
        <v>208</v>
      </c>
      <c r="BG8" s="134">
        <v>0.39857160020941729</v>
      </c>
      <c r="BH8">
        <v>0.83299999999999996</v>
      </c>
      <c r="BI8" t="s">
        <v>210</v>
      </c>
      <c r="BJ8" s="152" t="s">
        <v>149</v>
      </c>
      <c r="BK8">
        <v>2.67</v>
      </c>
      <c r="BL8" t="s">
        <v>210</v>
      </c>
      <c r="BM8" s="152" t="s">
        <v>149</v>
      </c>
      <c r="BN8" s="151" t="s">
        <v>238</v>
      </c>
      <c r="BO8" t="s">
        <v>209</v>
      </c>
      <c r="BP8" s="151" t="s">
        <v>149</v>
      </c>
      <c r="BQ8" s="151" t="s">
        <v>149</v>
      </c>
      <c r="BR8" s="151" t="s">
        <v>149</v>
      </c>
      <c r="BS8" s="151" t="s">
        <v>149</v>
      </c>
      <c r="BT8" s="151" t="s">
        <v>149</v>
      </c>
      <c r="BU8">
        <v>0</v>
      </c>
      <c r="BV8" s="151" t="s">
        <v>149</v>
      </c>
      <c r="BW8" s="151" t="s">
        <v>149</v>
      </c>
      <c r="BX8" s="133">
        <v>32.253203379715679</v>
      </c>
      <c r="BY8" t="s">
        <v>210</v>
      </c>
      <c r="BZ8">
        <v>3</v>
      </c>
      <c r="CA8">
        <v>3</v>
      </c>
      <c r="CB8" s="151" t="s">
        <v>149</v>
      </c>
      <c r="CC8" s="133">
        <v>4.6541271697018782</v>
      </c>
      <c r="CD8" t="s">
        <v>210</v>
      </c>
      <c r="CE8" s="141">
        <f t="shared" si="6"/>
        <v>6.9811907545528171E-2</v>
      </c>
      <c r="CF8" s="141">
        <f t="shared" si="7"/>
        <v>6.9811907545528171E-2</v>
      </c>
      <c r="CG8" s="151" t="s">
        <v>149</v>
      </c>
      <c r="CH8" t="s">
        <v>211</v>
      </c>
      <c r="CI8" s="151">
        <v>3.43</v>
      </c>
      <c r="CJ8" t="s">
        <v>214</v>
      </c>
      <c r="CK8" s="151" t="s">
        <v>149</v>
      </c>
      <c r="CL8" s="151" t="s">
        <v>149</v>
      </c>
      <c r="CM8" s="151" t="s">
        <v>149</v>
      </c>
      <c r="CN8" t="s">
        <v>149</v>
      </c>
      <c r="CO8" t="s">
        <v>149</v>
      </c>
      <c r="CP8" t="s">
        <v>149</v>
      </c>
      <c r="CQ8" t="s">
        <v>149</v>
      </c>
      <c r="CR8" t="s">
        <v>149</v>
      </c>
      <c r="CS8" t="s">
        <v>149</v>
      </c>
      <c r="CT8" t="s">
        <v>149</v>
      </c>
      <c r="CU8">
        <v>35</v>
      </c>
      <c r="CV8" t="s">
        <v>212</v>
      </c>
      <c r="CW8">
        <v>3</v>
      </c>
      <c r="CX8" t="s">
        <v>213</v>
      </c>
      <c r="CY8">
        <v>14</v>
      </c>
      <c r="CZ8" s="151" t="s">
        <v>149</v>
      </c>
      <c r="DA8" s="151" t="s">
        <v>149</v>
      </c>
      <c r="DB8" s="144" t="s">
        <v>214</v>
      </c>
      <c r="DC8" s="144">
        <v>45</v>
      </c>
      <c r="DD8" s="151" t="s">
        <v>149</v>
      </c>
      <c r="DE8" s="151" t="s">
        <v>149</v>
      </c>
      <c r="DF8" t="s">
        <v>214</v>
      </c>
      <c r="DG8" s="151" t="s">
        <v>149</v>
      </c>
      <c r="DH8" s="151" t="s">
        <v>149</v>
      </c>
      <c r="DI8" s="151" t="s">
        <v>149</v>
      </c>
      <c r="DJ8" s="151" t="s">
        <v>149</v>
      </c>
      <c r="DK8">
        <v>432.6</v>
      </c>
      <c r="DL8" s="151" t="s">
        <v>149</v>
      </c>
      <c r="DM8" s="151" t="s">
        <v>149</v>
      </c>
      <c r="DN8" s="151" t="s">
        <v>235</v>
      </c>
      <c r="DO8" s="145">
        <v>37.82</v>
      </c>
      <c r="DP8" s="127" t="s">
        <v>210</v>
      </c>
      <c r="DQ8" s="127">
        <v>0.7</v>
      </c>
      <c r="DR8" t="s">
        <v>215</v>
      </c>
      <c r="DS8" t="s">
        <v>151</v>
      </c>
      <c r="DT8" s="151" t="s">
        <v>149</v>
      </c>
      <c r="DU8">
        <v>1.0271999999999999</v>
      </c>
      <c r="DV8" t="s">
        <v>152</v>
      </c>
      <c r="DW8" t="s">
        <v>152</v>
      </c>
      <c r="DX8" t="s">
        <v>155</v>
      </c>
      <c r="DY8" t="s">
        <v>152</v>
      </c>
      <c r="DZ8" t="s">
        <v>152</v>
      </c>
      <c r="EA8" s="151" t="s">
        <v>149</v>
      </c>
      <c r="EB8" s="151" t="s">
        <v>149</v>
      </c>
      <c r="EC8" s="127" t="s">
        <v>216</v>
      </c>
      <c r="ED8" s="127" t="s">
        <v>216</v>
      </c>
      <c r="EE8" s="151" t="s">
        <v>149</v>
      </c>
      <c r="EF8" s="151" t="s">
        <v>149</v>
      </c>
      <c r="EG8" s="151" t="s">
        <v>149</v>
      </c>
      <c r="EH8" t="s">
        <v>217</v>
      </c>
      <c r="EI8" t="s">
        <v>218</v>
      </c>
      <c r="EJ8" t="s">
        <v>215</v>
      </c>
      <c r="EK8" s="145">
        <v>1292</v>
      </c>
      <c r="EL8" t="s">
        <v>153</v>
      </c>
      <c r="EM8">
        <v>300</v>
      </c>
      <c r="EN8">
        <v>300</v>
      </c>
      <c r="EO8" s="151" t="s">
        <v>149</v>
      </c>
      <c r="EP8" s="151" t="s">
        <v>149</v>
      </c>
      <c r="EQ8" s="151" t="s">
        <v>149</v>
      </c>
      <c r="ER8" s="151" t="s">
        <v>149</v>
      </c>
      <c r="ES8" s="151" t="s">
        <v>149</v>
      </c>
      <c r="ET8" s="151" t="s">
        <v>149</v>
      </c>
      <c r="EU8" s="151" t="s">
        <v>149</v>
      </c>
      <c r="EV8" s="151" t="s">
        <v>149</v>
      </c>
      <c r="EW8" s="154">
        <f t="shared" si="8"/>
        <v>293.96406512551602</v>
      </c>
      <c r="EX8" s="151">
        <v>25</v>
      </c>
      <c r="EY8" s="151" t="s">
        <v>236</v>
      </c>
      <c r="EZ8" s="142">
        <v>293.96406512551602</v>
      </c>
      <c r="FA8" s="142">
        <v>112.02059487924828</v>
      </c>
      <c r="FB8" s="142">
        <v>91.678107353231724</v>
      </c>
      <c r="FC8" s="151" t="s">
        <v>237</v>
      </c>
      <c r="FD8" t="s">
        <v>219</v>
      </c>
      <c r="FE8" s="151" t="s">
        <v>149</v>
      </c>
      <c r="FF8" s="151" t="s">
        <v>149</v>
      </c>
      <c r="FG8" s="151" t="s">
        <v>149</v>
      </c>
      <c r="FH8" s="151" t="s">
        <v>149</v>
      </c>
      <c r="FI8" s="151" t="s">
        <v>149</v>
      </c>
      <c r="FJ8" s="151" t="s">
        <v>149</v>
      </c>
      <c r="FK8" s="151" t="s">
        <v>149</v>
      </c>
      <c r="FL8" s="151" t="s">
        <v>149</v>
      </c>
      <c r="FM8" s="151" t="s">
        <v>149</v>
      </c>
      <c r="FN8" s="151" t="s">
        <v>149</v>
      </c>
      <c r="FO8" s="151" t="s">
        <v>149</v>
      </c>
      <c r="FP8" s="151" t="s">
        <v>149</v>
      </c>
      <c r="FQ8" s="151" t="s">
        <v>242</v>
      </c>
    </row>
    <row r="9" spans="1:191" ht="19">
      <c r="A9" s="123" t="s">
        <v>148</v>
      </c>
      <c r="B9" t="s">
        <v>163</v>
      </c>
      <c r="C9">
        <v>2014</v>
      </c>
      <c r="D9" t="s">
        <v>165</v>
      </c>
      <c r="E9" s="141">
        <f t="shared" si="9"/>
        <v>15692.119086532784</v>
      </c>
      <c r="F9" s="141" t="str">
        <f t="shared" si="11"/>
        <v>NA</v>
      </c>
      <c r="G9" s="141" t="str">
        <f t="shared" si="12"/>
        <v>NA</v>
      </c>
      <c r="H9" s="128">
        <f t="shared" si="10"/>
        <v>287.23563424038844</v>
      </c>
      <c r="I9" s="128">
        <f t="shared" si="13"/>
        <v>129.83280284264356</v>
      </c>
      <c r="J9" s="128">
        <f t="shared" si="14"/>
        <v>97.901939013117783</v>
      </c>
      <c r="K9" t="s">
        <v>220</v>
      </c>
      <c r="L9" s="153" t="s">
        <v>241</v>
      </c>
      <c r="M9" s="1" t="s">
        <v>164</v>
      </c>
      <c r="N9" t="s">
        <v>165</v>
      </c>
      <c r="O9" s="131">
        <v>761</v>
      </c>
      <c r="P9" t="s">
        <v>166</v>
      </c>
      <c r="Q9" s="132">
        <v>6</v>
      </c>
      <c r="R9" s="132">
        <v>4</v>
      </c>
      <c r="S9" s="142">
        <v>3</v>
      </c>
      <c r="T9">
        <v>5</v>
      </c>
      <c r="U9" s="151" t="s">
        <v>149</v>
      </c>
      <c r="V9" s="134">
        <v>47.63</v>
      </c>
      <c r="W9" s="136" t="s">
        <v>167</v>
      </c>
      <c r="X9" t="s">
        <v>168</v>
      </c>
      <c r="Y9" s="136">
        <v>-16.739722220000001</v>
      </c>
      <c r="Z9" s="127">
        <v>115.53611110999999</v>
      </c>
      <c r="AA9" s="151" t="s">
        <v>149</v>
      </c>
      <c r="AB9" s="151" t="s">
        <v>149</v>
      </c>
      <c r="AC9">
        <v>-2179</v>
      </c>
      <c r="AD9" s="151" t="s">
        <v>149</v>
      </c>
      <c r="AE9" s="151" t="s">
        <v>149</v>
      </c>
      <c r="AF9" s="151" t="s">
        <v>149</v>
      </c>
      <c r="AG9" s="137">
        <v>15692.119086532784</v>
      </c>
      <c r="AH9" s="152" t="s">
        <v>149</v>
      </c>
      <c r="AI9" s="151" t="s">
        <v>149</v>
      </c>
      <c r="AJ9" s="151" t="s">
        <v>149</v>
      </c>
      <c r="AK9" s="138" t="s">
        <v>169</v>
      </c>
      <c r="AL9" s="138" t="s">
        <v>170</v>
      </c>
      <c r="AM9" s="138" t="s">
        <v>171</v>
      </c>
      <c r="AN9" t="s">
        <v>149</v>
      </c>
      <c r="AO9" t="s">
        <v>149</v>
      </c>
      <c r="AP9" t="s">
        <v>149</v>
      </c>
      <c r="AQ9" t="s">
        <v>149</v>
      </c>
      <c r="AR9" t="s">
        <v>149</v>
      </c>
      <c r="AS9" t="s">
        <v>149</v>
      </c>
      <c r="AT9" t="s">
        <v>149</v>
      </c>
      <c r="AU9" t="s">
        <v>172</v>
      </c>
      <c r="AV9" t="s">
        <v>150</v>
      </c>
      <c r="AW9" t="s">
        <v>239</v>
      </c>
      <c r="AX9" t="s">
        <v>240</v>
      </c>
      <c r="AY9" t="s">
        <v>173</v>
      </c>
      <c r="AZ9" t="s">
        <v>174</v>
      </c>
      <c r="BA9" t="s">
        <v>175</v>
      </c>
      <c r="BB9" s="140" t="s">
        <v>180</v>
      </c>
      <c r="BC9">
        <v>2</v>
      </c>
      <c r="BD9" s="141">
        <v>0.5357067976865223</v>
      </c>
      <c r="BE9" s="133">
        <v>16.114926246633416</v>
      </c>
      <c r="BF9" t="s">
        <v>208</v>
      </c>
      <c r="BG9" s="134">
        <v>0.70055159305713233</v>
      </c>
      <c r="BH9">
        <v>0.83299999999999996</v>
      </c>
      <c r="BI9" t="s">
        <v>210</v>
      </c>
      <c r="BJ9" s="152" t="s">
        <v>149</v>
      </c>
      <c r="BK9">
        <v>2.67</v>
      </c>
      <c r="BL9" t="s">
        <v>210</v>
      </c>
      <c r="BM9" s="152" t="s">
        <v>149</v>
      </c>
      <c r="BN9" s="151" t="s">
        <v>238</v>
      </c>
      <c r="BO9" t="s">
        <v>209</v>
      </c>
      <c r="BP9" s="151" t="s">
        <v>149</v>
      </c>
      <c r="BQ9" s="151" t="s">
        <v>149</v>
      </c>
      <c r="BR9" s="151" t="s">
        <v>149</v>
      </c>
      <c r="BS9" s="151" t="s">
        <v>149</v>
      </c>
      <c r="BT9" s="151" t="s">
        <v>149</v>
      </c>
      <c r="BU9">
        <v>0</v>
      </c>
      <c r="BV9" s="151" t="s">
        <v>149</v>
      </c>
      <c r="BW9" s="151" t="s">
        <v>149</v>
      </c>
      <c r="BX9" s="133">
        <v>32.366394190311624</v>
      </c>
      <c r="BY9" t="s">
        <v>210</v>
      </c>
      <c r="BZ9">
        <v>3</v>
      </c>
      <c r="CA9">
        <v>3</v>
      </c>
      <c r="CB9" s="151" t="s">
        <v>149</v>
      </c>
      <c r="CC9" s="133">
        <v>4.73510645138205</v>
      </c>
      <c r="CD9" t="s">
        <v>210</v>
      </c>
      <c r="CE9" s="141">
        <f t="shared" si="6"/>
        <v>7.1026596770730741E-2</v>
      </c>
      <c r="CF9" s="141">
        <f t="shared" si="7"/>
        <v>7.1026596770730741E-2</v>
      </c>
      <c r="CG9" s="151" t="s">
        <v>149</v>
      </c>
      <c r="CH9" t="s">
        <v>211</v>
      </c>
      <c r="CI9" s="151">
        <v>3.43</v>
      </c>
      <c r="CJ9" t="s">
        <v>214</v>
      </c>
      <c r="CK9" s="151" t="s">
        <v>149</v>
      </c>
      <c r="CL9" s="151" t="s">
        <v>149</v>
      </c>
      <c r="CM9" s="151" t="s">
        <v>149</v>
      </c>
      <c r="CN9" t="s">
        <v>149</v>
      </c>
      <c r="CO9" t="s">
        <v>149</v>
      </c>
      <c r="CP9" t="s">
        <v>149</v>
      </c>
      <c r="CQ9" t="s">
        <v>149</v>
      </c>
      <c r="CR9" t="s">
        <v>149</v>
      </c>
      <c r="CS9" t="s">
        <v>149</v>
      </c>
      <c r="CT9" t="s">
        <v>149</v>
      </c>
      <c r="CU9">
        <v>35</v>
      </c>
      <c r="CV9" t="s">
        <v>212</v>
      </c>
      <c r="CW9">
        <v>3</v>
      </c>
      <c r="CX9" t="s">
        <v>213</v>
      </c>
      <c r="CY9">
        <v>14</v>
      </c>
      <c r="CZ9" s="151" t="s">
        <v>149</v>
      </c>
      <c r="DA9" s="151" t="s">
        <v>149</v>
      </c>
      <c r="DB9" s="144" t="s">
        <v>214</v>
      </c>
      <c r="DC9" s="144">
        <v>45</v>
      </c>
      <c r="DD9" s="151" t="s">
        <v>149</v>
      </c>
      <c r="DE9" s="151" t="s">
        <v>149</v>
      </c>
      <c r="DF9" t="s">
        <v>214</v>
      </c>
      <c r="DG9" s="151" t="s">
        <v>149</v>
      </c>
      <c r="DH9" s="151" t="s">
        <v>149</v>
      </c>
      <c r="DI9" s="151" t="s">
        <v>149</v>
      </c>
      <c r="DJ9" s="151" t="s">
        <v>149</v>
      </c>
      <c r="DK9">
        <v>432.6</v>
      </c>
      <c r="DL9" s="151" t="s">
        <v>149</v>
      </c>
      <c r="DM9" s="151" t="s">
        <v>149</v>
      </c>
      <c r="DN9" s="151" t="s">
        <v>235</v>
      </c>
      <c r="DO9" s="145">
        <v>37.82</v>
      </c>
      <c r="DP9" s="127" t="s">
        <v>210</v>
      </c>
      <c r="DQ9" s="127">
        <v>0.7</v>
      </c>
      <c r="DR9" t="s">
        <v>215</v>
      </c>
      <c r="DS9" t="s">
        <v>151</v>
      </c>
      <c r="DT9" s="151" t="s">
        <v>149</v>
      </c>
      <c r="DU9">
        <v>1.0271999999999999</v>
      </c>
      <c r="DV9" t="s">
        <v>152</v>
      </c>
      <c r="DW9" t="s">
        <v>152</v>
      </c>
      <c r="DX9" t="s">
        <v>155</v>
      </c>
      <c r="DY9" t="s">
        <v>152</v>
      </c>
      <c r="DZ9" t="s">
        <v>152</v>
      </c>
      <c r="EA9" s="151" t="s">
        <v>149</v>
      </c>
      <c r="EB9" s="151" t="s">
        <v>149</v>
      </c>
      <c r="EC9" s="127" t="s">
        <v>216</v>
      </c>
      <c r="ED9" s="127" t="s">
        <v>216</v>
      </c>
      <c r="EE9" s="151" t="s">
        <v>149</v>
      </c>
      <c r="EF9" s="151" t="s">
        <v>149</v>
      </c>
      <c r="EG9" s="151" t="s">
        <v>149</v>
      </c>
      <c r="EH9" t="s">
        <v>217</v>
      </c>
      <c r="EI9" t="s">
        <v>218</v>
      </c>
      <c r="EJ9" t="s">
        <v>215</v>
      </c>
      <c r="EK9">
        <v>1292</v>
      </c>
      <c r="EL9" t="s">
        <v>153</v>
      </c>
      <c r="EM9">
        <v>300</v>
      </c>
      <c r="EN9">
        <v>300</v>
      </c>
      <c r="EO9" s="151" t="s">
        <v>149</v>
      </c>
      <c r="EP9" s="151" t="s">
        <v>149</v>
      </c>
      <c r="EQ9" s="151" t="s">
        <v>149</v>
      </c>
      <c r="ER9" s="151" t="s">
        <v>149</v>
      </c>
      <c r="ES9" s="151" t="s">
        <v>149</v>
      </c>
      <c r="ET9" s="151" t="s">
        <v>149</v>
      </c>
      <c r="EU9" s="151" t="s">
        <v>149</v>
      </c>
      <c r="EV9" s="151" t="s">
        <v>149</v>
      </c>
      <c r="EW9" s="154">
        <f t="shared" si="8"/>
        <v>287.23563424038844</v>
      </c>
      <c r="EX9" s="151">
        <v>25</v>
      </c>
      <c r="EY9" s="151" t="s">
        <v>236</v>
      </c>
      <c r="EZ9" s="142">
        <v>287.23563424038844</v>
      </c>
      <c r="FA9" s="142">
        <v>129.83280284264356</v>
      </c>
      <c r="FB9" s="142">
        <v>97.901939013117783</v>
      </c>
      <c r="FC9" s="151" t="s">
        <v>237</v>
      </c>
      <c r="FD9" t="s">
        <v>219</v>
      </c>
      <c r="FE9" s="151" t="s">
        <v>149</v>
      </c>
      <c r="FF9" s="151" t="s">
        <v>149</v>
      </c>
      <c r="FG9" s="151" t="s">
        <v>149</v>
      </c>
      <c r="FH9" s="151" t="s">
        <v>149</v>
      </c>
      <c r="FI9" s="151" t="s">
        <v>149</v>
      </c>
      <c r="FJ9" s="151" t="s">
        <v>149</v>
      </c>
      <c r="FK9" s="151" t="s">
        <v>149</v>
      </c>
      <c r="FL9" s="151" t="s">
        <v>149</v>
      </c>
      <c r="FM9" s="151" t="s">
        <v>149</v>
      </c>
      <c r="FN9" s="151" t="s">
        <v>149</v>
      </c>
      <c r="FO9" s="151" t="s">
        <v>149</v>
      </c>
      <c r="FP9" s="151" t="s">
        <v>149</v>
      </c>
      <c r="FQ9" s="151" t="s">
        <v>242</v>
      </c>
    </row>
    <row r="10" spans="1:191" ht="19">
      <c r="A10" s="123" t="s">
        <v>148</v>
      </c>
      <c r="B10" t="s">
        <v>163</v>
      </c>
      <c r="C10">
        <v>2014</v>
      </c>
      <c r="D10" t="s">
        <v>165</v>
      </c>
      <c r="E10" s="141">
        <f t="shared" si="9"/>
        <v>15718.633498808798</v>
      </c>
      <c r="F10" s="141" t="str">
        <f t="shared" si="11"/>
        <v>NA</v>
      </c>
      <c r="G10" s="141" t="str">
        <f t="shared" si="12"/>
        <v>NA</v>
      </c>
      <c r="H10" s="128">
        <f t="shared" si="10"/>
        <v>505.28438166066894</v>
      </c>
      <c r="I10" s="128">
        <f t="shared" si="13"/>
        <v>353.16099273049088</v>
      </c>
      <c r="J10" s="128">
        <f t="shared" si="14"/>
        <v>209.05827183934326</v>
      </c>
      <c r="K10" t="s">
        <v>220</v>
      </c>
      <c r="L10" s="153" t="s">
        <v>241</v>
      </c>
      <c r="M10" s="1" t="s">
        <v>164</v>
      </c>
      <c r="N10" t="s">
        <v>165</v>
      </c>
      <c r="O10" s="131">
        <v>761</v>
      </c>
      <c r="P10" t="s">
        <v>166</v>
      </c>
      <c r="Q10" s="132">
        <v>6</v>
      </c>
      <c r="R10" s="132">
        <v>4</v>
      </c>
      <c r="S10" s="142">
        <v>13</v>
      </c>
      <c r="T10">
        <v>15</v>
      </c>
      <c r="U10" s="151" t="s">
        <v>149</v>
      </c>
      <c r="V10" s="134">
        <v>47.73</v>
      </c>
      <c r="W10" s="136" t="s">
        <v>167</v>
      </c>
      <c r="X10" t="s">
        <v>168</v>
      </c>
      <c r="Y10" s="136">
        <v>-16.739722220000001</v>
      </c>
      <c r="Z10" s="127">
        <v>115.53611110999999</v>
      </c>
      <c r="AA10" s="151" t="s">
        <v>149</v>
      </c>
      <c r="AB10" s="151" t="s">
        <v>149</v>
      </c>
      <c r="AC10">
        <v>-2179</v>
      </c>
      <c r="AD10" s="151" t="s">
        <v>149</v>
      </c>
      <c r="AE10" s="151" t="s">
        <v>149</v>
      </c>
      <c r="AF10" s="151" t="s">
        <v>149</v>
      </c>
      <c r="AG10" s="137">
        <v>15718.633498808798</v>
      </c>
      <c r="AH10" s="152" t="s">
        <v>149</v>
      </c>
      <c r="AI10" s="151" t="s">
        <v>149</v>
      </c>
      <c r="AJ10" s="151" t="s">
        <v>149</v>
      </c>
      <c r="AK10" s="138" t="s">
        <v>169</v>
      </c>
      <c r="AL10" s="138" t="s">
        <v>170</v>
      </c>
      <c r="AM10" s="138" t="s">
        <v>171</v>
      </c>
      <c r="AN10" t="s">
        <v>149</v>
      </c>
      <c r="AO10" t="s">
        <v>149</v>
      </c>
      <c r="AP10" t="s">
        <v>149</v>
      </c>
      <c r="AQ10" t="s">
        <v>149</v>
      </c>
      <c r="AR10" t="s">
        <v>149</v>
      </c>
      <c r="AS10" t="s">
        <v>149</v>
      </c>
      <c r="AT10" t="s">
        <v>149</v>
      </c>
      <c r="AU10" t="s">
        <v>172</v>
      </c>
      <c r="AV10" t="s">
        <v>150</v>
      </c>
      <c r="AW10" t="s">
        <v>239</v>
      </c>
      <c r="AX10" t="s">
        <v>240</v>
      </c>
      <c r="AY10" t="s">
        <v>173</v>
      </c>
      <c r="AZ10" t="s">
        <v>174</v>
      </c>
      <c r="BA10" t="s">
        <v>175</v>
      </c>
      <c r="BB10" s="140" t="s">
        <v>181</v>
      </c>
      <c r="BC10">
        <v>2</v>
      </c>
      <c r="BD10" s="141">
        <v>0.91186144769997479</v>
      </c>
      <c r="BE10" s="133">
        <v>14.57539391425216</v>
      </c>
      <c r="BF10" t="s">
        <v>208</v>
      </c>
      <c r="BG10" s="134">
        <v>0.94046789438607825</v>
      </c>
      <c r="BH10">
        <v>0.83299999999999996</v>
      </c>
      <c r="BI10" t="s">
        <v>210</v>
      </c>
      <c r="BJ10" s="152" t="s">
        <v>149</v>
      </c>
      <c r="BK10">
        <v>2.67</v>
      </c>
      <c r="BL10" t="s">
        <v>210</v>
      </c>
      <c r="BM10" s="152" t="s">
        <v>149</v>
      </c>
      <c r="BN10" s="151" t="s">
        <v>238</v>
      </c>
      <c r="BO10" t="s">
        <v>209</v>
      </c>
      <c r="BP10" s="151" t="s">
        <v>149</v>
      </c>
      <c r="BQ10" s="151" t="s">
        <v>149</v>
      </c>
      <c r="BR10" s="151" t="s">
        <v>149</v>
      </c>
      <c r="BS10" s="151" t="s">
        <v>149</v>
      </c>
      <c r="BT10" s="151" t="s">
        <v>149</v>
      </c>
      <c r="BU10">
        <v>0</v>
      </c>
      <c r="BV10" s="151" t="s">
        <v>149</v>
      </c>
      <c r="BW10" s="151" t="s">
        <v>149</v>
      </c>
      <c r="BX10" s="133">
        <v>31.443688096996375</v>
      </c>
      <c r="BY10" t="s">
        <v>210</v>
      </c>
      <c r="BZ10">
        <v>3</v>
      </c>
      <c r="CA10">
        <v>3</v>
      </c>
      <c r="CB10" s="151" t="s">
        <v>149</v>
      </c>
      <c r="CC10" s="133">
        <v>4.3572699176707106</v>
      </c>
      <c r="CD10" t="s">
        <v>210</v>
      </c>
      <c r="CE10" s="141">
        <f t="shared" si="6"/>
        <v>6.5359048765060657E-2</v>
      </c>
      <c r="CF10" s="141">
        <f t="shared" si="7"/>
        <v>6.5359048765060657E-2</v>
      </c>
      <c r="CG10" s="151" t="s">
        <v>149</v>
      </c>
      <c r="CH10" t="s">
        <v>211</v>
      </c>
      <c r="CI10" s="151">
        <v>3.43</v>
      </c>
      <c r="CJ10" t="s">
        <v>214</v>
      </c>
      <c r="CK10" s="151" t="s">
        <v>149</v>
      </c>
      <c r="CL10" s="151" t="s">
        <v>149</v>
      </c>
      <c r="CM10" s="151" t="s">
        <v>149</v>
      </c>
      <c r="CN10" t="s">
        <v>149</v>
      </c>
      <c r="CO10" t="s">
        <v>149</v>
      </c>
      <c r="CP10" t="s">
        <v>149</v>
      </c>
      <c r="CQ10" t="s">
        <v>149</v>
      </c>
      <c r="CR10" t="s">
        <v>149</v>
      </c>
      <c r="CS10" t="s">
        <v>149</v>
      </c>
      <c r="CT10" t="s">
        <v>149</v>
      </c>
      <c r="CU10">
        <v>35</v>
      </c>
      <c r="CV10" t="s">
        <v>212</v>
      </c>
      <c r="CW10">
        <v>3</v>
      </c>
      <c r="CX10" t="s">
        <v>213</v>
      </c>
      <c r="CY10">
        <v>14</v>
      </c>
      <c r="CZ10" s="151" t="s">
        <v>149</v>
      </c>
      <c r="DA10" s="151" t="s">
        <v>149</v>
      </c>
      <c r="DB10" s="144" t="s">
        <v>214</v>
      </c>
      <c r="DC10" s="144">
        <v>45</v>
      </c>
      <c r="DD10" s="151" t="s">
        <v>149</v>
      </c>
      <c r="DE10" s="151" t="s">
        <v>149</v>
      </c>
      <c r="DF10" t="s">
        <v>214</v>
      </c>
      <c r="DG10" s="151" t="s">
        <v>149</v>
      </c>
      <c r="DH10" s="151" t="s">
        <v>149</v>
      </c>
      <c r="DI10" s="151" t="s">
        <v>149</v>
      </c>
      <c r="DJ10" s="151" t="s">
        <v>149</v>
      </c>
      <c r="DK10">
        <v>432.6</v>
      </c>
      <c r="DL10" s="151" t="s">
        <v>149</v>
      </c>
      <c r="DM10" s="151" t="s">
        <v>149</v>
      </c>
      <c r="DN10" s="151" t="s">
        <v>235</v>
      </c>
      <c r="DO10" s="145">
        <v>37.82</v>
      </c>
      <c r="DP10" s="127" t="s">
        <v>210</v>
      </c>
      <c r="DQ10" s="127">
        <v>0.7</v>
      </c>
      <c r="DR10" t="s">
        <v>215</v>
      </c>
      <c r="DS10" t="s">
        <v>151</v>
      </c>
      <c r="DT10" s="151" t="s">
        <v>149</v>
      </c>
      <c r="DU10">
        <v>1.0271999999999999</v>
      </c>
      <c r="DV10" t="s">
        <v>152</v>
      </c>
      <c r="DW10" t="s">
        <v>152</v>
      </c>
      <c r="DX10" t="s">
        <v>155</v>
      </c>
      <c r="DY10" t="s">
        <v>152</v>
      </c>
      <c r="DZ10" t="s">
        <v>152</v>
      </c>
      <c r="EA10" s="151" t="s">
        <v>149</v>
      </c>
      <c r="EB10" s="151" t="s">
        <v>149</v>
      </c>
      <c r="EC10" s="127" t="s">
        <v>216</v>
      </c>
      <c r="ED10" s="127" t="s">
        <v>216</v>
      </c>
      <c r="EE10" s="151" t="s">
        <v>149</v>
      </c>
      <c r="EF10" s="151" t="s">
        <v>149</v>
      </c>
      <c r="EG10" s="151" t="s">
        <v>149</v>
      </c>
      <c r="EH10" t="s">
        <v>217</v>
      </c>
      <c r="EI10" t="s">
        <v>218</v>
      </c>
      <c r="EJ10" t="s">
        <v>215</v>
      </c>
      <c r="EK10" s="145">
        <v>1292</v>
      </c>
      <c r="EL10" t="s">
        <v>153</v>
      </c>
      <c r="EM10">
        <v>300</v>
      </c>
      <c r="EN10">
        <v>300</v>
      </c>
      <c r="EO10" s="151" t="s">
        <v>149</v>
      </c>
      <c r="EP10" s="151" t="s">
        <v>149</v>
      </c>
      <c r="EQ10" s="151" t="s">
        <v>149</v>
      </c>
      <c r="ER10" s="151" t="s">
        <v>149</v>
      </c>
      <c r="ES10" s="151" t="s">
        <v>149</v>
      </c>
      <c r="ET10" s="151" t="s">
        <v>149</v>
      </c>
      <c r="EU10" s="151" t="s">
        <v>149</v>
      </c>
      <c r="EV10" s="151" t="s">
        <v>149</v>
      </c>
      <c r="EW10" s="154">
        <f t="shared" si="8"/>
        <v>505.28438166066894</v>
      </c>
      <c r="EX10" s="151">
        <v>25</v>
      </c>
      <c r="EY10" s="151" t="s">
        <v>236</v>
      </c>
      <c r="EZ10" s="142">
        <v>505.28438166066894</v>
      </c>
      <c r="FA10" s="142">
        <v>353.16099273049088</v>
      </c>
      <c r="FB10" s="142">
        <v>209.05827183934326</v>
      </c>
      <c r="FC10" s="151" t="s">
        <v>237</v>
      </c>
      <c r="FD10" t="s">
        <v>219</v>
      </c>
      <c r="FE10" s="151" t="s">
        <v>149</v>
      </c>
      <c r="FF10" s="151" t="s">
        <v>149</v>
      </c>
      <c r="FG10" s="151" t="s">
        <v>149</v>
      </c>
      <c r="FH10" s="151" t="s">
        <v>149</v>
      </c>
      <c r="FI10" s="151" t="s">
        <v>149</v>
      </c>
      <c r="FJ10" s="151" t="s">
        <v>149</v>
      </c>
      <c r="FK10" s="151" t="s">
        <v>149</v>
      </c>
      <c r="FL10" s="151" t="s">
        <v>149</v>
      </c>
      <c r="FM10" s="151" t="s">
        <v>149</v>
      </c>
      <c r="FN10" s="151" t="s">
        <v>149</v>
      </c>
      <c r="FO10" s="151" t="s">
        <v>149</v>
      </c>
      <c r="FP10" s="151" t="s">
        <v>149</v>
      </c>
      <c r="FQ10" s="151" t="s">
        <v>242</v>
      </c>
    </row>
    <row r="11" spans="1:191" ht="19">
      <c r="A11" s="123" t="s">
        <v>148</v>
      </c>
      <c r="B11" t="s">
        <v>163</v>
      </c>
      <c r="C11">
        <v>2014</v>
      </c>
      <c r="D11" t="s">
        <v>165</v>
      </c>
      <c r="E11" s="141">
        <f t="shared" si="9"/>
        <v>15758.521018446459</v>
      </c>
      <c r="F11" s="141" t="str">
        <f t="shared" si="11"/>
        <v>NA</v>
      </c>
      <c r="G11" s="141" t="str">
        <f t="shared" si="12"/>
        <v>NA</v>
      </c>
      <c r="H11" s="128">
        <f t="shared" si="10"/>
        <v>290.82046185111466</v>
      </c>
      <c r="I11" s="128">
        <f t="shared" si="13"/>
        <v>122.25571225231079</v>
      </c>
      <c r="J11" s="128">
        <f t="shared" si="14"/>
        <v>94.664027863661005</v>
      </c>
      <c r="K11" t="s">
        <v>220</v>
      </c>
      <c r="L11" s="153" t="s">
        <v>241</v>
      </c>
      <c r="M11" s="1" t="s">
        <v>164</v>
      </c>
      <c r="N11" t="s">
        <v>165</v>
      </c>
      <c r="O11" s="131">
        <v>761</v>
      </c>
      <c r="P11" t="s">
        <v>166</v>
      </c>
      <c r="Q11" s="132">
        <v>6</v>
      </c>
      <c r="R11" s="132">
        <v>4</v>
      </c>
      <c r="S11" s="142">
        <v>28</v>
      </c>
      <c r="T11">
        <v>30</v>
      </c>
      <c r="U11" s="151" t="s">
        <v>149</v>
      </c>
      <c r="V11" s="134">
        <v>47.88</v>
      </c>
      <c r="W11" s="136" t="s">
        <v>167</v>
      </c>
      <c r="X11" t="s">
        <v>168</v>
      </c>
      <c r="Y11" s="136">
        <v>-16.739722220000001</v>
      </c>
      <c r="Z11" s="127">
        <v>115.53611110999999</v>
      </c>
      <c r="AA11" s="151" t="s">
        <v>149</v>
      </c>
      <c r="AB11" s="151" t="s">
        <v>149</v>
      </c>
      <c r="AC11">
        <v>-2179</v>
      </c>
      <c r="AD11" s="151" t="s">
        <v>149</v>
      </c>
      <c r="AE11" s="151" t="s">
        <v>149</v>
      </c>
      <c r="AF11" s="151" t="s">
        <v>149</v>
      </c>
      <c r="AG11" s="137">
        <v>15758.521018446459</v>
      </c>
      <c r="AH11" s="152" t="s">
        <v>149</v>
      </c>
      <c r="AI11" s="151" t="s">
        <v>149</v>
      </c>
      <c r="AJ11" s="151" t="s">
        <v>149</v>
      </c>
      <c r="AK11" s="138" t="s">
        <v>169</v>
      </c>
      <c r="AL11" s="138" t="s">
        <v>170</v>
      </c>
      <c r="AM11" s="138" t="s">
        <v>171</v>
      </c>
      <c r="AN11" t="s">
        <v>149</v>
      </c>
      <c r="AO11" t="s">
        <v>149</v>
      </c>
      <c r="AP11" t="s">
        <v>149</v>
      </c>
      <c r="AQ11" t="s">
        <v>149</v>
      </c>
      <c r="AR11" t="s">
        <v>149</v>
      </c>
      <c r="AS11" t="s">
        <v>149</v>
      </c>
      <c r="AT11" t="s">
        <v>149</v>
      </c>
      <c r="AU11" t="s">
        <v>172</v>
      </c>
      <c r="AV11" t="s">
        <v>150</v>
      </c>
      <c r="AW11" t="s">
        <v>239</v>
      </c>
      <c r="AX11" t="s">
        <v>240</v>
      </c>
      <c r="AY11" t="s">
        <v>173</v>
      </c>
      <c r="AZ11" t="s">
        <v>174</v>
      </c>
      <c r="BA11" t="s">
        <v>175</v>
      </c>
      <c r="BB11" s="140" t="s">
        <v>182</v>
      </c>
      <c r="BC11">
        <v>2</v>
      </c>
      <c r="BD11" s="141">
        <v>3.9901744612262036E-2</v>
      </c>
      <c r="BE11" s="133">
        <v>16.029738829489553</v>
      </c>
      <c r="BF11" t="s">
        <v>208</v>
      </c>
      <c r="BG11" s="134">
        <v>0.58317838362660313</v>
      </c>
      <c r="BH11">
        <v>0.83299999999999996</v>
      </c>
      <c r="BI11" t="s">
        <v>210</v>
      </c>
      <c r="BJ11" s="152" t="s">
        <v>149</v>
      </c>
      <c r="BK11">
        <v>2.67</v>
      </c>
      <c r="BL11" t="s">
        <v>210</v>
      </c>
      <c r="BM11" s="152" t="s">
        <v>149</v>
      </c>
      <c r="BN11" s="151" t="s">
        <v>238</v>
      </c>
      <c r="BO11" t="s">
        <v>209</v>
      </c>
      <c r="BP11" s="151" t="s">
        <v>149</v>
      </c>
      <c r="BQ11" s="151" t="s">
        <v>149</v>
      </c>
      <c r="BR11" s="151" t="s">
        <v>149</v>
      </c>
      <c r="BS11" s="151" t="s">
        <v>149</v>
      </c>
      <c r="BT11" s="151" t="s">
        <v>149</v>
      </c>
      <c r="BU11">
        <v>0</v>
      </c>
      <c r="BV11" s="151" t="s">
        <v>149</v>
      </c>
      <c r="BW11" s="151" t="s">
        <v>149</v>
      </c>
      <c r="BX11" s="133">
        <v>31.92358638345118</v>
      </c>
      <c r="BY11" t="s">
        <v>210</v>
      </c>
      <c r="BZ11">
        <v>3</v>
      </c>
      <c r="CA11">
        <v>3</v>
      </c>
      <c r="CB11" s="151" t="s">
        <v>149</v>
      </c>
      <c r="CC11" s="133">
        <v>4.5447044802142118</v>
      </c>
      <c r="CD11" t="s">
        <v>210</v>
      </c>
      <c r="CE11" s="141">
        <f t="shared" si="6"/>
        <v>6.817056720321317E-2</v>
      </c>
      <c r="CF11" s="141">
        <f t="shared" si="7"/>
        <v>6.817056720321317E-2</v>
      </c>
      <c r="CG11" s="151" t="s">
        <v>149</v>
      </c>
      <c r="CH11" t="s">
        <v>211</v>
      </c>
      <c r="CI11" s="151">
        <v>3.43</v>
      </c>
      <c r="CJ11" t="s">
        <v>214</v>
      </c>
      <c r="CK11" s="151" t="s">
        <v>149</v>
      </c>
      <c r="CL11" s="151" t="s">
        <v>149</v>
      </c>
      <c r="CM11" s="151" t="s">
        <v>149</v>
      </c>
      <c r="CN11" t="s">
        <v>149</v>
      </c>
      <c r="CO11" t="s">
        <v>149</v>
      </c>
      <c r="CP11" t="s">
        <v>149</v>
      </c>
      <c r="CQ11" t="s">
        <v>149</v>
      </c>
      <c r="CR11" t="s">
        <v>149</v>
      </c>
      <c r="CS11" t="s">
        <v>149</v>
      </c>
      <c r="CT11" t="s">
        <v>149</v>
      </c>
      <c r="CU11">
        <v>35</v>
      </c>
      <c r="CV11" t="s">
        <v>212</v>
      </c>
      <c r="CW11">
        <v>3</v>
      </c>
      <c r="CX11" t="s">
        <v>213</v>
      </c>
      <c r="CY11">
        <v>14</v>
      </c>
      <c r="CZ11" s="151" t="s">
        <v>149</v>
      </c>
      <c r="DA11" s="151" t="s">
        <v>149</v>
      </c>
      <c r="DB11" s="144" t="s">
        <v>214</v>
      </c>
      <c r="DC11" s="144">
        <v>45</v>
      </c>
      <c r="DD11" s="151" t="s">
        <v>149</v>
      </c>
      <c r="DE11" s="151" t="s">
        <v>149</v>
      </c>
      <c r="DF11" t="s">
        <v>214</v>
      </c>
      <c r="DG11" s="151" t="s">
        <v>149</v>
      </c>
      <c r="DH11" s="151" t="s">
        <v>149</v>
      </c>
      <c r="DI11" s="151" t="s">
        <v>149</v>
      </c>
      <c r="DJ11" s="151" t="s">
        <v>149</v>
      </c>
      <c r="DK11">
        <v>432.6</v>
      </c>
      <c r="DL11" s="151" t="s">
        <v>149</v>
      </c>
      <c r="DM11" s="151" t="s">
        <v>149</v>
      </c>
      <c r="DN11" s="151" t="s">
        <v>235</v>
      </c>
      <c r="DO11" s="145">
        <v>37.82</v>
      </c>
      <c r="DP11" s="127" t="s">
        <v>210</v>
      </c>
      <c r="DQ11" s="127">
        <v>0.7</v>
      </c>
      <c r="DR11" t="s">
        <v>215</v>
      </c>
      <c r="DS11" t="s">
        <v>151</v>
      </c>
      <c r="DT11" s="151" t="s">
        <v>149</v>
      </c>
      <c r="DU11">
        <v>1.0271999999999999</v>
      </c>
      <c r="DV11" t="s">
        <v>152</v>
      </c>
      <c r="DW11" t="s">
        <v>152</v>
      </c>
      <c r="DX11" t="s">
        <v>155</v>
      </c>
      <c r="DY11" t="s">
        <v>152</v>
      </c>
      <c r="DZ11" t="s">
        <v>152</v>
      </c>
      <c r="EA11" s="151" t="s">
        <v>149</v>
      </c>
      <c r="EB11" s="151" t="s">
        <v>149</v>
      </c>
      <c r="EC11" s="127" t="s">
        <v>216</v>
      </c>
      <c r="ED11" s="127" t="s">
        <v>216</v>
      </c>
      <c r="EE11" s="151" t="s">
        <v>149</v>
      </c>
      <c r="EF11" s="151" t="s">
        <v>149</v>
      </c>
      <c r="EG11" s="151" t="s">
        <v>149</v>
      </c>
      <c r="EH11" t="s">
        <v>217</v>
      </c>
      <c r="EI11" t="s">
        <v>218</v>
      </c>
      <c r="EJ11" t="s">
        <v>215</v>
      </c>
      <c r="EK11">
        <v>1292</v>
      </c>
      <c r="EL11" t="s">
        <v>153</v>
      </c>
      <c r="EM11">
        <v>300</v>
      </c>
      <c r="EN11">
        <v>300</v>
      </c>
      <c r="EO11" s="151" t="s">
        <v>149</v>
      </c>
      <c r="EP11" s="151" t="s">
        <v>149</v>
      </c>
      <c r="EQ11" s="151" t="s">
        <v>149</v>
      </c>
      <c r="ER11" s="151" t="s">
        <v>149</v>
      </c>
      <c r="ES11" s="151" t="s">
        <v>149</v>
      </c>
      <c r="ET11" s="151" t="s">
        <v>149</v>
      </c>
      <c r="EU11" s="151" t="s">
        <v>149</v>
      </c>
      <c r="EV11" s="151" t="s">
        <v>149</v>
      </c>
      <c r="EW11" s="154">
        <f t="shared" si="8"/>
        <v>290.82046185111466</v>
      </c>
      <c r="EX11" s="151">
        <v>25</v>
      </c>
      <c r="EY11" s="151" t="s">
        <v>236</v>
      </c>
      <c r="EZ11" s="142">
        <v>290.82046185111466</v>
      </c>
      <c r="FA11" s="142">
        <v>122.25571225231079</v>
      </c>
      <c r="FB11" s="142">
        <v>94.664027863661005</v>
      </c>
      <c r="FC11" s="151" t="s">
        <v>237</v>
      </c>
      <c r="FD11" t="s">
        <v>219</v>
      </c>
      <c r="FE11" s="151" t="s">
        <v>149</v>
      </c>
      <c r="FF11" s="151" t="s">
        <v>149</v>
      </c>
      <c r="FG11" s="151" t="s">
        <v>149</v>
      </c>
      <c r="FH11" s="151" t="s">
        <v>149</v>
      </c>
      <c r="FI11" s="151" t="s">
        <v>149</v>
      </c>
      <c r="FJ11" s="151" t="s">
        <v>149</v>
      </c>
      <c r="FK11" s="151" t="s">
        <v>149</v>
      </c>
      <c r="FL11" s="151" t="s">
        <v>149</v>
      </c>
      <c r="FM11" s="151" t="s">
        <v>149</v>
      </c>
      <c r="FN11" s="151" t="s">
        <v>149</v>
      </c>
      <c r="FO11" s="151" t="s">
        <v>149</v>
      </c>
      <c r="FP11" s="151" t="s">
        <v>149</v>
      </c>
      <c r="FQ11" s="151" t="s">
        <v>242</v>
      </c>
    </row>
    <row r="12" spans="1:191" ht="19">
      <c r="A12" s="123" t="s">
        <v>148</v>
      </c>
      <c r="B12" t="s">
        <v>163</v>
      </c>
      <c r="C12">
        <v>2014</v>
      </c>
      <c r="D12" t="s">
        <v>165</v>
      </c>
      <c r="E12" s="141">
        <f t="shared" si="9"/>
        <v>15771.856066633631</v>
      </c>
      <c r="F12" s="141" t="str">
        <f t="shared" si="11"/>
        <v>NA</v>
      </c>
      <c r="G12" s="141" t="str">
        <f t="shared" si="12"/>
        <v>NA</v>
      </c>
      <c r="H12" s="128">
        <f t="shared" si="10"/>
        <v>315.21669243685056</v>
      </c>
      <c r="I12" s="128">
        <f t="shared" si="13"/>
        <v>137.00754292170933</v>
      </c>
      <c r="J12" s="128">
        <f t="shared" si="14"/>
        <v>107.76242140942523</v>
      </c>
      <c r="K12" t="s">
        <v>220</v>
      </c>
      <c r="L12" s="153" t="s">
        <v>241</v>
      </c>
      <c r="M12" s="1" t="s">
        <v>164</v>
      </c>
      <c r="N12" t="s">
        <v>165</v>
      </c>
      <c r="O12" s="131">
        <v>761</v>
      </c>
      <c r="P12" t="s">
        <v>166</v>
      </c>
      <c r="Q12" s="132">
        <v>6</v>
      </c>
      <c r="R12" s="132">
        <v>4</v>
      </c>
      <c r="S12" s="142">
        <v>33</v>
      </c>
      <c r="T12">
        <v>35</v>
      </c>
      <c r="U12" s="151" t="s">
        <v>149</v>
      </c>
      <c r="V12" s="134">
        <v>47.93</v>
      </c>
      <c r="W12" s="136" t="s">
        <v>167</v>
      </c>
      <c r="X12" t="s">
        <v>168</v>
      </c>
      <c r="Y12" s="136">
        <v>-16.739722220000001</v>
      </c>
      <c r="Z12" s="127">
        <v>115.53611110999999</v>
      </c>
      <c r="AA12" s="151" t="s">
        <v>149</v>
      </c>
      <c r="AB12" s="151" t="s">
        <v>149</v>
      </c>
      <c r="AC12">
        <v>-2179</v>
      </c>
      <c r="AD12" s="151" t="s">
        <v>149</v>
      </c>
      <c r="AE12" s="151" t="s">
        <v>149</v>
      </c>
      <c r="AF12" s="151" t="s">
        <v>149</v>
      </c>
      <c r="AG12" s="137">
        <v>15771.856066633631</v>
      </c>
      <c r="AH12" s="152" t="s">
        <v>149</v>
      </c>
      <c r="AI12" s="151" t="s">
        <v>149</v>
      </c>
      <c r="AJ12" s="151" t="s">
        <v>149</v>
      </c>
      <c r="AK12" s="138" t="s">
        <v>169</v>
      </c>
      <c r="AL12" s="138" t="s">
        <v>170</v>
      </c>
      <c r="AM12" s="138" t="s">
        <v>171</v>
      </c>
      <c r="AN12" t="s">
        <v>149</v>
      </c>
      <c r="AO12" t="s">
        <v>149</v>
      </c>
      <c r="AP12" t="s">
        <v>149</v>
      </c>
      <c r="AQ12" t="s">
        <v>149</v>
      </c>
      <c r="AR12" t="s">
        <v>149</v>
      </c>
      <c r="AS12" t="s">
        <v>149</v>
      </c>
      <c r="AT12" t="s">
        <v>149</v>
      </c>
      <c r="AU12" t="s">
        <v>172</v>
      </c>
      <c r="AV12" t="s">
        <v>150</v>
      </c>
      <c r="AW12" t="s">
        <v>239</v>
      </c>
      <c r="AX12" t="s">
        <v>240</v>
      </c>
      <c r="AY12" t="s">
        <v>173</v>
      </c>
      <c r="AZ12" t="s">
        <v>174</v>
      </c>
      <c r="BA12" t="s">
        <v>175</v>
      </c>
      <c r="BB12" s="140" t="s">
        <v>183</v>
      </c>
      <c r="BC12">
        <v>2</v>
      </c>
      <c r="BD12" s="141">
        <v>0.21037587245137065</v>
      </c>
      <c r="BE12" s="133">
        <v>15.755682080858971</v>
      </c>
      <c r="BF12" t="s">
        <v>208</v>
      </c>
      <c r="BG12" s="134">
        <v>0.64489930114268146</v>
      </c>
      <c r="BH12">
        <v>0.83299999999999996</v>
      </c>
      <c r="BI12" t="s">
        <v>210</v>
      </c>
      <c r="BJ12" s="152" t="s">
        <v>149</v>
      </c>
      <c r="BK12">
        <v>2.67</v>
      </c>
      <c r="BL12" t="s">
        <v>210</v>
      </c>
      <c r="BM12" s="152" t="s">
        <v>149</v>
      </c>
      <c r="BN12" s="151" t="s">
        <v>238</v>
      </c>
      <c r="BO12" t="s">
        <v>209</v>
      </c>
      <c r="BP12" s="151" t="s">
        <v>149</v>
      </c>
      <c r="BQ12" s="151" t="s">
        <v>149</v>
      </c>
      <c r="BR12" s="151" t="s">
        <v>149</v>
      </c>
      <c r="BS12" s="151" t="s">
        <v>149</v>
      </c>
      <c r="BT12" s="151" t="s">
        <v>149</v>
      </c>
      <c r="BU12">
        <v>0</v>
      </c>
      <c r="BV12" s="151" t="s">
        <v>149</v>
      </c>
      <c r="BW12" s="151" t="s">
        <v>149</v>
      </c>
      <c r="BX12" s="133">
        <v>31.398449514214924</v>
      </c>
      <c r="BY12" t="s">
        <v>210</v>
      </c>
      <c r="BZ12">
        <v>3</v>
      </c>
      <c r="CA12">
        <v>3</v>
      </c>
      <c r="CB12" s="151" t="s">
        <v>149</v>
      </c>
      <c r="CC12" s="133">
        <v>4.2867305564611851</v>
      </c>
      <c r="CD12" t="s">
        <v>210</v>
      </c>
      <c r="CE12" s="141">
        <f t="shared" si="6"/>
        <v>6.4300958346917778E-2</v>
      </c>
      <c r="CF12" s="141">
        <f t="shared" si="7"/>
        <v>6.4300958346917778E-2</v>
      </c>
      <c r="CG12" s="151" t="s">
        <v>149</v>
      </c>
      <c r="CH12" t="s">
        <v>211</v>
      </c>
      <c r="CI12" s="151">
        <v>3.43</v>
      </c>
      <c r="CJ12" t="s">
        <v>214</v>
      </c>
      <c r="CK12" s="151" t="s">
        <v>149</v>
      </c>
      <c r="CL12" s="151" t="s">
        <v>149</v>
      </c>
      <c r="CM12" s="151" t="s">
        <v>149</v>
      </c>
      <c r="CN12" t="s">
        <v>149</v>
      </c>
      <c r="CO12" t="s">
        <v>149</v>
      </c>
      <c r="CP12" t="s">
        <v>149</v>
      </c>
      <c r="CQ12" t="s">
        <v>149</v>
      </c>
      <c r="CR12" t="s">
        <v>149</v>
      </c>
      <c r="CS12" t="s">
        <v>149</v>
      </c>
      <c r="CT12" t="s">
        <v>149</v>
      </c>
      <c r="CU12">
        <v>35</v>
      </c>
      <c r="CV12" t="s">
        <v>212</v>
      </c>
      <c r="CW12">
        <v>3</v>
      </c>
      <c r="CX12" t="s">
        <v>213</v>
      </c>
      <c r="CY12">
        <v>14</v>
      </c>
      <c r="CZ12" s="151" t="s">
        <v>149</v>
      </c>
      <c r="DA12" s="151" t="s">
        <v>149</v>
      </c>
      <c r="DB12" s="144" t="s">
        <v>214</v>
      </c>
      <c r="DC12" s="144">
        <v>45</v>
      </c>
      <c r="DD12" s="151" t="s">
        <v>149</v>
      </c>
      <c r="DE12" s="151" t="s">
        <v>149</v>
      </c>
      <c r="DF12" t="s">
        <v>214</v>
      </c>
      <c r="DG12" s="151" t="s">
        <v>149</v>
      </c>
      <c r="DH12" s="151" t="s">
        <v>149</v>
      </c>
      <c r="DI12" s="151" t="s">
        <v>149</v>
      </c>
      <c r="DJ12" s="151" t="s">
        <v>149</v>
      </c>
      <c r="DK12">
        <v>432.6</v>
      </c>
      <c r="DL12" s="151" t="s">
        <v>149</v>
      </c>
      <c r="DM12" s="151" t="s">
        <v>149</v>
      </c>
      <c r="DN12" s="151" t="s">
        <v>235</v>
      </c>
      <c r="DO12" s="145">
        <v>37.82</v>
      </c>
      <c r="DP12" s="127" t="s">
        <v>210</v>
      </c>
      <c r="DQ12" s="127">
        <v>0.7</v>
      </c>
      <c r="DR12" t="s">
        <v>215</v>
      </c>
      <c r="DS12" t="s">
        <v>151</v>
      </c>
      <c r="DT12" s="151" t="s">
        <v>149</v>
      </c>
      <c r="DU12">
        <v>1.0271999999999999</v>
      </c>
      <c r="DV12" t="s">
        <v>152</v>
      </c>
      <c r="DW12" t="s">
        <v>152</v>
      </c>
      <c r="DX12" t="s">
        <v>155</v>
      </c>
      <c r="DY12" t="s">
        <v>152</v>
      </c>
      <c r="DZ12" t="s">
        <v>152</v>
      </c>
      <c r="EA12" s="151" t="s">
        <v>149</v>
      </c>
      <c r="EB12" s="151" t="s">
        <v>149</v>
      </c>
      <c r="EC12" s="127" t="s">
        <v>216</v>
      </c>
      <c r="ED12" s="127" t="s">
        <v>216</v>
      </c>
      <c r="EE12" s="151" t="s">
        <v>149</v>
      </c>
      <c r="EF12" s="151" t="s">
        <v>149</v>
      </c>
      <c r="EG12" s="151" t="s">
        <v>149</v>
      </c>
      <c r="EH12" t="s">
        <v>217</v>
      </c>
      <c r="EI12" t="s">
        <v>218</v>
      </c>
      <c r="EJ12" t="s">
        <v>215</v>
      </c>
      <c r="EK12" s="145">
        <v>1292</v>
      </c>
      <c r="EL12" t="s">
        <v>153</v>
      </c>
      <c r="EM12">
        <v>300</v>
      </c>
      <c r="EN12">
        <v>300</v>
      </c>
      <c r="EO12" s="151" t="s">
        <v>149</v>
      </c>
      <c r="EP12" s="151" t="s">
        <v>149</v>
      </c>
      <c r="EQ12" s="151" t="s">
        <v>149</v>
      </c>
      <c r="ER12" s="151" t="s">
        <v>149</v>
      </c>
      <c r="ES12" s="151" t="s">
        <v>149</v>
      </c>
      <c r="ET12" s="151" t="s">
        <v>149</v>
      </c>
      <c r="EU12" s="151" t="s">
        <v>149</v>
      </c>
      <c r="EV12" s="151" t="s">
        <v>149</v>
      </c>
      <c r="EW12" s="154">
        <f t="shared" si="8"/>
        <v>315.21669243685056</v>
      </c>
      <c r="EX12" s="151">
        <v>25</v>
      </c>
      <c r="EY12" s="151" t="s">
        <v>236</v>
      </c>
      <c r="EZ12" s="142">
        <v>315.21669243685056</v>
      </c>
      <c r="FA12" s="142">
        <v>137.00754292170933</v>
      </c>
      <c r="FB12" s="142">
        <v>107.76242140942523</v>
      </c>
      <c r="FC12" s="151" t="s">
        <v>237</v>
      </c>
      <c r="FD12" t="s">
        <v>219</v>
      </c>
      <c r="FE12" s="151" t="s">
        <v>149</v>
      </c>
      <c r="FF12" s="151" t="s">
        <v>149</v>
      </c>
      <c r="FG12" s="151" t="s">
        <v>149</v>
      </c>
      <c r="FH12" s="151" t="s">
        <v>149</v>
      </c>
      <c r="FI12" s="151" t="s">
        <v>149</v>
      </c>
      <c r="FJ12" s="151" t="s">
        <v>149</v>
      </c>
      <c r="FK12" s="151" t="s">
        <v>149</v>
      </c>
      <c r="FL12" s="151" t="s">
        <v>149</v>
      </c>
      <c r="FM12" s="151" t="s">
        <v>149</v>
      </c>
      <c r="FN12" s="151" t="s">
        <v>149</v>
      </c>
      <c r="FO12" s="151" t="s">
        <v>149</v>
      </c>
      <c r="FP12" s="151" t="s">
        <v>149</v>
      </c>
      <c r="FQ12" s="151" t="s">
        <v>242</v>
      </c>
    </row>
    <row r="13" spans="1:191" ht="19">
      <c r="A13" s="123" t="s">
        <v>148</v>
      </c>
      <c r="B13" t="s">
        <v>163</v>
      </c>
      <c r="C13">
        <v>2014</v>
      </c>
      <c r="D13" t="s">
        <v>165</v>
      </c>
      <c r="E13" s="141">
        <f t="shared" si="9"/>
        <v>15806.64084164266</v>
      </c>
      <c r="F13" s="141" t="str">
        <f t="shared" si="11"/>
        <v>NA</v>
      </c>
      <c r="G13" s="141" t="str">
        <f t="shared" si="12"/>
        <v>NA</v>
      </c>
      <c r="H13" s="128">
        <f t="shared" si="10"/>
        <v>519.61774572171748</v>
      </c>
      <c r="I13" s="128">
        <f t="shared" si="13"/>
        <v>237.65261401528107</v>
      </c>
      <c r="J13" s="128">
        <f t="shared" si="14"/>
        <v>175.3983703197012</v>
      </c>
      <c r="K13" t="s">
        <v>220</v>
      </c>
      <c r="L13" s="153" t="s">
        <v>241</v>
      </c>
      <c r="M13" s="1" t="s">
        <v>164</v>
      </c>
      <c r="N13" t="s">
        <v>165</v>
      </c>
      <c r="O13" s="131">
        <v>761</v>
      </c>
      <c r="P13" t="s">
        <v>166</v>
      </c>
      <c r="Q13" s="132">
        <v>6</v>
      </c>
      <c r="R13" s="132">
        <v>4</v>
      </c>
      <c r="S13" s="142">
        <v>46</v>
      </c>
      <c r="T13">
        <v>48</v>
      </c>
      <c r="U13" s="151" t="s">
        <v>149</v>
      </c>
      <c r="V13" s="134">
        <v>48.06</v>
      </c>
      <c r="W13" s="136" t="s">
        <v>167</v>
      </c>
      <c r="X13" t="s">
        <v>168</v>
      </c>
      <c r="Y13" s="136">
        <v>-16.739722220000001</v>
      </c>
      <c r="Z13" s="127">
        <v>115.53611110999999</v>
      </c>
      <c r="AA13" s="151" t="s">
        <v>149</v>
      </c>
      <c r="AB13" s="151" t="s">
        <v>149</v>
      </c>
      <c r="AC13">
        <v>-2179</v>
      </c>
      <c r="AD13" s="151" t="s">
        <v>149</v>
      </c>
      <c r="AE13" s="151" t="s">
        <v>149</v>
      </c>
      <c r="AF13" s="151" t="s">
        <v>149</v>
      </c>
      <c r="AG13" s="137">
        <v>15806.64084164266</v>
      </c>
      <c r="AH13" s="152" t="s">
        <v>149</v>
      </c>
      <c r="AI13" s="151" t="s">
        <v>149</v>
      </c>
      <c r="AJ13" s="151" t="s">
        <v>149</v>
      </c>
      <c r="AK13" s="138" t="s">
        <v>169</v>
      </c>
      <c r="AL13" s="138" t="s">
        <v>170</v>
      </c>
      <c r="AM13" s="138" t="s">
        <v>171</v>
      </c>
      <c r="AN13" t="s">
        <v>149</v>
      </c>
      <c r="AO13" t="s">
        <v>149</v>
      </c>
      <c r="AP13" t="s">
        <v>149</v>
      </c>
      <c r="AQ13" t="s">
        <v>149</v>
      </c>
      <c r="AR13" t="s">
        <v>149</v>
      </c>
      <c r="AS13" t="s">
        <v>149</v>
      </c>
      <c r="AT13" t="s">
        <v>149</v>
      </c>
      <c r="AU13" t="s">
        <v>172</v>
      </c>
      <c r="AV13" t="s">
        <v>150</v>
      </c>
      <c r="AW13" t="s">
        <v>239</v>
      </c>
      <c r="AX13" t="s">
        <v>240</v>
      </c>
      <c r="AY13" t="s">
        <v>173</v>
      </c>
      <c r="AZ13" t="s">
        <v>174</v>
      </c>
      <c r="BA13" t="s">
        <v>175</v>
      </c>
      <c r="BB13" s="140" t="s">
        <v>184</v>
      </c>
      <c r="BC13">
        <v>2</v>
      </c>
      <c r="BD13" s="141">
        <v>0.13833222940856515</v>
      </c>
      <c r="BE13" s="133">
        <v>14.472316693507704</v>
      </c>
      <c r="BF13" t="s">
        <v>208</v>
      </c>
      <c r="BG13" s="134">
        <v>0.40554830169754796</v>
      </c>
      <c r="BH13">
        <v>0.83299999999999996</v>
      </c>
      <c r="BI13" t="s">
        <v>210</v>
      </c>
      <c r="BJ13" s="152" t="s">
        <v>149</v>
      </c>
      <c r="BK13">
        <v>2.67</v>
      </c>
      <c r="BL13" t="s">
        <v>210</v>
      </c>
      <c r="BM13" s="152" t="s">
        <v>149</v>
      </c>
      <c r="BN13" s="151" t="s">
        <v>238</v>
      </c>
      <c r="BO13" t="s">
        <v>209</v>
      </c>
      <c r="BP13" s="151" t="s">
        <v>149</v>
      </c>
      <c r="BQ13" s="151" t="s">
        <v>149</v>
      </c>
      <c r="BR13" s="151" t="s">
        <v>149</v>
      </c>
      <c r="BS13" s="151" t="s">
        <v>149</v>
      </c>
      <c r="BT13" s="151" t="s">
        <v>149</v>
      </c>
      <c r="BU13">
        <v>0</v>
      </c>
      <c r="BV13" s="151" t="s">
        <v>149</v>
      </c>
      <c r="BW13" s="151" t="s">
        <v>149</v>
      </c>
      <c r="BX13" s="133">
        <v>31.725442894678562</v>
      </c>
      <c r="BY13" t="s">
        <v>210</v>
      </c>
      <c r="BZ13">
        <v>3</v>
      </c>
      <c r="CA13">
        <v>3</v>
      </c>
      <c r="CB13" s="151" t="s">
        <v>149</v>
      </c>
      <c r="CC13" s="133">
        <v>4.4020819889492033</v>
      </c>
      <c r="CD13" t="s">
        <v>210</v>
      </c>
      <c r="CE13" s="141">
        <f t="shared" si="6"/>
        <v>6.603122983423805E-2</v>
      </c>
      <c r="CF13" s="141">
        <f t="shared" si="7"/>
        <v>6.603122983423805E-2</v>
      </c>
      <c r="CG13" s="151" t="s">
        <v>149</v>
      </c>
      <c r="CH13" t="s">
        <v>211</v>
      </c>
      <c r="CI13" s="151">
        <v>3.43</v>
      </c>
      <c r="CJ13" t="s">
        <v>214</v>
      </c>
      <c r="CK13" s="151" t="s">
        <v>149</v>
      </c>
      <c r="CL13" s="151" t="s">
        <v>149</v>
      </c>
      <c r="CM13" s="151" t="s">
        <v>149</v>
      </c>
      <c r="CN13" t="s">
        <v>149</v>
      </c>
      <c r="CO13" t="s">
        <v>149</v>
      </c>
      <c r="CP13" t="s">
        <v>149</v>
      </c>
      <c r="CQ13" t="s">
        <v>149</v>
      </c>
      <c r="CR13" t="s">
        <v>149</v>
      </c>
      <c r="CS13" t="s">
        <v>149</v>
      </c>
      <c r="CT13" t="s">
        <v>149</v>
      </c>
      <c r="CU13">
        <v>35</v>
      </c>
      <c r="CV13" t="s">
        <v>212</v>
      </c>
      <c r="CW13">
        <v>3</v>
      </c>
      <c r="CX13" t="s">
        <v>213</v>
      </c>
      <c r="CY13">
        <v>14</v>
      </c>
      <c r="CZ13" s="151" t="s">
        <v>149</v>
      </c>
      <c r="DA13" s="151" t="s">
        <v>149</v>
      </c>
      <c r="DB13" s="144" t="s">
        <v>214</v>
      </c>
      <c r="DC13" s="144">
        <v>45</v>
      </c>
      <c r="DD13" s="151" t="s">
        <v>149</v>
      </c>
      <c r="DE13" s="151" t="s">
        <v>149</v>
      </c>
      <c r="DF13" t="s">
        <v>214</v>
      </c>
      <c r="DG13" s="151" t="s">
        <v>149</v>
      </c>
      <c r="DH13" s="151" t="s">
        <v>149</v>
      </c>
      <c r="DI13" s="151" t="s">
        <v>149</v>
      </c>
      <c r="DJ13" s="151" t="s">
        <v>149</v>
      </c>
      <c r="DK13">
        <v>432.6</v>
      </c>
      <c r="DL13" s="151" t="s">
        <v>149</v>
      </c>
      <c r="DM13" s="151" t="s">
        <v>149</v>
      </c>
      <c r="DN13" s="151" t="s">
        <v>235</v>
      </c>
      <c r="DO13" s="145">
        <v>37.82</v>
      </c>
      <c r="DP13" s="127" t="s">
        <v>210</v>
      </c>
      <c r="DQ13" s="127">
        <v>0.7</v>
      </c>
      <c r="DR13" t="s">
        <v>215</v>
      </c>
      <c r="DS13" t="s">
        <v>151</v>
      </c>
      <c r="DT13" s="151" t="s">
        <v>149</v>
      </c>
      <c r="DU13">
        <v>1.0271999999999999</v>
      </c>
      <c r="DV13" t="s">
        <v>152</v>
      </c>
      <c r="DW13" t="s">
        <v>152</v>
      </c>
      <c r="DX13" t="s">
        <v>155</v>
      </c>
      <c r="DY13" t="s">
        <v>152</v>
      </c>
      <c r="DZ13" t="s">
        <v>152</v>
      </c>
      <c r="EA13" s="151" t="s">
        <v>149</v>
      </c>
      <c r="EB13" s="151" t="s">
        <v>149</v>
      </c>
      <c r="EC13" s="127" t="s">
        <v>216</v>
      </c>
      <c r="ED13" s="127" t="s">
        <v>216</v>
      </c>
      <c r="EE13" s="151" t="s">
        <v>149</v>
      </c>
      <c r="EF13" s="151" t="s">
        <v>149</v>
      </c>
      <c r="EG13" s="151" t="s">
        <v>149</v>
      </c>
      <c r="EH13" t="s">
        <v>217</v>
      </c>
      <c r="EI13" t="s">
        <v>218</v>
      </c>
      <c r="EJ13" t="s">
        <v>215</v>
      </c>
      <c r="EK13">
        <v>1292</v>
      </c>
      <c r="EL13" t="s">
        <v>153</v>
      </c>
      <c r="EM13">
        <v>300</v>
      </c>
      <c r="EN13">
        <v>300</v>
      </c>
      <c r="EO13" s="151" t="s">
        <v>149</v>
      </c>
      <c r="EP13" s="151" t="s">
        <v>149</v>
      </c>
      <c r="EQ13" s="151" t="s">
        <v>149</v>
      </c>
      <c r="ER13" s="151" t="s">
        <v>149</v>
      </c>
      <c r="ES13" s="151" t="s">
        <v>149</v>
      </c>
      <c r="ET13" s="151" t="s">
        <v>149</v>
      </c>
      <c r="EU13" s="151" t="s">
        <v>149</v>
      </c>
      <c r="EV13" s="151" t="s">
        <v>149</v>
      </c>
      <c r="EW13" s="154">
        <f t="shared" si="8"/>
        <v>519.61774572171748</v>
      </c>
      <c r="EX13" s="151">
        <v>25</v>
      </c>
      <c r="EY13" s="151" t="s">
        <v>236</v>
      </c>
      <c r="EZ13" s="142">
        <v>519.61774572171748</v>
      </c>
      <c r="FA13" s="142">
        <v>237.65261401528107</v>
      </c>
      <c r="FB13" s="142">
        <v>175.3983703197012</v>
      </c>
      <c r="FC13" s="151" t="s">
        <v>237</v>
      </c>
      <c r="FD13" t="s">
        <v>219</v>
      </c>
      <c r="FE13" s="151" t="s">
        <v>149</v>
      </c>
      <c r="FF13" s="151" t="s">
        <v>149</v>
      </c>
      <c r="FG13" s="151" t="s">
        <v>149</v>
      </c>
      <c r="FH13" s="151" t="s">
        <v>149</v>
      </c>
      <c r="FI13" s="151" t="s">
        <v>149</v>
      </c>
      <c r="FJ13" s="151" t="s">
        <v>149</v>
      </c>
      <c r="FK13" s="151" t="s">
        <v>149</v>
      </c>
      <c r="FL13" s="151" t="s">
        <v>149</v>
      </c>
      <c r="FM13" s="151" t="s">
        <v>149</v>
      </c>
      <c r="FN13" s="151" t="s">
        <v>149</v>
      </c>
      <c r="FO13" s="151" t="s">
        <v>149</v>
      </c>
      <c r="FP13" s="151" t="s">
        <v>149</v>
      </c>
      <c r="FQ13" s="151" t="s">
        <v>242</v>
      </c>
    </row>
    <row r="14" spans="1:191" ht="19">
      <c r="A14" s="123" t="s">
        <v>148</v>
      </c>
      <c r="B14" t="s">
        <v>163</v>
      </c>
      <c r="C14">
        <v>2014</v>
      </c>
      <c r="D14" t="s">
        <v>165</v>
      </c>
      <c r="E14" s="141">
        <f t="shared" si="9"/>
        <v>15838.921748802477</v>
      </c>
      <c r="F14" s="141" t="str">
        <f t="shared" si="11"/>
        <v>NA</v>
      </c>
      <c r="G14" s="141" t="str">
        <f t="shared" si="12"/>
        <v>NA</v>
      </c>
      <c r="H14" s="128">
        <f t="shared" si="10"/>
        <v>435.35154359068849</v>
      </c>
      <c r="I14" s="128">
        <f t="shared" si="13"/>
        <v>183.59640834189429</v>
      </c>
      <c r="J14" s="128">
        <f t="shared" si="14"/>
        <v>143.30508002239617</v>
      </c>
      <c r="K14" t="s">
        <v>220</v>
      </c>
      <c r="L14" s="153" t="s">
        <v>241</v>
      </c>
      <c r="M14" s="1" t="s">
        <v>164</v>
      </c>
      <c r="N14" t="s">
        <v>165</v>
      </c>
      <c r="O14" s="131">
        <v>761</v>
      </c>
      <c r="P14" t="s">
        <v>166</v>
      </c>
      <c r="Q14" s="132">
        <v>6</v>
      </c>
      <c r="R14" s="132">
        <v>4</v>
      </c>
      <c r="S14" s="142">
        <v>58</v>
      </c>
      <c r="T14">
        <v>60</v>
      </c>
      <c r="U14" s="151" t="s">
        <v>149</v>
      </c>
      <c r="V14" s="134">
        <v>48.18</v>
      </c>
      <c r="W14" s="136" t="s">
        <v>167</v>
      </c>
      <c r="X14" t="s">
        <v>168</v>
      </c>
      <c r="Y14" s="136">
        <v>-16.739722220000001</v>
      </c>
      <c r="Z14" s="127">
        <v>115.53611110999999</v>
      </c>
      <c r="AA14" s="151" t="s">
        <v>149</v>
      </c>
      <c r="AB14" s="151" t="s">
        <v>149</v>
      </c>
      <c r="AC14">
        <v>-2179</v>
      </c>
      <c r="AD14" s="151" t="s">
        <v>149</v>
      </c>
      <c r="AE14" s="151" t="s">
        <v>149</v>
      </c>
      <c r="AF14" s="151" t="s">
        <v>149</v>
      </c>
      <c r="AG14" s="137">
        <v>15838.921748802477</v>
      </c>
      <c r="AH14" s="152" t="s">
        <v>149</v>
      </c>
      <c r="AI14" s="151" t="s">
        <v>149</v>
      </c>
      <c r="AJ14" s="151" t="s">
        <v>149</v>
      </c>
      <c r="AK14" s="138" t="s">
        <v>169</v>
      </c>
      <c r="AL14" s="138" t="s">
        <v>170</v>
      </c>
      <c r="AM14" s="138" t="s">
        <v>171</v>
      </c>
      <c r="AN14" t="s">
        <v>149</v>
      </c>
      <c r="AO14" t="s">
        <v>149</v>
      </c>
      <c r="AP14" t="s">
        <v>149</v>
      </c>
      <c r="AQ14" t="s">
        <v>149</v>
      </c>
      <c r="AR14" t="s">
        <v>149</v>
      </c>
      <c r="AS14" t="s">
        <v>149</v>
      </c>
      <c r="AT14" t="s">
        <v>149</v>
      </c>
      <c r="AU14" t="s">
        <v>172</v>
      </c>
      <c r="AV14" t="s">
        <v>150</v>
      </c>
      <c r="AW14" t="s">
        <v>239</v>
      </c>
      <c r="AX14" t="s">
        <v>240</v>
      </c>
      <c r="AY14" t="s">
        <v>173</v>
      </c>
      <c r="AZ14" t="s">
        <v>174</v>
      </c>
      <c r="BA14" t="s">
        <v>175</v>
      </c>
      <c r="BB14" s="140" t="s">
        <v>185</v>
      </c>
      <c r="BC14">
        <v>2</v>
      </c>
      <c r="BD14" s="141">
        <v>2.4435114138476871E-4</v>
      </c>
      <c r="BE14" s="133">
        <v>14.927951077118507</v>
      </c>
      <c r="BF14" t="s">
        <v>208</v>
      </c>
      <c r="BG14" s="134">
        <v>0.41334922034358074</v>
      </c>
      <c r="BH14">
        <v>0.83299999999999996</v>
      </c>
      <c r="BI14" t="s">
        <v>210</v>
      </c>
      <c r="BJ14" s="152" t="s">
        <v>149</v>
      </c>
      <c r="BK14">
        <v>2.67</v>
      </c>
      <c r="BL14" t="s">
        <v>210</v>
      </c>
      <c r="BM14" s="152" t="s">
        <v>149</v>
      </c>
      <c r="BN14" s="151" t="s">
        <v>238</v>
      </c>
      <c r="BO14" t="s">
        <v>209</v>
      </c>
      <c r="BP14" s="151" t="s">
        <v>149</v>
      </c>
      <c r="BQ14" s="151" t="s">
        <v>149</v>
      </c>
      <c r="BR14" s="151" t="s">
        <v>149</v>
      </c>
      <c r="BS14" s="151" t="s">
        <v>149</v>
      </c>
      <c r="BT14" s="151" t="s">
        <v>149</v>
      </c>
      <c r="BU14">
        <v>0</v>
      </c>
      <c r="BV14" s="151" t="s">
        <v>149</v>
      </c>
      <c r="BW14" s="151" t="s">
        <v>149</v>
      </c>
      <c r="BX14" s="133">
        <v>32.159832349503155</v>
      </c>
      <c r="BY14" t="s">
        <v>210</v>
      </c>
      <c r="BZ14">
        <v>3</v>
      </c>
      <c r="CA14">
        <v>3</v>
      </c>
      <c r="CB14" s="151" t="s">
        <v>149</v>
      </c>
      <c r="CC14" s="133">
        <v>4.56370642396341</v>
      </c>
      <c r="CD14" t="s">
        <v>210</v>
      </c>
      <c r="CE14" s="141">
        <f t="shared" si="6"/>
        <v>6.8455596359451143E-2</v>
      </c>
      <c r="CF14" s="141">
        <f t="shared" si="7"/>
        <v>6.8455596359451143E-2</v>
      </c>
      <c r="CG14" s="151" t="s">
        <v>149</v>
      </c>
      <c r="CH14" t="s">
        <v>211</v>
      </c>
      <c r="CI14" s="151">
        <v>3.43</v>
      </c>
      <c r="CJ14" t="s">
        <v>214</v>
      </c>
      <c r="CK14" s="151" t="s">
        <v>149</v>
      </c>
      <c r="CL14" s="151" t="s">
        <v>149</v>
      </c>
      <c r="CM14" s="151" t="s">
        <v>149</v>
      </c>
      <c r="CN14" t="s">
        <v>149</v>
      </c>
      <c r="CO14" t="s">
        <v>149</v>
      </c>
      <c r="CP14" t="s">
        <v>149</v>
      </c>
      <c r="CQ14" t="s">
        <v>149</v>
      </c>
      <c r="CR14" t="s">
        <v>149</v>
      </c>
      <c r="CS14" t="s">
        <v>149</v>
      </c>
      <c r="CT14" t="s">
        <v>149</v>
      </c>
      <c r="CU14">
        <v>35</v>
      </c>
      <c r="CV14" t="s">
        <v>212</v>
      </c>
      <c r="CW14">
        <v>3</v>
      </c>
      <c r="CX14" t="s">
        <v>213</v>
      </c>
      <c r="CY14">
        <v>14</v>
      </c>
      <c r="CZ14" s="151" t="s">
        <v>149</v>
      </c>
      <c r="DA14" s="151" t="s">
        <v>149</v>
      </c>
      <c r="DB14" s="144" t="s">
        <v>214</v>
      </c>
      <c r="DC14" s="144">
        <v>45</v>
      </c>
      <c r="DD14" s="151" t="s">
        <v>149</v>
      </c>
      <c r="DE14" s="151" t="s">
        <v>149</v>
      </c>
      <c r="DF14" t="s">
        <v>214</v>
      </c>
      <c r="DG14" s="151" t="s">
        <v>149</v>
      </c>
      <c r="DH14" s="151" t="s">
        <v>149</v>
      </c>
      <c r="DI14" s="151" t="s">
        <v>149</v>
      </c>
      <c r="DJ14" s="151" t="s">
        <v>149</v>
      </c>
      <c r="DK14">
        <v>432.6</v>
      </c>
      <c r="DL14" s="151" t="s">
        <v>149</v>
      </c>
      <c r="DM14" s="151" t="s">
        <v>149</v>
      </c>
      <c r="DN14" s="151" t="s">
        <v>235</v>
      </c>
      <c r="DO14" s="145">
        <v>37.82</v>
      </c>
      <c r="DP14" s="127" t="s">
        <v>210</v>
      </c>
      <c r="DQ14" s="127">
        <v>0.7</v>
      </c>
      <c r="DR14" t="s">
        <v>215</v>
      </c>
      <c r="DS14" t="s">
        <v>151</v>
      </c>
      <c r="DT14" s="151" t="s">
        <v>149</v>
      </c>
      <c r="DU14">
        <v>1.0271999999999999</v>
      </c>
      <c r="DV14" t="s">
        <v>152</v>
      </c>
      <c r="DW14" t="s">
        <v>152</v>
      </c>
      <c r="DX14" t="s">
        <v>155</v>
      </c>
      <c r="DY14" t="s">
        <v>152</v>
      </c>
      <c r="DZ14" t="s">
        <v>152</v>
      </c>
      <c r="EA14" s="151" t="s">
        <v>149</v>
      </c>
      <c r="EB14" s="151" t="s">
        <v>149</v>
      </c>
      <c r="EC14" s="127" t="s">
        <v>216</v>
      </c>
      <c r="ED14" s="127" t="s">
        <v>216</v>
      </c>
      <c r="EE14" s="151" t="s">
        <v>149</v>
      </c>
      <c r="EF14" s="151" t="s">
        <v>149</v>
      </c>
      <c r="EG14" s="151" t="s">
        <v>149</v>
      </c>
      <c r="EH14" t="s">
        <v>217</v>
      </c>
      <c r="EI14" t="s">
        <v>218</v>
      </c>
      <c r="EJ14" t="s">
        <v>215</v>
      </c>
      <c r="EK14" s="145">
        <v>1292</v>
      </c>
      <c r="EL14" t="s">
        <v>153</v>
      </c>
      <c r="EM14">
        <v>300</v>
      </c>
      <c r="EN14">
        <v>300</v>
      </c>
      <c r="EO14" s="151" t="s">
        <v>149</v>
      </c>
      <c r="EP14" s="151" t="s">
        <v>149</v>
      </c>
      <c r="EQ14" s="151" t="s">
        <v>149</v>
      </c>
      <c r="ER14" s="151" t="s">
        <v>149</v>
      </c>
      <c r="ES14" s="151" t="s">
        <v>149</v>
      </c>
      <c r="ET14" s="151" t="s">
        <v>149</v>
      </c>
      <c r="EU14" s="151" t="s">
        <v>149</v>
      </c>
      <c r="EV14" s="151" t="s">
        <v>149</v>
      </c>
      <c r="EW14" s="154">
        <f t="shared" si="8"/>
        <v>435.35154359068849</v>
      </c>
      <c r="EX14" s="151">
        <v>25</v>
      </c>
      <c r="EY14" s="151" t="s">
        <v>236</v>
      </c>
      <c r="EZ14" s="142">
        <v>435.35154359068849</v>
      </c>
      <c r="FA14" s="142">
        <v>183.59640834189429</v>
      </c>
      <c r="FB14" s="142">
        <v>143.30508002239617</v>
      </c>
      <c r="FC14" s="151" t="s">
        <v>237</v>
      </c>
      <c r="FD14" t="s">
        <v>219</v>
      </c>
      <c r="FE14" s="151" t="s">
        <v>149</v>
      </c>
      <c r="FF14" s="151" t="s">
        <v>149</v>
      </c>
      <c r="FG14" s="151" t="s">
        <v>149</v>
      </c>
      <c r="FH14" s="151" t="s">
        <v>149</v>
      </c>
      <c r="FI14" s="151" t="s">
        <v>149</v>
      </c>
      <c r="FJ14" s="151" t="s">
        <v>149</v>
      </c>
      <c r="FK14" s="151" t="s">
        <v>149</v>
      </c>
      <c r="FL14" s="151" t="s">
        <v>149</v>
      </c>
      <c r="FM14" s="151" t="s">
        <v>149</v>
      </c>
      <c r="FN14" s="151" t="s">
        <v>149</v>
      </c>
      <c r="FO14" s="151" t="s">
        <v>149</v>
      </c>
      <c r="FP14" s="151" t="s">
        <v>149</v>
      </c>
      <c r="FQ14" s="151" t="s">
        <v>242</v>
      </c>
    </row>
    <row r="15" spans="1:191" ht="19">
      <c r="A15" s="123" t="s">
        <v>148</v>
      </c>
      <c r="B15" t="s">
        <v>163</v>
      </c>
      <c r="C15">
        <v>2014</v>
      </c>
      <c r="D15" t="s">
        <v>165</v>
      </c>
      <c r="E15" s="141">
        <f t="shared" si="9"/>
        <v>15893.176039366041</v>
      </c>
      <c r="F15" s="141" t="str">
        <f t="shared" si="11"/>
        <v>NA</v>
      </c>
      <c r="G15" s="141" t="str">
        <f t="shared" si="12"/>
        <v>NA</v>
      </c>
      <c r="H15" s="128">
        <f t="shared" si="10"/>
        <v>281.02453084858541</v>
      </c>
      <c r="I15" s="128">
        <f t="shared" si="13"/>
        <v>103.97718695990989</v>
      </c>
      <c r="J15" s="128">
        <f t="shared" si="14"/>
        <v>87.431073052531957</v>
      </c>
      <c r="K15" t="s">
        <v>220</v>
      </c>
      <c r="L15" s="153" t="s">
        <v>241</v>
      </c>
      <c r="M15" s="1" t="s">
        <v>164</v>
      </c>
      <c r="N15" t="s">
        <v>165</v>
      </c>
      <c r="O15" s="131">
        <v>761</v>
      </c>
      <c r="P15" t="s">
        <v>166</v>
      </c>
      <c r="Q15" s="132">
        <v>6</v>
      </c>
      <c r="R15" s="132">
        <v>4</v>
      </c>
      <c r="S15" s="142">
        <v>78</v>
      </c>
      <c r="T15">
        <v>80</v>
      </c>
      <c r="U15" s="151" t="s">
        <v>149</v>
      </c>
      <c r="V15" s="134">
        <v>48.38</v>
      </c>
      <c r="W15" s="136" t="s">
        <v>167</v>
      </c>
      <c r="X15" t="s">
        <v>168</v>
      </c>
      <c r="Y15" s="136">
        <v>-16.739722220000001</v>
      </c>
      <c r="Z15" s="127">
        <v>115.53611110999999</v>
      </c>
      <c r="AA15" s="151" t="s">
        <v>149</v>
      </c>
      <c r="AB15" s="151" t="s">
        <v>149</v>
      </c>
      <c r="AC15">
        <v>-2179</v>
      </c>
      <c r="AD15" s="151" t="s">
        <v>149</v>
      </c>
      <c r="AE15" s="151" t="s">
        <v>149</v>
      </c>
      <c r="AF15" s="151" t="s">
        <v>149</v>
      </c>
      <c r="AG15" s="137">
        <v>15893.176039366041</v>
      </c>
      <c r="AH15" s="152" t="s">
        <v>149</v>
      </c>
      <c r="AI15" s="151" t="s">
        <v>149</v>
      </c>
      <c r="AJ15" s="151" t="s">
        <v>149</v>
      </c>
      <c r="AK15" s="138" t="s">
        <v>169</v>
      </c>
      <c r="AL15" s="138" t="s">
        <v>170</v>
      </c>
      <c r="AM15" s="138" t="s">
        <v>171</v>
      </c>
      <c r="AN15" t="s">
        <v>149</v>
      </c>
      <c r="AO15" t="s">
        <v>149</v>
      </c>
      <c r="AP15" t="s">
        <v>149</v>
      </c>
      <c r="AQ15" t="s">
        <v>149</v>
      </c>
      <c r="AR15" t="s">
        <v>149</v>
      </c>
      <c r="AS15" t="s">
        <v>149</v>
      </c>
      <c r="AT15" t="s">
        <v>149</v>
      </c>
      <c r="AU15" t="s">
        <v>172</v>
      </c>
      <c r="AV15" t="s">
        <v>150</v>
      </c>
      <c r="AW15" t="s">
        <v>239</v>
      </c>
      <c r="AX15" t="s">
        <v>240</v>
      </c>
      <c r="AY15" t="s">
        <v>173</v>
      </c>
      <c r="AZ15" t="s">
        <v>174</v>
      </c>
      <c r="BA15" t="s">
        <v>175</v>
      </c>
      <c r="BB15" s="140" t="s">
        <v>186</v>
      </c>
      <c r="BC15">
        <v>2</v>
      </c>
      <c r="BD15" s="141">
        <v>0.22420161110005662</v>
      </c>
      <c r="BE15" s="133">
        <v>16.154889737810951</v>
      </c>
      <c r="BF15" t="s">
        <v>208</v>
      </c>
      <c r="BG15" s="134">
        <v>0.33450907723275547</v>
      </c>
      <c r="BH15">
        <v>0.83299999999999996</v>
      </c>
      <c r="BI15" t="s">
        <v>210</v>
      </c>
      <c r="BJ15" s="152" t="s">
        <v>149</v>
      </c>
      <c r="BK15">
        <v>2.67</v>
      </c>
      <c r="BL15" t="s">
        <v>210</v>
      </c>
      <c r="BM15" s="152" t="s">
        <v>149</v>
      </c>
      <c r="BN15" s="151" t="s">
        <v>238</v>
      </c>
      <c r="BO15" t="s">
        <v>209</v>
      </c>
      <c r="BP15" s="151" t="s">
        <v>149</v>
      </c>
      <c r="BQ15" s="151" t="s">
        <v>149</v>
      </c>
      <c r="BR15" s="151" t="s">
        <v>149</v>
      </c>
      <c r="BS15" s="151" t="s">
        <v>149</v>
      </c>
      <c r="BT15" s="151" t="s">
        <v>149</v>
      </c>
      <c r="BU15">
        <v>0</v>
      </c>
      <c r="BV15" s="151" t="s">
        <v>149</v>
      </c>
      <c r="BW15" s="151" t="s">
        <v>149</v>
      </c>
      <c r="BX15" s="133">
        <v>32.266275778533128</v>
      </c>
      <c r="BY15" t="s">
        <v>210</v>
      </c>
      <c r="BZ15">
        <v>3</v>
      </c>
      <c r="CA15">
        <v>3</v>
      </c>
      <c r="CB15" s="151" t="s">
        <v>149</v>
      </c>
      <c r="CC15" s="133">
        <v>4.7136139222946722</v>
      </c>
      <c r="CD15" t="s">
        <v>210</v>
      </c>
      <c r="CE15" s="141">
        <f t="shared" si="6"/>
        <v>7.0704208834420079E-2</v>
      </c>
      <c r="CF15" s="141">
        <f t="shared" si="7"/>
        <v>7.0704208834420079E-2</v>
      </c>
      <c r="CG15" s="151" t="s">
        <v>149</v>
      </c>
      <c r="CH15" t="s">
        <v>211</v>
      </c>
      <c r="CI15" s="151">
        <v>3.43</v>
      </c>
      <c r="CJ15" t="s">
        <v>214</v>
      </c>
      <c r="CK15" s="151" t="s">
        <v>149</v>
      </c>
      <c r="CL15" s="151" t="s">
        <v>149</v>
      </c>
      <c r="CM15" s="151" t="s">
        <v>149</v>
      </c>
      <c r="CN15" t="s">
        <v>149</v>
      </c>
      <c r="CO15" t="s">
        <v>149</v>
      </c>
      <c r="CP15" t="s">
        <v>149</v>
      </c>
      <c r="CQ15" t="s">
        <v>149</v>
      </c>
      <c r="CR15" t="s">
        <v>149</v>
      </c>
      <c r="CS15" t="s">
        <v>149</v>
      </c>
      <c r="CT15" t="s">
        <v>149</v>
      </c>
      <c r="CU15">
        <v>35</v>
      </c>
      <c r="CV15" t="s">
        <v>212</v>
      </c>
      <c r="CW15">
        <v>3</v>
      </c>
      <c r="CX15" t="s">
        <v>213</v>
      </c>
      <c r="CY15">
        <v>14</v>
      </c>
      <c r="CZ15" s="151" t="s">
        <v>149</v>
      </c>
      <c r="DA15" s="151" t="s">
        <v>149</v>
      </c>
      <c r="DB15" s="144" t="s">
        <v>214</v>
      </c>
      <c r="DC15" s="144">
        <v>45</v>
      </c>
      <c r="DD15" s="151" t="s">
        <v>149</v>
      </c>
      <c r="DE15" s="151" t="s">
        <v>149</v>
      </c>
      <c r="DF15" t="s">
        <v>214</v>
      </c>
      <c r="DG15" s="151" t="s">
        <v>149</v>
      </c>
      <c r="DH15" s="151" t="s">
        <v>149</v>
      </c>
      <c r="DI15" s="151" t="s">
        <v>149</v>
      </c>
      <c r="DJ15" s="151" t="s">
        <v>149</v>
      </c>
      <c r="DK15">
        <v>432.6</v>
      </c>
      <c r="DL15" s="151" t="s">
        <v>149</v>
      </c>
      <c r="DM15" s="151" t="s">
        <v>149</v>
      </c>
      <c r="DN15" s="151" t="s">
        <v>235</v>
      </c>
      <c r="DO15" s="145">
        <v>37.82</v>
      </c>
      <c r="DP15" s="127" t="s">
        <v>210</v>
      </c>
      <c r="DQ15" s="127">
        <v>0.7</v>
      </c>
      <c r="DR15" t="s">
        <v>215</v>
      </c>
      <c r="DS15" t="s">
        <v>151</v>
      </c>
      <c r="DT15" s="151" t="s">
        <v>149</v>
      </c>
      <c r="DU15">
        <v>1.0271999999999999</v>
      </c>
      <c r="DV15" t="s">
        <v>152</v>
      </c>
      <c r="DW15" t="s">
        <v>152</v>
      </c>
      <c r="DX15" t="s">
        <v>155</v>
      </c>
      <c r="DY15" t="s">
        <v>152</v>
      </c>
      <c r="DZ15" t="s">
        <v>152</v>
      </c>
      <c r="EA15" s="151" t="s">
        <v>149</v>
      </c>
      <c r="EB15" s="151" t="s">
        <v>149</v>
      </c>
      <c r="EC15" s="127" t="s">
        <v>216</v>
      </c>
      <c r="ED15" s="127" t="s">
        <v>216</v>
      </c>
      <c r="EE15" s="151" t="s">
        <v>149</v>
      </c>
      <c r="EF15" s="151" t="s">
        <v>149</v>
      </c>
      <c r="EG15" s="151" t="s">
        <v>149</v>
      </c>
      <c r="EH15" t="s">
        <v>217</v>
      </c>
      <c r="EI15" t="s">
        <v>218</v>
      </c>
      <c r="EJ15" t="s">
        <v>215</v>
      </c>
      <c r="EK15">
        <v>1292</v>
      </c>
      <c r="EL15" t="s">
        <v>153</v>
      </c>
      <c r="EM15">
        <v>300</v>
      </c>
      <c r="EN15">
        <v>300</v>
      </c>
      <c r="EO15" s="151" t="s">
        <v>149</v>
      </c>
      <c r="EP15" s="151" t="s">
        <v>149</v>
      </c>
      <c r="EQ15" s="151" t="s">
        <v>149</v>
      </c>
      <c r="ER15" s="151" t="s">
        <v>149</v>
      </c>
      <c r="ES15" s="151" t="s">
        <v>149</v>
      </c>
      <c r="ET15" s="151" t="s">
        <v>149</v>
      </c>
      <c r="EU15" s="151" t="s">
        <v>149</v>
      </c>
      <c r="EV15" s="151" t="s">
        <v>149</v>
      </c>
      <c r="EW15" s="154">
        <f t="shared" si="8"/>
        <v>281.02453084858541</v>
      </c>
      <c r="EX15" s="151">
        <v>25</v>
      </c>
      <c r="EY15" s="151" t="s">
        <v>236</v>
      </c>
      <c r="EZ15" s="142">
        <v>281.02453084858541</v>
      </c>
      <c r="FA15" s="142">
        <v>103.97718695990989</v>
      </c>
      <c r="FB15" s="142">
        <v>87.431073052531957</v>
      </c>
      <c r="FC15" s="151" t="s">
        <v>237</v>
      </c>
      <c r="FD15" t="s">
        <v>219</v>
      </c>
      <c r="FE15" s="151" t="s">
        <v>149</v>
      </c>
      <c r="FF15" s="151" t="s">
        <v>149</v>
      </c>
      <c r="FG15" s="151" t="s">
        <v>149</v>
      </c>
      <c r="FH15" s="151" t="s">
        <v>149</v>
      </c>
      <c r="FI15" s="151" t="s">
        <v>149</v>
      </c>
      <c r="FJ15" s="151" t="s">
        <v>149</v>
      </c>
      <c r="FK15" s="151" t="s">
        <v>149</v>
      </c>
      <c r="FL15" s="151" t="s">
        <v>149</v>
      </c>
      <c r="FM15" s="151" t="s">
        <v>149</v>
      </c>
      <c r="FN15" s="151" t="s">
        <v>149</v>
      </c>
      <c r="FO15" s="151" t="s">
        <v>149</v>
      </c>
      <c r="FP15" s="151" t="s">
        <v>149</v>
      </c>
      <c r="FQ15" s="151" t="s">
        <v>242</v>
      </c>
    </row>
    <row r="16" spans="1:191" ht="19">
      <c r="A16" s="123" t="s">
        <v>148</v>
      </c>
      <c r="B16" t="s">
        <v>163</v>
      </c>
      <c r="C16">
        <v>2014</v>
      </c>
      <c r="D16" t="s">
        <v>165</v>
      </c>
      <c r="E16" s="141">
        <f t="shared" si="9"/>
        <v>15953.663996847921</v>
      </c>
      <c r="F16" s="141" t="str">
        <f t="shared" si="11"/>
        <v>NA</v>
      </c>
      <c r="G16" s="141" t="str">
        <f t="shared" si="12"/>
        <v>NA</v>
      </c>
      <c r="H16" s="128">
        <f t="shared" si="10"/>
        <v>291.32192885623289</v>
      </c>
      <c r="I16" s="128">
        <f t="shared" si="13"/>
        <v>156.2695062350034</v>
      </c>
      <c r="J16" s="128">
        <f t="shared" si="14"/>
        <v>110.45210155673195</v>
      </c>
      <c r="K16" t="s">
        <v>220</v>
      </c>
      <c r="L16" s="153" t="s">
        <v>241</v>
      </c>
      <c r="M16" s="1" t="s">
        <v>164</v>
      </c>
      <c r="N16" t="s">
        <v>165</v>
      </c>
      <c r="O16" s="131">
        <v>761</v>
      </c>
      <c r="P16" t="s">
        <v>166</v>
      </c>
      <c r="Q16" s="132">
        <v>6</v>
      </c>
      <c r="R16" s="132">
        <v>4</v>
      </c>
      <c r="S16" s="142">
        <v>100</v>
      </c>
      <c r="T16">
        <v>102</v>
      </c>
      <c r="U16" s="151" t="s">
        <v>149</v>
      </c>
      <c r="V16" s="134">
        <v>48.6</v>
      </c>
      <c r="W16" s="136" t="s">
        <v>167</v>
      </c>
      <c r="X16" t="s">
        <v>168</v>
      </c>
      <c r="Y16" s="136">
        <v>-16.739722220000001</v>
      </c>
      <c r="Z16" s="127">
        <v>115.53611110999999</v>
      </c>
      <c r="AA16" s="151" t="s">
        <v>149</v>
      </c>
      <c r="AB16" s="151" t="s">
        <v>149</v>
      </c>
      <c r="AC16">
        <v>-2179</v>
      </c>
      <c r="AD16" s="151" t="s">
        <v>149</v>
      </c>
      <c r="AE16" s="151" t="s">
        <v>149</v>
      </c>
      <c r="AF16" s="151" t="s">
        <v>149</v>
      </c>
      <c r="AG16" s="137">
        <v>15953.663996847921</v>
      </c>
      <c r="AH16" s="152" t="s">
        <v>149</v>
      </c>
      <c r="AI16" s="151" t="s">
        <v>149</v>
      </c>
      <c r="AJ16" s="151" t="s">
        <v>149</v>
      </c>
      <c r="AK16" s="138" t="s">
        <v>169</v>
      </c>
      <c r="AL16" s="138" t="s">
        <v>170</v>
      </c>
      <c r="AM16" s="138" t="s">
        <v>171</v>
      </c>
      <c r="AN16" t="s">
        <v>149</v>
      </c>
      <c r="AO16" t="s">
        <v>149</v>
      </c>
      <c r="AP16" t="s">
        <v>149</v>
      </c>
      <c r="AQ16" t="s">
        <v>149</v>
      </c>
      <c r="AR16" t="s">
        <v>149</v>
      </c>
      <c r="AS16" t="s">
        <v>149</v>
      </c>
      <c r="AT16" t="s">
        <v>149</v>
      </c>
      <c r="AU16" t="s">
        <v>172</v>
      </c>
      <c r="AV16" t="s">
        <v>150</v>
      </c>
      <c r="AW16" t="s">
        <v>239</v>
      </c>
      <c r="AX16" t="s">
        <v>240</v>
      </c>
      <c r="AY16" t="s">
        <v>173</v>
      </c>
      <c r="AZ16" t="s">
        <v>174</v>
      </c>
      <c r="BA16" t="s">
        <v>175</v>
      </c>
      <c r="BB16" s="140" t="s">
        <v>187</v>
      </c>
      <c r="BC16">
        <v>2</v>
      </c>
      <c r="BD16" s="141">
        <v>1.0889031029011154</v>
      </c>
      <c r="BE16" s="133">
        <v>16.051879528176446</v>
      </c>
      <c r="BF16" t="s">
        <v>208</v>
      </c>
      <c r="BG16" s="134">
        <v>0.91070294847973055</v>
      </c>
      <c r="BH16">
        <v>0.83299999999999996</v>
      </c>
      <c r="BI16" t="s">
        <v>210</v>
      </c>
      <c r="BJ16" s="152" t="s">
        <v>149</v>
      </c>
      <c r="BK16">
        <v>2.67</v>
      </c>
      <c r="BL16" t="s">
        <v>210</v>
      </c>
      <c r="BM16" s="152" t="s">
        <v>149</v>
      </c>
      <c r="BN16" s="151" t="s">
        <v>238</v>
      </c>
      <c r="BO16" t="s">
        <v>209</v>
      </c>
      <c r="BP16" s="151" t="s">
        <v>149</v>
      </c>
      <c r="BQ16" s="151" t="s">
        <v>149</v>
      </c>
      <c r="BR16" s="151" t="s">
        <v>149</v>
      </c>
      <c r="BS16" s="151" t="s">
        <v>149</v>
      </c>
      <c r="BT16" s="151" t="s">
        <v>149</v>
      </c>
      <c r="BU16">
        <v>0</v>
      </c>
      <c r="BV16" s="151" t="s">
        <v>149</v>
      </c>
      <c r="BW16" s="151" t="s">
        <v>149</v>
      </c>
      <c r="BX16" s="133">
        <v>31.759999688085422</v>
      </c>
      <c r="BY16" t="s">
        <v>210</v>
      </c>
      <c r="BZ16">
        <v>3</v>
      </c>
      <c r="CA16">
        <v>3</v>
      </c>
      <c r="CB16" s="151" t="s">
        <v>149</v>
      </c>
      <c r="CC16" s="133">
        <v>4.4680780939024105</v>
      </c>
      <c r="CD16" t="s">
        <v>210</v>
      </c>
      <c r="CE16" s="141">
        <f t="shared" si="6"/>
        <v>6.7021171408536154E-2</v>
      </c>
      <c r="CF16" s="141">
        <f t="shared" si="7"/>
        <v>6.7021171408536154E-2</v>
      </c>
      <c r="CG16" s="151" t="s">
        <v>149</v>
      </c>
      <c r="CH16" t="s">
        <v>211</v>
      </c>
      <c r="CI16" s="151">
        <v>3.43</v>
      </c>
      <c r="CJ16" t="s">
        <v>214</v>
      </c>
      <c r="CK16" s="151" t="s">
        <v>149</v>
      </c>
      <c r="CL16" s="151" t="s">
        <v>149</v>
      </c>
      <c r="CM16" s="151" t="s">
        <v>149</v>
      </c>
      <c r="CN16" t="s">
        <v>149</v>
      </c>
      <c r="CO16" t="s">
        <v>149</v>
      </c>
      <c r="CP16" t="s">
        <v>149</v>
      </c>
      <c r="CQ16" t="s">
        <v>149</v>
      </c>
      <c r="CR16" t="s">
        <v>149</v>
      </c>
      <c r="CS16" t="s">
        <v>149</v>
      </c>
      <c r="CT16" t="s">
        <v>149</v>
      </c>
      <c r="CU16">
        <v>35</v>
      </c>
      <c r="CV16" t="s">
        <v>212</v>
      </c>
      <c r="CW16">
        <v>3</v>
      </c>
      <c r="CX16" t="s">
        <v>213</v>
      </c>
      <c r="CY16">
        <v>14</v>
      </c>
      <c r="CZ16" s="151" t="s">
        <v>149</v>
      </c>
      <c r="DA16" s="151" t="s">
        <v>149</v>
      </c>
      <c r="DB16" s="144" t="s">
        <v>214</v>
      </c>
      <c r="DC16" s="144">
        <v>45</v>
      </c>
      <c r="DD16" s="151" t="s">
        <v>149</v>
      </c>
      <c r="DE16" s="151" t="s">
        <v>149</v>
      </c>
      <c r="DF16" t="s">
        <v>214</v>
      </c>
      <c r="DG16" s="151" t="s">
        <v>149</v>
      </c>
      <c r="DH16" s="151" t="s">
        <v>149</v>
      </c>
      <c r="DI16" s="151" t="s">
        <v>149</v>
      </c>
      <c r="DJ16" s="151" t="s">
        <v>149</v>
      </c>
      <c r="DK16">
        <v>432.6</v>
      </c>
      <c r="DL16" s="151" t="s">
        <v>149</v>
      </c>
      <c r="DM16" s="151" t="s">
        <v>149</v>
      </c>
      <c r="DN16" s="151" t="s">
        <v>235</v>
      </c>
      <c r="DO16" s="145">
        <v>37.82</v>
      </c>
      <c r="DP16" s="127" t="s">
        <v>210</v>
      </c>
      <c r="DQ16" s="127">
        <v>0.7</v>
      </c>
      <c r="DR16" t="s">
        <v>215</v>
      </c>
      <c r="DS16" t="s">
        <v>151</v>
      </c>
      <c r="DT16" s="151" t="s">
        <v>149</v>
      </c>
      <c r="DU16">
        <v>1.0271999999999999</v>
      </c>
      <c r="DV16" t="s">
        <v>152</v>
      </c>
      <c r="DW16" t="s">
        <v>152</v>
      </c>
      <c r="DX16" t="s">
        <v>155</v>
      </c>
      <c r="DY16" t="s">
        <v>152</v>
      </c>
      <c r="DZ16" t="s">
        <v>152</v>
      </c>
      <c r="EA16" s="151" t="s">
        <v>149</v>
      </c>
      <c r="EB16" s="151" t="s">
        <v>149</v>
      </c>
      <c r="EC16" s="127" t="s">
        <v>216</v>
      </c>
      <c r="ED16" s="127" t="s">
        <v>216</v>
      </c>
      <c r="EE16" s="151" t="s">
        <v>149</v>
      </c>
      <c r="EF16" s="151" t="s">
        <v>149</v>
      </c>
      <c r="EG16" s="151" t="s">
        <v>149</v>
      </c>
      <c r="EH16" t="s">
        <v>217</v>
      </c>
      <c r="EI16" t="s">
        <v>218</v>
      </c>
      <c r="EJ16" t="s">
        <v>215</v>
      </c>
      <c r="EK16" s="145">
        <v>1292</v>
      </c>
      <c r="EL16" t="s">
        <v>153</v>
      </c>
      <c r="EM16">
        <v>300</v>
      </c>
      <c r="EN16">
        <v>300</v>
      </c>
      <c r="EO16" s="151" t="s">
        <v>149</v>
      </c>
      <c r="EP16" s="151" t="s">
        <v>149</v>
      </c>
      <c r="EQ16" s="151" t="s">
        <v>149</v>
      </c>
      <c r="ER16" s="151" t="s">
        <v>149</v>
      </c>
      <c r="ES16" s="151" t="s">
        <v>149</v>
      </c>
      <c r="ET16" s="151" t="s">
        <v>149</v>
      </c>
      <c r="EU16" s="151" t="s">
        <v>149</v>
      </c>
      <c r="EV16" s="151" t="s">
        <v>149</v>
      </c>
      <c r="EW16" s="154">
        <f t="shared" si="8"/>
        <v>291.32192885623289</v>
      </c>
      <c r="EX16" s="151">
        <v>25</v>
      </c>
      <c r="EY16" s="151" t="s">
        <v>236</v>
      </c>
      <c r="EZ16" s="142">
        <v>291.32192885623289</v>
      </c>
      <c r="FA16" s="142">
        <v>156.2695062350034</v>
      </c>
      <c r="FB16" s="142">
        <v>110.45210155673195</v>
      </c>
      <c r="FC16" s="151" t="s">
        <v>237</v>
      </c>
      <c r="FD16" t="s">
        <v>219</v>
      </c>
      <c r="FE16" s="151" t="s">
        <v>149</v>
      </c>
      <c r="FF16" s="151" t="s">
        <v>149</v>
      </c>
      <c r="FG16" s="151" t="s">
        <v>149</v>
      </c>
      <c r="FH16" s="151" t="s">
        <v>149</v>
      </c>
      <c r="FI16" s="151" t="s">
        <v>149</v>
      </c>
      <c r="FJ16" s="151" t="s">
        <v>149</v>
      </c>
      <c r="FK16" s="151" t="s">
        <v>149</v>
      </c>
      <c r="FL16" s="151" t="s">
        <v>149</v>
      </c>
      <c r="FM16" s="151" t="s">
        <v>149</v>
      </c>
      <c r="FN16" s="151" t="s">
        <v>149</v>
      </c>
      <c r="FO16" s="151" t="s">
        <v>149</v>
      </c>
      <c r="FP16" s="151" t="s">
        <v>149</v>
      </c>
      <c r="FQ16" s="151" t="s">
        <v>242</v>
      </c>
    </row>
    <row r="17" spans="1:173" ht="19">
      <c r="A17" s="123" t="s">
        <v>148</v>
      </c>
      <c r="B17" t="s">
        <v>163</v>
      </c>
      <c r="C17">
        <v>2014</v>
      </c>
      <c r="D17" t="s">
        <v>165</v>
      </c>
      <c r="E17" s="141">
        <f t="shared" si="9"/>
        <v>15961.98872135551</v>
      </c>
      <c r="F17" s="141" t="str">
        <f t="shared" si="11"/>
        <v>NA</v>
      </c>
      <c r="G17" s="141" t="str">
        <f t="shared" si="12"/>
        <v>NA</v>
      </c>
      <c r="H17" s="128">
        <f t="shared" si="10"/>
        <v>318.05891562533782</v>
      </c>
      <c r="I17" s="128">
        <f t="shared" si="13"/>
        <v>122.23603210994713</v>
      </c>
      <c r="J17" s="128">
        <f t="shared" si="14"/>
        <v>99.131689787077619</v>
      </c>
      <c r="K17" t="s">
        <v>220</v>
      </c>
      <c r="L17" s="153" t="s">
        <v>241</v>
      </c>
      <c r="M17" s="1" t="s">
        <v>164</v>
      </c>
      <c r="N17" t="s">
        <v>165</v>
      </c>
      <c r="O17" s="131">
        <v>761</v>
      </c>
      <c r="P17" t="s">
        <v>166</v>
      </c>
      <c r="Q17" s="132">
        <v>6</v>
      </c>
      <c r="R17" s="132">
        <v>4</v>
      </c>
      <c r="S17" s="142">
        <v>103</v>
      </c>
      <c r="T17">
        <v>105</v>
      </c>
      <c r="U17" s="151" t="s">
        <v>149</v>
      </c>
      <c r="V17" s="134">
        <v>48.63</v>
      </c>
      <c r="W17" s="136" t="s">
        <v>167</v>
      </c>
      <c r="X17" t="s">
        <v>168</v>
      </c>
      <c r="Y17" s="136">
        <v>-16.739722220000001</v>
      </c>
      <c r="Z17" s="127">
        <v>115.53611110999999</v>
      </c>
      <c r="AA17" s="151" t="s">
        <v>149</v>
      </c>
      <c r="AB17" s="151" t="s">
        <v>149</v>
      </c>
      <c r="AC17">
        <v>-2179</v>
      </c>
      <c r="AD17" s="151" t="s">
        <v>149</v>
      </c>
      <c r="AE17" s="151" t="s">
        <v>149</v>
      </c>
      <c r="AF17" s="151" t="s">
        <v>149</v>
      </c>
      <c r="AG17" s="133">
        <v>15961.98872135551</v>
      </c>
      <c r="AH17" s="152" t="s">
        <v>149</v>
      </c>
      <c r="AI17" s="151" t="s">
        <v>149</v>
      </c>
      <c r="AJ17" s="151" t="s">
        <v>149</v>
      </c>
      <c r="AK17" s="138" t="s">
        <v>169</v>
      </c>
      <c r="AL17" s="138" t="s">
        <v>170</v>
      </c>
      <c r="AM17" s="138" t="s">
        <v>171</v>
      </c>
      <c r="AN17" t="s">
        <v>149</v>
      </c>
      <c r="AO17" t="s">
        <v>149</v>
      </c>
      <c r="AP17" t="s">
        <v>149</v>
      </c>
      <c r="AQ17" t="s">
        <v>149</v>
      </c>
      <c r="AR17" t="s">
        <v>149</v>
      </c>
      <c r="AS17" t="s">
        <v>149</v>
      </c>
      <c r="AT17" t="s">
        <v>149</v>
      </c>
      <c r="AU17" t="s">
        <v>172</v>
      </c>
      <c r="AV17" t="s">
        <v>150</v>
      </c>
      <c r="AW17" t="s">
        <v>239</v>
      </c>
      <c r="AX17" t="s">
        <v>240</v>
      </c>
      <c r="AY17" t="s">
        <v>173</v>
      </c>
      <c r="AZ17" t="s">
        <v>174</v>
      </c>
      <c r="BA17" t="s">
        <v>175</v>
      </c>
      <c r="BB17" s="140" t="s">
        <v>188</v>
      </c>
      <c r="BC17">
        <v>2</v>
      </c>
      <c r="BD17" s="141">
        <v>0.32859404533695624</v>
      </c>
      <c r="BE17" s="133">
        <v>15.784123046733134</v>
      </c>
      <c r="BF17" t="s">
        <v>208</v>
      </c>
      <c r="BG17" s="134">
        <v>0.39360005139188314</v>
      </c>
      <c r="BH17">
        <v>0.83299999999999996</v>
      </c>
      <c r="BI17" t="s">
        <v>210</v>
      </c>
      <c r="BJ17" s="152" t="s">
        <v>149</v>
      </c>
      <c r="BK17">
        <v>2.67</v>
      </c>
      <c r="BL17" t="s">
        <v>210</v>
      </c>
      <c r="BM17" s="152" t="s">
        <v>149</v>
      </c>
      <c r="BN17" s="151" t="s">
        <v>238</v>
      </c>
      <c r="BO17" t="s">
        <v>209</v>
      </c>
      <c r="BP17" s="151" t="s">
        <v>149</v>
      </c>
      <c r="BQ17" s="151" t="s">
        <v>149</v>
      </c>
      <c r="BR17" s="151" t="s">
        <v>149</v>
      </c>
      <c r="BS17" s="151" t="s">
        <v>149</v>
      </c>
      <c r="BT17" s="151" t="s">
        <v>149</v>
      </c>
      <c r="BU17">
        <v>0</v>
      </c>
      <c r="BV17" s="151" t="s">
        <v>149</v>
      </c>
      <c r="BW17" s="151" t="s">
        <v>149</v>
      </c>
      <c r="BX17" s="133">
        <v>32.276659611752073</v>
      </c>
      <c r="BY17" t="s">
        <v>210</v>
      </c>
      <c r="BZ17">
        <v>3</v>
      </c>
      <c r="CA17">
        <v>3</v>
      </c>
      <c r="CB17" s="151" t="s">
        <v>149</v>
      </c>
      <c r="CC17" s="133">
        <v>4.6444853459999997</v>
      </c>
      <c r="CD17" t="s">
        <v>210</v>
      </c>
      <c r="CE17" s="141">
        <f t="shared" si="6"/>
        <v>6.966728019E-2</v>
      </c>
      <c r="CF17" s="141">
        <f t="shared" si="7"/>
        <v>6.966728019E-2</v>
      </c>
      <c r="CG17" s="151" t="s">
        <v>149</v>
      </c>
      <c r="CH17" t="s">
        <v>211</v>
      </c>
      <c r="CI17" s="151">
        <v>3.43</v>
      </c>
      <c r="CJ17" t="s">
        <v>214</v>
      </c>
      <c r="CK17" s="151" t="s">
        <v>149</v>
      </c>
      <c r="CL17" s="151" t="s">
        <v>149</v>
      </c>
      <c r="CM17" s="151" t="s">
        <v>149</v>
      </c>
      <c r="CN17" t="s">
        <v>149</v>
      </c>
      <c r="CO17" t="s">
        <v>149</v>
      </c>
      <c r="CP17" t="s">
        <v>149</v>
      </c>
      <c r="CQ17" t="s">
        <v>149</v>
      </c>
      <c r="CR17" t="s">
        <v>149</v>
      </c>
      <c r="CS17" t="s">
        <v>149</v>
      </c>
      <c r="CT17" t="s">
        <v>149</v>
      </c>
      <c r="CU17">
        <v>35</v>
      </c>
      <c r="CV17" t="s">
        <v>212</v>
      </c>
      <c r="CW17">
        <v>3</v>
      </c>
      <c r="CX17" t="s">
        <v>213</v>
      </c>
      <c r="CY17">
        <v>14</v>
      </c>
      <c r="CZ17" s="151" t="s">
        <v>149</v>
      </c>
      <c r="DA17" s="151" t="s">
        <v>149</v>
      </c>
      <c r="DB17" s="144" t="s">
        <v>214</v>
      </c>
      <c r="DC17" s="144">
        <v>45</v>
      </c>
      <c r="DD17" s="151" t="s">
        <v>149</v>
      </c>
      <c r="DE17" s="151" t="s">
        <v>149</v>
      </c>
      <c r="DF17" t="s">
        <v>214</v>
      </c>
      <c r="DG17" s="151" t="s">
        <v>149</v>
      </c>
      <c r="DH17" s="151" t="s">
        <v>149</v>
      </c>
      <c r="DI17" s="151" t="s">
        <v>149</v>
      </c>
      <c r="DJ17" s="151" t="s">
        <v>149</v>
      </c>
      <c r="DK17">
        <v>432.6</v>
      </c>
      <c r="DL17" s="151" t="s">
        <v>149</v>
      </c>
      <c r="DM17" s="151" t="s">
        <v>149</v>
      </c>
      <c r="DN17" s="151" t="s">
        <v>235</v>
      </c>
      <c r="DO17" s="145">
        <v>37.82</v>
      </c>
      <c r="DP17" s="127" t="s">
        <v>210</v>
      </c>
      <c r="DQ17" s="127">
        <v>0.7</v>
      </c>
      <c r="DR17" t="s">
        <v>215</v>
      </c>
      <c r="DS17" t="s">
        <v>151</v>
      </c>
      <c r="DT17" s="151" t="s">
        <v>149</v>
      </c>
      <c r="DU17">
        <v>1.0271999999999999</v>
      </c>
      <c r="DV17" t="s">
        <v>152</v>
      </c>
      <c r="DW17" t="s">
        <v>152</v>
      </c>
      <c r="DX17" t="s">
        <v>155</v>
      </c>
      <c r="DY17" t="s">
        <v>152</v>
      </c>
      <c r="DZ17" t="s">
        <v>152</v>
      </c>
      <c r="EA17" s="151" t="s">
        <v>149</v>
      </c>
      <c r="EB17" s="151" t="s">
        <v>149</v>
      </c>
      <c r="EC17" s="127" t="s">
        <v>216</v>
      </c>
      <c r="ED17" s="127" t="s">
        <v>216</v>
      </c>
      <c r="EE17" s="151" t="s">
        <v>149</v>
      </c>
      <c r="EF17" s="151" t="s">
        <v>149</v>
      </c>
      <c r="EG17" s="151" t="s">
        <v>149</v>
      </c>
      <c r="EH17" t="s">
        <v>217</v>
      </c>
      <c r="EI17" t="s">
        <v>218</v>
      </c>
      <c r="EJ17" t="s">
        <v>215</v>
      </c>
      <c r="EK17">
        <v>1292</v>
      </c>
      <c r="EL17" t="s">
        <v>153</v>
      </c>
      <c r="EM17">
        <v>300</v>
      </c>
      <c r="EN17">
        <v>300</v>
      </c>
      <c r="EO17" s="151" t="s">
        <v>149</v>
      </c>
      <c r="EP17" s="151" t="s">
        <v>149</v>
      </c>
      <c r="EQ17" s="151" t="s">
        <v>149</v>
      </c>
      <c r="ER17" s="151" t="s">
        <v>149</v>
      </c>
      <c r="ES17" s="151" t="s">
        <v>149</v>
      </c>
      <c r="ET17" s="151" t="s">
        <v>149</v>
      </c>
      <c r="EU17" s="151" t="s">
        <v>149</v>
      </c>
      <c r="EV17" s="151" t="s">
        <v>149</v>
      </c>
      <c r="EW17" s="154">
        <f t="shared" si="8"/>
        <v>318.05891562533782</v>
      </c>
      <c r="EX17" s="151">
        <v>25</v>
      </c>
      <c r="EY17" s="151" t="s">
        <v>236</v>
      </c>
      <c r="EZ17" s="142">
        <v>318.05891562533782</v>
      </c>
      <c r="FA17" s="142">
        <v>122.23603210994713</v>
      </c>
      <c r="FB17" s="142">
        <v>99.131689787077619</v>
      </c>
      <c r="FC17" s="151" t="s">
        <v>237</v>
      </c>
      <c r="FD17" t="s">
        <v>219</v>
      </c>
      <c r="FE17" s="151" t="s">
        <v>149</v>
      </c>
      <c r="FF17" s="151" t="s">
        <v>149</v>
      </c>
      <c r="FG17" s="151" t="s">
        <v>149</v>
      </c>
      <c r="FH17" s="151" t="s">
        <v>149</v>
      </c>
      <c r="FI17" s="151" t="s">
        <v>149</v>
      </c>
      <c r="FJ17" s="151" t="s">
        <v>149</v>
      </c>
      <c r="FK17" s="151" t="s">
        <v>149</v>
      </c>
      <c r="FL17" s="151" t="s">
        <v>149</v>
      </c>
      <c r="FM17" s="151" t="s">
        <v>149</v>
      </c>
      <c r="FN17" s="151" t="s">
        <v>149</v>
      </c>
      <c r="FO17" s="151" t="s">
        <v>149</v>
      </c>
      <c r="FP17" s="151" t="s">
        <v>149</v>
      </c>
      <c r="FQ17" s="151" t="s">
        <v>242</v>
      </c>
    </row>
    <row r="18" spans="1:173" ht="19">
      <c r="A18" s="123" t="s">
        <v>148</v>
      </c>
      <c r="B18" t="s">
        <v>163</v>
      </c>
      <c r="C18">
        <v>2014</v>
      </c>
      <c r="D18" t="s">
        <v>165</v>
      </c>
      <c r="E18" s="141">
        <f t="shared" si="9"/>
        <v>15975.907914326057</v>
      </c>
      <c r="F18" s="141" t="str">
        <f t="shared" si="11"/>
        <v>NA</v>
      </c>
      <c r="G18" s="141" t="str">
        <f t="shared" si="12"/>
        <v>NA</v>
      </c>
      <c r="H18" s="128">
        <f t="shared" si="10"/>
        <v>594.50025639070509</v>
      </c>
      <c r="I18" s="128">
        <f t="shared" si="13"/>
        <v>264.27016486268735</v>
      </c>
      <c r="J18" s="128">
        <f t="shared" si="14"/>
        <v>196.71181675193992</v>
      </c>
      <c r="K18" t="s">
        <v>220</v>
      </c>
      <c r="L18" s="153" t="s">
        <v>241</v>
      </c>
      <c r="M18" s="1" t="s">
        <v>164</v>
      </c>
      <c r="N18" t="s">
        <v>165</v>
      </c>
      <c r="O18" s="131">
        <v>761</v>
      </c>
      <c r="P18" t="s">
        <v>166</v>
      </c>
      <c r="Q18" s="132">
        <v>6</v>
      </c>
      <c r="R18" s="132">
        <v>4</v>
      </c>
      <c r="S18" s="142">
        <v>108</v>
      </c>
      <c r="T18">
        <v>110</v>
      </c>
      <c r="U18" s="151" t="s">
        <v>149</v>
      </c>
      <c r="V18" s="134">
        <v>48.68</v>
      </c>
      <c r="W18" s="136" t="s">
        <v>167</v>
      </c>
      <c r="X18" t="s">
        <v>168</v>
      </c>
      <c r="Y18" s="136">
        <v>-16.739722220000001</v>
      </c>
      <c r="Z18" s="127">
        <v>115.53611110999999</v>
      </c>
      <c r="AA18" s="151" t="s">
        <v>149</v>
      </c>
      <c r="AB18" s="151" t="s">
        <v>149</v>
      </c>
      <c r="AC18">
        <v>-2179</v>
      </c>
      <c r="AD18" s="151" t="s">
        <v>149</v>
      </c>
      <c r="AE18" s="151" t="s">
        <v>149</v>
      </c>
      <c r="AF18" s="151" t="s">
        <v>149</v>
      </c>
      <c r="AG18" s="137">
        <v>15975.907914326057</v>
      </c>
      <c r="AH18" s="152" t="s">
        <v>149</v>
      </c>
      <c r="AI18" s="151" t="s">
        <v>149</v>
      </c>
      <c r="AJ18" s="151" t="s">
        <v>149</v>
      </c>
      <c r="AK18" s="138" t="s">
        <v>169</v>
      </c>
      <c r="AL18" s="138" t="s">
        <v>170</v>
      </c>
      <c r="AM18" s="138" t="s">
        <v>171</v>
      </c>
      <c r="AN18" t="s">
        <v>149</v>
      </c>
      <c r="AO18" t="s">
        <v>149</v>
      </c>
      <c r="AP18" t="s">
        <v>149</v>
      </c>
      <c r="AQ18" t="s">
        <v>149</v>
      </c>
      <c r="AR18" t="s">
        <v>149</v>
      </c>
      <c r="AS18" t="s">
        <v>149</v>
      </c>
      <c r="AT18" t="s">
        <v>149</v>
      </c>
      <c r="AU18" t="s">
        <v>172</v>
      </c>
      <c r="AV18" t="s">
        <v>150</v>
      </c>
      <c r="AW18" t="s">
        <v>239</v>
      </c>
      <c r="AX18" t="s">
        <v>240</v>
      </c>
      <c r="AY18" t="s">
        <v>173</v>
      </c>
      <c r="AZ18" t="s">
        <v>174</v>
      </c>
      <c r="BA18" t="s">
        <v>175</v>
      </c>
      <c r="BB18" s="140" t="s">
        <v>189</v>
      </c>
      <c r="BC18">
        <v>2</v>
      </c>
      <c r="BD18" s="141">
        <v>7.6793793805709484E-2</v>
      </c>
      <c r="BE18" s="133">
        <v>14.204490737979834</v>
      </c>
      <c r="BF18" t="s">
        <v>208</v>
      </c>
      <c r="BG18" s="134">
        <v>0.24060180399376774</v>
      </c>
      <c r="BH18">
        <v>0.83299999999999996</v>
      </c>
      <c r="BI18" t="s">
        <v>210</v>
      </c>
      <c r="BJ18" s="152" t="s">
        <v>149</v>
      </c>
      <c r="BK18">
        <v>2.67</v>
      </c>
      <c r="BL18" t="s">
        <v>210</v>
      </c>
      <c r="BM18" s="152" t="s">
        <v>149</v>
      </c>
      <c r="BN18" s="151" t="s">
        <v>238</v>
      </c>
      <c r="BO18" t="s">
        <v>209</v>
      </c>
      <c r="BP18" s="151" t="s">
        <v>149</v>
      </c>
      <c r="BQ18" s="151" t="s">
        <v>149</v>
      </c>
      <c r="BR18" s="151" t="s">
        <v>149</v>
      </c>
      <c r="BS18" s="151" t="s">
        <v>149</v>
      </c>
      <c r="BT18" s="151" t="s">
        <v>149</v>
      </c>
      <c r="BU18">
        <v>0</v>
      </c>
      <c r="BV18" s="151" t="s">
        <v>149</v>
      </c>
      <c r="BW18" s="151" t="s">
        <v>149</v>
      </c>
      <c r="BX18" s="133">
        <v>32.409352497860382</v>
      </c>
      <c r="BY18" t="s">
        <v>210</v>
      </c>
      <c r="BZ18">
        <v>3</v>
      </c>
      <c r="CA18">
        <v>3</v>
      </c>
      <c r="CB18" s="151" t="s">
        <v>149</v>
      </c>
      <c r="CC18" s="133">
        <v>4.745880129115073</v>
      </c>
      <c r="CD18" t="s">
        <v>210</v>
      </c>
      <c r="CE18" s="141">
        <f t="shared" si="6"/>
        <v>7.1188201936726092E-2</v>
      </c>
      <c r="CF18" s="141">
        <f t="shared" si="7"/>
        <v>7.1188201936726092E-2</v>
      </c>
      <c r="CG18" s="151" t="s">
        <v>149</v>
      </c>
      <c r="CH18" t="s">
        <v>211</v>
      </c>
      <c r="CI18" s="151">
        <v>3.43</v>
      </c>
      <c r="CJ18" t="s">
        <v>214</v>
      </c>
      <c r="CK18" s="151" t="s">
        <v>149</v>
      </c>
      <c r="CL18" s="151" t="s">
        <v>149</v>
      </c>
      <c r="CM18" s="151" t="s">
        <v>149</v>
      </c>
      <c r="CN18" t="s">
        <v>149</v>
      </c>
      <c r="CO18" t="s">
        <v>149</v>
      </c>
      <c r="CP18" t="s">
        <v>149</v>
      </c>
      <c r="CQ18" t="s">
        <v>149</v>
      </c>
      <c r="CR18" t="s">
        <v>149</v>
      </c>
      <c r="CS18" t="s">
        <v>149</v>
      </c>
      <c r="CT18" t="s">
        <v>149</v>
      </c>
      <c r="CU18">
        <v>35</v>
      </c>
      <c r="CV18" t="s">
        <v>212</v>
      </c>
      <c r="CW18">
        <v>3</v>
      </c>
      <c r="CX18" t="s">
        <v>213</v>
      </c>
      <c r="CY18">
        <v>14</v>
      </c>
      <c r="CZ18" s="151" t="s">
        <v>149</v>
      </c>
      <c r="DA18" s="151" t="s">
        <v>149</v>
      </c>
      <c r="DB18" s="144" t="s">
        <v>214</v>
      </c>
      <c r="DC18" s="144">
        <v>45</v>
      </c>
      <c r="DD18" s="151" t="s">
        <v>149</v>
      </c>
      <c r="DE18" s="151" t="s">
        <v>149</v>
      </c>
      <c r="DF18" t="s">
        <v>214</v>
      </c>
      <c r="DG18" s="151" t="s">
        <v>149</v>
      </c>
      <c r="DH18" s="151" t="s">
        <v>149</v>
      </c>
      <c r="DI18" s="151" t="s">
        <v>149</v>
      </c>
      <c r="DJ18" s="151" t="s">
        <v>149</v>
      </c>
      <c r="DK18">
        <v>432.6</v>
      </c>
      <c r="DL18" s="151" t="s">
        <v>149</v>
      </c>
      <c r="DM18" s="151" t="s">
        <v>149</v>
      </c>
      <c r="DN18" s="151" t="s">
        <v>235</v>
      </c>
      <c r="DO18" s="145">
        <v>37.82</v>
      </c>
      <c r="DP18" s="127" t="s">
        <v>210</v>
      </c>
      <c r="DQ18" s="127">
        <v>0.7</v>
      </c>
      <c r="DR18" t="s">
        <v>215</v>
      </c>
      <c r="DS18" t="s">
        <v>151</v>
      </c>
      <c r="DT18" s="151" t="s">
        <v>149</v>
      </c>
      <c r="DU18">
        <v>1.0271999999999999</v>
      </c>
      <c r="DV18" t="s">
        <v>152</v>
      </c>
      <c r="DW18" t="s">
        <v>152</v>
      </c>
      <c r="DX18" t="s">
        <v>155</v>
      </c>
      <c r="DY18" t="s">
        <v>152</v>
      </c>
      <c r="DZ18" t="s">
        <v>152</v>
      </c>
      <c r="EA18" s="151" t="s">
        <v>149</v>
      </c>
      <c r="EB18" s="151" t="s">
        <v>149</v>
      </c>
      <c r="EC18" s="127" t="s">
        <v>216</v>
      </c>
      <c r="ED18" s="127" t="s">
        <v>216</v>
      </c>
      <c r="EE18" s="151" t="s">
        <v>149</v>
      </c>
      <c r="EF18" s="151" t="s">
        <v>149</v>
      </c>
      <c r="EG18" s="151" t="s">
        <v>149</v>
      </c>
      <c r="EH18" t="s">
        <v>217</v>
      </c>
      <c r="EI18" t="s">
        <v>218</v>
      </c>
      <c r="EJ18" t="s">
        <v>215</v>
      </c>
      <c r="EK18" s="145">
        <v>1292</v>
      </c>
      <c r="EL18" t="s">
        <v>153</v>
      </c>
      <c r="EM18">
        <v>300</v>
      </c>
      <c r="EN18">
        <v>300</v>
      </c>
      <c r="EO18" s="151" t="s">
        <v>149</v>
      </c>
      <c r="EP18" s="151" t="s">
        <v>149</v>
      </c>
      <c r="EQ18" s="151" t="s">
        <v>149</v>
      </c>
      <c r="ER18" s="151" t="s">
        <v>149</v>
      </c>
      <c r="ES18" s="151" t="s">
        <v>149</v>
      </c>
      <c r="ET18" s="151" t="s">
        <v>149</v>
      </c>
      <c r="EU18" s="151" t="s">
        <v>149</v>
      </c>
      <c r="EV18" s="151" t="s">
        <v>149</v>
      </c>
      <c r="EW18" s="154">
        <f t="shared" si="8"/>
        <v>594.50025639070509</v>
      </c>
      <c r="EX18" s="151">
        <v>25</v>
      </c>
      <c r="EY18" s="151" t="s">
        <v>236</v>
      </c>
      <c r="EZ18" s="142">
        <v>594.50025639070509</v>
      </c>
      <c r="FA18" s="142">
        <v>264.27016486268735</v>
      </c>
      <c r="FB18" s="142">
        <v>196.71181675193992</v>
      </c>
      <c r="FC18" s="151" t="s">
        <v>237</v>
      </c>
      <c r="FD18" t="s">
        <v>219</v>
      </c>
      <c r="FE18" s="151" t="s">
        <v>149</v>
      </c>
      <c r="FF18" s="151" t="s">
        <v>149</v>
      </c>
      <c r="FG18" s="151" t="s">
        <v>149</v>
      </c>
      <c r="FH18" s="151" t="s">
        <v>149</v>
      </c>
      <c r="FI18" s="151" t="s">
        <v>149</v>
      </c>
      <c r="FJ18" s="151" t="s">
        <v>149</v>
      </c>
      <c r="FK18" s="151" t="s">
        <v>149</v>
      </c>
      <c r="FL18" s="151" t="s">
        <v>149</v>
      </c>
      <c r="FM18" s="151" t="s">
        <v>149</v>
      </c>
      <c r="FN18" s="151" t="s">
        <v>149</v>
      </c>
      <c r="FO18" s="151" t="s">
        <v>149</v>
      </c>
      <c r="FP18" s="151" t="s">
        <v>149</v>
      </c>
      <c r="FQ18" s="151" t="s">
        <v>242</v>
      </c>
    </row>
    <row r="19" spans="1:173" ht="19">
      <c r="A19" s="123" t="s">
        <v>148</v>
      </c>
      <c r="B19" t="s">
        <v>163</v>
      </c>
      <c r="C19">
        <v>2014</v>
      </c>
      <c r="D19" t="s">
        <v>165</v>
      </c>
      <c r="E19" s="141">
        <f t="shared" si="9"/>
        <v>15989.885084529078</v>
      </c>
      <c r="F19" s="141" t="str">
        <f t="shared" si="11"/>
        <v>NA</v>
      </c>
      <c r="G19" s="141" t="str">
        <f t="shared" si="12"/>
        <v>NA</v>
      </c>
      <c r="H19" s="128">
        <f t="shared" si="10"/>
        <v>322.45649526296518</v>
      </c>
      <c r="I19" s="128">
        <f t="shared" si="13"/>
        <v>128.56345309972579</v>
      </c>
      <c r="J19" s="128">
        <f t="shared" si="14"/>
        <v>101.96977839344143</v>
      </c>
      <c r="K19" t="s">
        <v>220</v>
      </c>
      <c r="L19" s="153" t="s">
        <v>241</v>
      </c>
      <c r="M19" s="1" t="s">
        <v>164</v>
      </c>
      <c r="N19" t="s">
        <v>165</v>
      </c>
      <c r="O19" s="131">
        <v>761</v>
      </c>
      <c r="P19" t="s">
        <v>166</v>
      </c>
      <c r="Q19" s="132">
        <v>6</v>
      </c>
      <c r="R19" s="132">
        <v>4</v>
      </c>
      <c r="S19" s="142">
        <v>113</v>
      </c>
      <c r="T19">
        <v>115</v>
      </c>
      <c r="U19" s="151" t="s">
        <v>149</v>
      </c>
      <c r="V19" s="134">
        <v>48.73</v>
      </c>
      <c r="W19" s="136" t="s">
        <v>167</v>
      </c>
      <c r="X19" t="s">
        <v>168</v>
      </c>
      <c r="Y19" s="136">
        <v>-16.739722220000001</v>
      </c>
      <c r="Z19" s="127">
        <v>115.53611110999999</v>
      </c>
      <c r="AA19" s="151" t="s">
        <v>149</v>
      </c>
      <c r="AB19" s="151" t="s">
        <v>149</v>
      </c>
      <c r="AC19">
        <v>-2179</v>
      </c>
      <c r="AD19" s="151" t="s">
        <v>149</v>
      </c>
      <c r="AE19" s="151" t="s">
        <v>149</v>
      </c>
      <c r="AF19" s="151" t="s">
        <v>149</v>
      </c>
      <c r="AG19" s="137">
        <v>15989.885084529078</v>
      </c>
      <c r="AH19" s="152" t="s">
        <v>149</v>
      </c>
      <c r="AI19" s="151" t="s">
        <v>149</v>
      </c>
      <c r="AJ19" s="151" t="s">
        <v>149</v>
      </c>
      <c r="AK19" s="138" t="s">
        <v>169</v>
      </c>
      <c r="AL19" s="138" t="s">
        <v>170</v>
      </c>
      <c r="AM19" s="138" t="s">
        <v>171</v>
      </c>
      <c r="AN19" t="s">
        <v>149</v>
      </c>
      <c r="AO19" t="s">
        <v>149</v>
      </c>
      <c r="AP19" t="s">
        <v>149</v>
      </c>
      <c r="AQ19" t="s">
        <v>149</v>
      </c>
      <c r="AR19" t="s">
        <v>149</v>
      </c>
      <c r="AS19" t="s">
        <v>149</v>
      </c>
      <c r="AT19" t="s">
        <v>149</v>
      </c>
      <c r="AU19" t="s">
        <v>172</v>
      </c>
      <c r="AV19" t="s">
        <v>150</v>
      </c>
      <c r="AW19" t="s">
        <v>239</v>
      </c>
      <c r="AX19" t="s">
        <v>240</v>
      </c>
      <c r="AY19" t="s">
        <v>173</v>
      </c>
      <c r="AZ19" t="s">
        <v>174</v>
      </c>
      <c r="BA19" t="s">
        <v>175</v>
      </c>
      <c r="BB19" s="140" t="s">
        <v>190</v>
      </c>
      <c r="BC19">
        <v>2</v>
      </c>
      <c r="BD19" s="141">
        <v>0.18546161790550461</v>
      </c>
      <c r="BE19" s="133">
        <v>15.764546600385135</v>
      </c>
      <c r="BF19" t="s">
        <v>208</v>
      </c>
      <c r="BG19" s="134">
        <v>0.40780331782586954</v>
      </c>
      <c r="BH19">
        <v>0.83299999999999996</v>
      </c>
      <c r="BI19" t="s">
        <v>210</v>
      </c>
      <c r="BJ19" s="152" t="s">
        <v>149</v>
      </c>
      <c r="BK19">
        <v>2.67</v>
      </c>
      <c r="BL19" t="s">
        <v>210</v>
      </c>
      <c r="BM19" s="152" t="s">
        <v>149</v>
      </c>
      <c r="BN19" s="151" t="s">
        <v>238</v>
      </c>
      <c r="BO19" t="s">
        <v>209</v>
      </c>
      <c r="BP19" s="151" t="s">
        <v>149</v>
      </c>
      <c r="BQ19" s="151" t="s">
        <v>149</v>
      </c>
      <c r="BR19" s="151" t="s">
        <v>149</v>
      </c>
      <c r="BS19" s="151" t="s">
        <v>149</v>
      </c>
      <c r="BT19" s="151" t="s">
        <v>149</v>
      </c>
      <c r="BU19">
        <v>0</v>
      </c>
      <c r="BV19" s="151" t="s">
        <v>149</v>
      </c>
      <c r="BW19" s="151" t="s">
        <v>149</v>
      </c>
      <c r="BX19" s="133">
        <v>32.510447440261288</v>
      </c>
      <c r="BY19" t="s">
        <v>210</v>
      </c>
      <c r="BZ19">
        <v>3</v>
      </c>
      <c r="CA19">
        <v>3</v>
      </c>
      <c r="CB19" s="151" t="s">
        <v>149</v>
      </c>
      <c r="CC19" s="133">
        <v>4.7729394729057786</v>
      </c>
      <c r="CD19" t="s">
        <v>210</v>
      </c>
      <c r="CE19" s="141">
        <f t="shared" si="6"/>
        <v>7.1594092093586678E-2</v>
      </c>
      <c r="CF19" s="141">
        <f t="shared" si="7"/>
        <v>7.1594092093586678E-2</v>
      </c>
      <c r="CG19" s="151" t="s">
        <v>149</v>
      </c>
      <c r="CH19" t="s">
        <v>211</v>
      </c>
      <c r="CI19" s="151">
        <v>3.43</v>
      </c>
      <c r="CJ19" t="s">
        <v>214</v>
      </c>
      <c r="CK19" s="151" t="s">
        <v>149</v>
      </c>
      <c r="CL19" s="151" t="s">
        <v>149</v>
      </c>
      <c r="CM19" s="151" t="s">
        <v>149</v>
      </c>
      <c r="CN19" t="s">
        <v>149</v>
      </c>
      <c r="CO19" t="s">
        <v>149</v>
      </c>
      <c r="CP19" t="s">
        <v>149</v>
      </c>
      <c r="CQ19" t="s">
        <v>149</v>
      </c>
      <c r="CR19" t="s">
        <v>149</v>
      </c>
      <c r="CS19" t="s">
        <v>149</v>
      </c>
      <c r="CT19" t="s">
        <v>149</v>
      </c>
      <c r="CU19">
        <v>35</v>
      </c>
      <c r="CV19" t="s">
        <v>212</v>
      </c>
      <c r="CW19">
        <v>3</v>
      </c>
      <c r="CX19" t="s">
        <v>213</v>
      </c>
      <c r="CY19">
        <v>14</v>
      </c>
      <c r="CZ19" s="151" t="s">
        <v>149</v>
      </c>
      <c r="DA19" s="151" t="s">
        <v>149</v>
      </c>
      <c r="DB19" s="144" t="s">
        <v>214</v>
      </c>
      <c r="DC19" s="144">
        <v>45</v>
      </c>
      <c r="DD19" s="151" t="s">
        <v>149</v>
      </c>
      <c r="DE19" s="151" t="s">
        <v>149</v>
      </c>
      <c r="DF19" t="s">
        <v>214</v>
      </c>
      <c r="DG19" s="151" t="s">
        <v>149</v>
      </c>
      <c r="DH19" s="151" t="s">
        <v>149</v>
      </c>
      <c r="DI19" s="151" t="s">
        <v>149</v>
      </c>
      <c r="DJ19" s="151" t="s">
        <v>149</v>
      </c>
      <c r="DK19">
        <v>432.6</v>
      </c>
      <c r="DL19" s="151" t="s">
        <v>149</v>
      </c>
      <c r="DM19" s="151" t="s">
        <v>149</v>
      </c>
      <c r="DN19" s="151" t="s">
        <v>235</v>
      </c>
      <c r="DO19" s="145">
        <v>37.82</v>
      </c>
      <c r="DP19" s="127" t="s">
        <v>210</v>
      </c>
      <c r="DQ19" s="127">
        <v>0.7</v>
      </c>
      <c r="DR19" t="s">
        <v>215</v>
      </c>
      <c r="DS19" t="s">
        <v>151</v>
      </c>
      <c r="DT19" s="151" t="s">
        <v>149</v>
      </c>
      <c r="DU19">
        <v>1.0271999999999999</v>
      </c>
      <c r="DV19" t="s">
        <v>152</v>
      </c>
      <c r="DW19" t="s">
        <v>152</v>
      </c>
      <c r="DX19" t="s">
        <v>155</v>
      </c>
      <c r="DY19" t="s">
        <v>152</v>
      </c>
      <c r="DZ19" t="s">
        <v>152</v>
      </c>
      <c r="EA19" s="151" t="s">
        <v>149</v>
      </c>
      <c r="EB19" s="151" t="s">
        <v>149</v>
      </c>
      <c r="EC19" s="127" t="s">
        <v>216</v>
      </c>
      <c r="ED19" s="127" t="s">
        <v>216</v>
      </c>
      <c r="EE19" s="151" t="s">
        <v>149</v>
      </c>
      <c r="EF19" s="151" t="s">
        <v>149</v>
      </c>
      <c r="EG19" s="151" t="s">
        <v>149</v>
      </c>
      <c r="EH19" t="s">
        <v>217</v>
      </c>
      <c r="EI19" t="s">
        <v>218</v>
      </c>
      <c r="EJ19" t="s">
        <v>215</v>
      </c>
      <c r="EK19">
        <v>1292</v>
      </c>
      <c r="EL19" t="s">
        <v>153</v>
      </c>
      <c r="EM19">
        <v>300</v>
      </c>
      <c r="EN19">
        <v>300</v>
      </c>
      <c r="EO19" s="151" t="s">
        <v>149</v>
      </c>
      <c r="EP19" s="151" t="s">
        <v>149</v>
      </c>
      <c r="EQ19" s="151" t="s">
        <v>149</v>
      </c>
      <c r="ER19" s="151" t="s">
        <v>149</v>
      </c>
      <c r="ES19" s="151" t="s">
        <v>149</v>
      </c>
      <c r="ET19" s="151" t="s">
        <v>149</v>
      </c>
      <c r="EU19" s="151" t="s">
        <v>149</v>
      </c>
      <c r="EV19" s="151" t="s">
        <v>149</v>
      </c>
      <c r="EW19" s="154">
        <f t="shared" si="8"/>
        <v>322.45649526296518</v>
      </c>
      <c r="EX19" s="151">
        <v>25</v>
      </c>
      <c r="EY19" s="151" t="s">
        <v>236</v>
      </c>
      <c r="EZ19" s="142">
        <v>322.45649526296518</v>
      </c>
      <c r="FA19" s="142">
        <v>128.56345309972579</v>
      </c>
      <c r="FB19" s="142">
        <v>101.96977839344143</v>
      </c>
      <c r="FC19" s="151" t="s">
        <v>237</v>
      </c>
      <c r="FD19" t="s">
        <v>219</v>
      </c>
      <c r="FE19" s="151" t="s">
        <v>149</v>
      </c>
      <c r="FF19" s="151" t="s">
        <v>149</v>
      </c>
      <c r="FG19" s="151" t="s">
        <v>149</v>
      </c>
      <c r="FH19" s="151" t="s">
        <v>149</v>
      </c>
      <c r="FI19" s="151" t="s">
        <v>149</v>
      </c>
      <c r="FJ19" s="151" t="s">
        <v>149</v>
      </c>
      <c r="FK19" s="151" t="s">
        <v>149</v>
      </c>
      <c r="FL19" s="151" t="s">
        <v>149</v>
      </c>
      <c r="FM19" s="151" t="s">
        <v>149</v>
      </c>
      <c r="FN19" s="151" t="s">
        <v>149</v>
      </c>
      <c r="FO19" s="151" t="s">
        <v>149</v>
      </c>
      <c r="FP19" s="151" t="s">
        <v>149</v>
      </c>
      <c r="FQ19" s="151" t="s">
        <v>242</v>
      </c>
    </row>
    <row r="20" spans="1:173" ht="19">
      <c r="A20" s="123" t="s">
        <v>148</v>
      </c>
      <c r="B20" t="s">
        <v>163</v>
      </c>
      <c r="C20">
        <v>2014</v>
      </c>
      <c r="D20" t="s">
        <v>165</v>
      </c>
      <c r="E20" s="141">
        <f t="shared" si="9"/>
        <v>16060.729503738799</v>
      </c>
      <c r="F20" s="141" t="str">
        <f t="shared" si="11"/>
        <v>NA</v>
      </c>
      <c r="G20" s="141" t="str">
        <f t="shared" si="12"/>
        <v>NA</v>
      </c>
      <c r="H20" s="128">
        <f t="shared" si="10"/>
        <v>292.61009916498233</v>
      </c>
      <c r="I20" s="128">
        <f t="shared" si="13"/>
        <v>109.79742255179553</v>
      </c>
      <c r="J20" s="128">
        <f t="shared" si="14"/>
        <v>91.451942913352838</v>
      </c>
      <c r="K20" t="s">
        <v>220</v>
      </c>
      <c r="L20" s="153" t="s">
        <v>241</v>
      </c>
      <c r="M20" s="1" t="s">
        <v>164</v>
      </c>
      <c r="N20" t="s">
        <v>165</v>
      </c>
      <c r="O20" s="131">
        <v>761</v>
      </c>
      <c r="P20" t="s">
        <v>166</v>
      </c>
      <c r="Q20" s="132">
        <v>6</v>
      </c>
      <c r="R20" s="132">
        <v>4</v>
      </c>
      <c r="S20" s="142">
        <v>138</v>
      </c>
      <c r="T20">
        <v>140</v>
      </c>
      <c r="U20" s="151" t="s">
        <v>149</v>
      </c>
      <c r="V20" s="134">
        <v>48.98</v>
      </c>
      <c r="W20" s="136" t="s">
        <v>167</v>
      </c>
      <c r="X20" t="s">
        <v>168</v>
      </c>
      <c r="Y20" s="136">
        <v>-16.739722220000001</v>
      </c>
      <c r="Z20" s="127">
        <v>115.53611110999999</v>
      </c>
      <c r="AA20" s="151" t="s">
        <v>149</v>
      </c>
      <c r="AB20" s="151" t="s">
        <v>149</v>
      </c>
      <c r="AC20">
        <v>-2179</v>
      </c>
      <c r="AD20" s="151" t="s">
        <v>149</v>
      </c>
      <c r="AE20" s="151" t="s">
        <v>149</v>
      </c>
      <c r="AF20" s="151" t="s">
        <v>149</v>
      </c>
      <c r="AG20" s="137">
        <v>16060.729503738799</v>
      </c>
      <c r="AH20" s="152" t="s">
        <v>149</v>
      </c>
      <c r="AI20" s="151" t="s">
        <v>149</v>
      </c>
      <c r="AJ20" s="151" t="s">
        <v>149</v>
      </c>
      <c r="AK20" s="138" t="s">
        <v>169</v>
      </c>
      <c r="AL20" s="138" t="s">
        <v>170</v>
      </c>
      <c r="AM20" s="138" t="s">
        <v>171</v>
      </c>
      <c r="AN20" t="s">
        <v>149</v>
      </c>
      <c r="AO20" t="s">
        <v>149</v>
      </c>
      <c r="AP20" t="s">
        <v>149</v>
      </c>
      <c r="AQ20" t="s">
        <v>149</v>
      </c>
      <c r="AR20" t="s">
        <v>149</v>
      </c>
      <c r="AS20" t="s">
        <v>149</v>
      </c>
      <c r="AT20" t="s">
        <v>149</v>
      </c>
      <c r="AU20" t="s">
        <v>172</v>
      </c>
      <c r="AV20" t="s">
        <v>150</v>
      </c>
      <c r="AW20" t="s">
        <v>239</v>
      </c>
      <c r="AX20" t="s">
        <v>240</v>
      </c>
      <c r="AY20" t="s">
        <v>173</v>
      </c>
      <c r="AZ20" t="s">
        <v>174</v>
      </c>
      <c r="BA20" t="s">
        <v>175</v>
      </c>
      <c r="BB20" s="140" t="s">
        <v>191</v>
      </c>
      <c r="BC20">
        <v>2</v>
      </c>
      <c r="BD20" s="141">
        <v>4.1751708923721154E-2</v>
      </c>
      <c r="BE20" s="133">
        <v>15.987555768683066</v>
      </c>
      <c r="BF20" t="s">
        <v>208</v>
      </c>
      <c r="BG20" s="134">
        <v>0.35530911921819097</v>
      </c>
      <c r="BH20">
        <v>0.83299999999999996</v>
      </c>
      <c r="BI20" t="s">
        <v>210</v>
      </c>
      <c r="BJ20" s="152" t="s">
        <v>149</v>
      </c>
      <c r="BK20">
        <v>2.67</v>
      </c>
      <c r="BL20" t="s">
        <v>210</v>
      </c>
      <c r="BM20" s="152" t="s">
        <v>149</v>
      </c>
      <c r="BN20" s="151" t="s">
        <v>238</v>
      </c>
      <c r="BO20" t="s">
        <v>209</v>
      </c>
      <c r="BP20" s="151" t="s">
        <v>149</v>
      </c>
      <c r="BQ20" s="151" t="s">
        <v>149</v>
      </c>
      <c r="BR20" s="151" t="s">
        <v>149</v>
      </c>
      <c r="BS20" s="151" t="s">
        <v>149</v>
      </c>
      <c r="BT20" s="151" t="s">
        <v>149</v>
      </c>
      <c r="BU20">
        <v>0</v>
      </c>
      <c r="BV20" s="151" t="s">
        <v>149</v>
      </c>
      <c r="BW20" s="151" t="s">
        <v>149</v>
      </c>
      <c r="BX20" s="133">
        <v>31.711397209890471</v>
      </c>
      <c r="BY20" t="s">
        <v>210</v>
      </c>
      <c r="BZ20">
        <v>3</v>
      </c>
      <c r="CA20">
        <v>3</v>
      </c>
      <c r="CB20" s="151" t="s">
        <v>149</v>
      </c>
      <c r="CC20" s="133">
        <v>4.4179987667377745</v>
      </c>
      <c r="CD20" t="s">
        <v>210</v>
      </c>
      <c r="CE20" s="141">
        <f t="shared" si="6"/>
        <v>6.626998150106661E-2</v>
      </c>
      <c r="CF20" s="141">
        <f t="shared" si="7"/>
        <v>6.626998150106661E-2</v>
      </c>
      <c r="CG20" s="151" t="s">
        <v>149</v>
      </c>
      <c r="CH20" t="s">
        <v>211</v>
      </c>
      <c r="CI20" s="151">
        <v>3.43</v>
      </c>
      <c r="CJ20" t="s">
        <v>214</v>
      </c>
      <c r="CK20" s="151" t="s">
        <v>149</v>
      </c>
      <c r="CL20" s="151" t="s">
        <v>149</v>
      </c>
      <c r="CM20" s="151" t="s">
        <v>149</v>
      </c>
      <c r="CN20" t="s">
        <v>149</v>
      </c>
      <c r="CO20" t="s">
        <v>149</v>
      </c>
      <c r="CP20" t="s">
        <v>149</v>
      </c>
      <c r="CQ20" t="s">
        <v>149</v>
      </c>
      <c r="CR20" t="s">
        <v>149</v>
      </c>
      <c r="CS20" t="s">
        <v>149</v>
      </c>
      <c r="CT20" t="s">
        <v>149</v>
      </c>
      <c r="CU20">
        <v>35</v>
      </c>
      <c r="CV20" t="s">
        <v>212</v>
      </c>
      <c r="CW20">
        <v>3</v>
      </c>
      <c r="CX20" t="s">
        <v>213</v>
      </c>
      <c r="CY20">
        <v>14</v>
      </c>
      <c r="CZ20" s="151" t="s">
        <v>149</v>
      </c>
      <c r="DA20" s="151" t="s">
        <v>149</v>
      </c>
      <c r="DB20" s="144" t="s">
        <v>214</v>
      </c>
      <c r="DC20" s="144">
        <v>45</v>
      </c>
      <c r="DD20" s="151" t="s">
        <v>149</v>
      </c>
      <c r="DE20" s="151" t="s">
        <v>149</v>
      </c>
      <c r="DF20" t="s">
        <v>214</v>
      </c>
      <c r="DG20" s="151" t="s">
        <v>149</v>
      </c>
      <c r="DH20" s="151" t="s">
        <v>149</v>
      </c>
      <c r="DI20" s="151" t="s">
        <v>149</v>
      </c>
      <c r="DJ20" s="151" t="s">
        <v>149</v>
      </c>
      <c r="DK20">
        <v>432.6</v>
      </c>
      <c r="DL20" s="151" t="s">
        <v>149</v>
      </c>
      <c r="DM20" s="151" t="s">
        <v>149</v>
      </c>
      <c r="DN20" s="151" t="s">
        <v>235</v>
      </c>
      <c r="DO20" s="145">
        <v>37.82</v>
      </c>
      <c r="DP20" s="127" t="s">
        <v>210</v>
      </c>
      <c r="DQ20" s="127">
        <v>0.7</v>
      </c>
      <c r="DR20" t="s">
        <v>215</v>
      </c>
      <c r="DS20" t="s">
        <v>151</v>
      </c>
      <c r="DT20" s="151" t="s">
        <v>149</v>
      </c>
      <c r="DU20">
        <v>1.0271999999999999</v>
      </c>
      <c r="DV20" t="s">
        <v>152</v>
      </c>
      <c r="DW20" t="s">
        <v>152</v>
      </c>
      <c r="DX20" t="s">
        <v>155</v>
      </c>
      <c r="DY20" t="s">
        <v>152</v>
      </c>
      <c r="DZ20" t="s">
        <v>152</v>
      </c>
      <c r="EA20" s="151" t="s">
        <v>149</v>
      </c>
      <c r="EB20" s="151" t="s">
        <v>149</v>
      </c>
      <c r="EC20" s="127" t="s">
        <v>216</v>
      </c>
      <c r="ED20" s="127" t="s">
        <v>216</v>
      </c>
      <c r="EE20" s="151" t="s">
        <v>149</v>
      </c>
      <c r="EF20" s="151" t="s">
        <v>149</v>
      </c>
      <c r="EG20" s="151" t="s">
        <v>149</v>
      </c>
      <c r="EH20" t="s">
        <v>217</v>
      </c>
      <c r="EI20" t="s">
        <v>218</v>
      </c>
      <c r="EJ20" t="s">
        <v>215</v>
      </c>
      <c r="EK20" s="145">
        <v>1292</v>
      </c>
      <c r="EL20" t="s">
        <v>153</v>
      </c>
      <c r="EM20">
        <v>300</v>
      </c>
      <c r="EN20">
        <v>300</v>
      </c>
      <c r="EO20" s="151" t="s">
        <v>149</v>
      </c>
      <c r="EP20" s="151" t="s">
        <v>149</v>
      </c>
      <c r="EQ20" s="151" t="s">
        <v>149</v>
      </c>
      <c r="ER20" s="151" t="s">
        <v>149</v>
      </c>
      <c r="ES20" s="151" t="s">
        <v>149</v>
      </c>
      <c r="ET20" s="151" t="s">
        <v>149</v>
      </c>
      <c r="EU20" s="151" t="s">
        <v>149</v>
      </c>
      <c r="EV20" s="151" t="s">
        <v>149</v>
      </c>
      <c r="EW20" s="154">
        <f t="shared" si="8"/>
        <v>292.61009916498233</v>
      </c>
      <c r="EX20" s="151">
        <v>25</v>
      </c>
      <c r="EY20" s="151" t="s">
        <v>236</v>
      </c>
      <c r="EZ20" s="142">
        <v>292.61009916498233</v>
      </c>
      <c r="FA20" s="142">
        <v>109.79742255179553</v>
      </c>
      <c r="FB20" s="142">
        <v>91.451942913352838</v>
      </c>
      <c r="FC20" s="151" t="s">
        <v>237</v>
      </c>
      <c r="FD20" t="s">
        <v>219</v>
      </c>
      <c r="FE20" s="151" t="s">
        <v>149</v>
      </c>
      <c r="FF20" s="151" t="s">
        <v>149</v>
      </c>
      <c r="FG20" s="151" t="s">
        <v>149</v>
      </c>
      <c r="FH20" s="151" t="s">
        <v>149</v>
      </c>
      <c r="FI20" s="151" t="s">
        <v>149</v>
      </c>
      <c r="FJ20" s="151" t="s">
        <v>149</v>
      </c>
      <c r="FK20" s="151" t="s">
        <v>149</v>
      </c>
      <c r="FL20" s="151" t="s">
        <v>149</v>
      </c>
      <c r="FM20" s="151" t="s">
        <v>149</v>
      </c>
      <c r="FN20" s="151" t="s">
        <v>149</v>
      </c>
      <c r="FO20" s="151" t="s">
        <v>149</v>
      </c>
      <c r="FP20" s="151" t="s">
        <v>149</v>
      </c>
      <c r="FQ20" s="151" t="s">
        <v>242</v>
      </c>
    </row>
    <row r="21" spans="1:173" ht="19">
      <c r="A21" s="123" t="s">
        <v>148</v>
      </c>
      <c r="B21" t="s">
        <v>163</v>
      </c>
      <c r="C21">
        <v>2014</v>
      </c>
      <c r="D21" t="s">
        <v>165</v>
      </c>
      <c r="E21" s="141">
        <f t="shared" si="9"/>
        <v>16118.711724614514</v>
      </c>
      <c r="F21" s="141" t="str">
        <f t="shared" si="11"/>
        <v>NA</v>
      </c>
      <c r="G21" s="141" t="str">
        <f t="shared" si="12"/>
        <v>NA</v>
      </c>
      <c r="H21" s="128">
        <f t="shared" si="10"/>
        <v>405.70326288947649</v>
      </c>
      <c r="I21" s="128">
        <f t="shared" si="13"/>
        <v>195.19097212615782</v>
      </c>
      <c r="J21" s="128">
        <f t="shared" si="14"/>
        <v>143.35332724028535</v>
      </c>
      <c r="K21" t="s">
        <v>220</v>
      </c>
      <c r="L21" s="153" t="s">
        <v>241</v>
      </c>
      <c r="M21" s="1" t="s">
        <v>164</v>
      </c>
      <c r="N21" t="s">
        <v>165</v>
      </c>
      <c r="O21" s="131">
        <v>761</v>
      </c>
      <c r="P21" t="s">
        <v>166</v>
      </c>
      <c r="Q21" s="132">
        <v>6</v>
      </c>
      <c r="R21" s="132">
        <v>5</v>
      </c>
      <c r="S21" s="142">
        <v>8</v>
      </c>
      <c r="T21">
        <v>10</v>
      </c>
      <c r="U21" s="151" t="s">
        <v>149</v>
      </c>
      <c r="V21" s="134">
        <v>49.18</v>
      </c>
      <c r="W21" s="136" t="s">
        <v>167</v>
      </c>
      <c r="X21" t="s">
        <v>168</v>
      </c>
      <c r="Y21" s="136">
        <v>-16.739722220000001</v>
      </c>
      <c r="Z21" s="127">
        <v>115.53611110999999</v>
      </c>
      <c r="AA21" s="151" t="s">
        <v>149</v>
      </c>
      <c r="AB21" s="151" t="s">
        <v>149</v>
      </c>
      <c r="AC21">
        <v>-2179</v>
      </c>
      <c r="AD21" s="151" t="s">
        <v>149</v>
      </c>
      <c r="AE21" s="151" t="s">
        <v>149</v>
      </c>
      <c r="AF21" s="151" t="s">
        <v>149</v>
      </c>
      <c r="AG21" s="137">
        <v>16118.711724614514</v>
      </c>
      <c r="AH21" s="152" t="s">
        <v>149</v>
      </c>
      <c r="AI21" s="151" t="s">
        <v>149</v>
      </c>
      <c r="AJ21" s="151" t="s">
        <v>149</v>
      </c>
      <c r="AK21" s="138" t="s">
        <v>169</v>
      </c>
      <c r="AL21" s="138" t="s">
        <v>170</v>
      </c>
      <c r="AM21" s="138" t="s">
        <v>171</v>
      </c>
      <c r="AN21" t="s">
        <v>149</v>
      </c>
      <c r="AO21" t="s">
        <v>149</v>
      </c>
      <c r="AP21" t="s">
        <v>149</v>
      </c>
      <c r="AQ21" t="s">
        <v>149</v>
      </c>
      <c r="AR21" t="s">
        <v>149</v>
      </c>
      <c r="AS21" t="s">
        <v>149</v>
      </c>
      <c r="AT21" t="s">
        <v>149</v>
      </c>
      <c r="AU21" t="s">
        <v>172</v>
      </c>
      <c r="AV21" t="s">
        <v>150</v>
      </c>
      <c r="AW21" t="s">
        <v>239</v>
      </c>
      <c r="AX21" t="s">
        <v>240</v>
      </c>
      <c r="AY21" t="s">
        <v>173</v>
      </c>
      <c r="AZ21" t="s">
        <v>174</v>
      </c>
      <c r="BA21" t="s">
        <v>175</v>
      </c>
      <c r="BB21" s="140" t="s">
        <v>192</v>
      </c>
      <c r="BC21">
        <v>2</v>
      </c>
      <c r="BD21" s="141">
        <v>0.92004079187905852</v>
      </c>
      <c r="BE21" s="133">
        <v>15.058872043045291</v>
      </c>
      <c r="BF21" t="s">
        <v>208</v>
      </c>
      <c r="BG21" s="134">
        <v>0.62693530199986136</v>
      </c>
      <c r="BH21">
        <v>0.83299999999999996</v>
      </c>
      <c r="BI21" t="s">
        <v>210</v>
      </c>
      <c r="BJ21" s="152" t="s">
        <v>149</v>
      </c>
      <c r="BK21">
        <v>2.67</v>
      </c>
      <c r="BL21" t="s">
        <v>210</v>
      </c>
      <c r="BM21" s="152" t="s">
        <v>149</v>
      </c>
      <c r="BN21" s="151" t="s">
        <v>238</v>
      </c>
      <c r="BO21" t="s">
        <v>209</v>
      </c>
      <c r="BP21" s="151" t="s">
        <v>149</v>
      </c>
      <c r="BQ21" s="151" t="s">
        <v>149</v>
      </c>
      <c r="BR21" s="151" t="s">
        <v>149</v>
      </c>
      <c r="BS21" s="151" t="s">
        <v>149</v>
      </c>
      <c r="BT21" s="151" t="s">
        <v>149</v>
      </c>
      <c r="BU21">
        <v>0</v>
      </c>
      <c r="BV21" s="151" t="s">
        <v>149</v>
      </c>
      <c r="BW21" s="151" t="s">
        <v>149</v>
      </c>
      <c r="BX21" s="133">
        <v>31.359441137999497</v>
      </c>
      <c r="BY21" t="s">
        <v>210</v>
      </c>
      <c r="BZ21">
        <v>3</v>
      </c>
      <c r="CA21">
        <v>3</v>
      </c>
      <c r="CB21" s="151" t="s">
        <v>149</v>
      </c>
      <c r="CC21" s="133">
        <v>4.2626341395242289</v>
      </c>
      <c r="CD21" t="s">
        <v>210</v>
      </c>
      <c r="CE21" s="141">
        <f t="shared" si="6"/>
        <v>6.3939512092863429E-2</v>
      </c>
      <c r="CF21" s="141">
        <f t="shared" si="7"/>
        <v>6.3939512092863429E-2</v>
      </c>
      <c r="CG21" s="151" t="s">
        <v>149</v>
      </c>
      <c r="CH21" t="s">
        <v>211</v>
      </c>
      <c r="CI21" s="151">
        <v>3.43</v>
      </c>
      <c r="CJ21" t="s">
        <v>214</v>
      </c>
      <c r="CK21" s="151" t="s">
        <v>149</v>
      </c>
      <c r="CL21" s="151" t="s">
        <v>149</v>
      </c>
      <c r="CM21" s="151" t="s">
        <v>149</v>
      </c>
      <c r="CN21" t="s">
        <v>149</v>
      </c>
      <c r="CO21" t="s">
        <v>149</v>
      </c>
      <c r="CP21" t="s">
        <v>149</v>
      </c>
      <c r="CQ21" t="s">
        <v>149</v>
      </c>
      <c r="CR21" t="s">
        <v>149</v>
      </c>
      <c r="CS21" t="s">
        <v>149</v>
      </c>
      <c r="CT21" t="s">
        <v>149</v>
      </c>
      <c r="CU21">
        <v>35</v>
      </c>
      <c r="CV21" t="s">
        <v>212</v>
      </c>
      <c r="CW21">
        <v>3</v>
      </c>
      <c r="CX21" t="s">
        <v>213</v>
      </c>
      <c r="CY21">
        <v>14</v>
      </c>
      <c r="CZ21" s="151" t="s">
        <v>149</v>
      </c>
      <c r="DA21" s="151" t="s">
        <v>149</v>
      </c>
      <c r="DB21" s="144" t="s">
        <v>214</v>
      </c>
      <c r="DC21" s="144">
        <v>45</v>
      </c>
      <c r="DD21" s="151" t="s">
        <v>149</v>
      </c>
      <c r="DE21" s="151" t="s">
        <v>149</v>
      </c>
      <c r="DF21" t="s">
        <v>214</v>
      </c>
      <c r="DG21" s="151" t="s">
        <v>149</v>
      </c>
      <c r="DH21" s="151" t="s">
        <v>149</v>
      </c>
      <c r="DI21" s="151" t="s">
        <v>149</v>
      </c>
      <c r="DJ21" s="151" t="s">
        <v>149</v>
      </c>
      <c r="DK21">
        <v>432.6</v>
      </c>
      <c r="DL21" s="151" t="s">
        <v>149</v>
      </c>
      <c r="DM21" s="151" t="s">
        <v>149</v>
      </c>
      <c r="DN21" s="151" t="s">
        <v>235</v>
      </c>
      <c r="DO21" s="145">
        <v>37.82</v>
      </c>
      <c r="DP21" s="127" t="s">
        <v>210</v>
      </c>
      <c r="DQ21" s="127">
        <v>0.7</v>
      </c>
      <c r="DR21" t="s">
        <v>215</v>
      </c>
      <c r="DS21" t="s">
        <v>151</v>
      </c>
      <c r="DT21" s="151" t="s">
        <v>149</v>
      </c>
      <c r="DU21">
        <v>1.0271999999999999</v>
      </c>
      <c r="DV21" t="s">
        <v>152</v>
      </c>
      <c r="DW21" t="s">
        <v>152</v>
      </c>
      <c r="DX21" t="s">
        <v>155</v>
      </c>
      <c r="DY21" t="s">
        <v>152</v>
      </c>
      <c r="DZ21" t="s">
        <v>152</v>
      </c>
      <c r="EA21" s="151" t="s">
        <v>149</v>
      </c>
      <c r="EB21" s="151" t="s">
        <v>149</v>
      </c>
      <c r="EC21" s="127" t="s">
        <v>216</v>
      </c>
      <c r="ED21" s="127" t="s">
        <v>216</v>
      </c>
      <c r="EE21" s="151" t="s">
        <v>149</v>
      </c>
      <c r="EF21" s="151" t="s">
        <v>149</v>
      </c>
      <c r="EG21" s="151" t="s">
        <v>149</v>
      </c>
      <c r="EH21" t="s">
        <v>217</v>
      </c>
      <c r="EI21" t="s">
        <v>218</v>
      </c>
      <c r="EJ21" t="s">
        <v>215</v>
      </c>
      <c r="EK21">
        <v>1292</v>
      </c>
      <c r="EL21" t="s">
        <v>153</v>
      </c>
      <c r="EM21">
        <v>300</v>
      </c>
      <c r="EN21">
        <v>300</v>
      </c>
      <c r="EO21" s="151" t="s">
        <v>149</v>
      </c>
      <c r="EP21" s="151" t="s">
        <v>149</v>
      </c>
      <c r="EQ21" s="151" t="s">
        <v>149</v>
      </c>
      <c r="ER21" s="151" t="s">
        <v>149</v>
      </c>
      <c r="ES21" s="151" t="s">
        <v>149</v>
      </c>
      <c r="ET21" s="151" t="s">
        <v>149</v>
      </c>
      <c r="EU21" s="151" t="s">
        <v>149</v>
      </c>
      <c r="EV21" s="151" t="s">
        <v>149</v>
      </c>
      <c r="EW21" s="154">
        <f t="shared" si="8"/>
        <v>405.70326288947649</v>
      </c>
      <c r="EX21" s="151">
        <v>25</v>
      </c>
      <c r="EY21" s="151" t="s">
        <v>236</v>
      </c>
      <c r="EZ21" s="142">
        <v>405.70326288947649</v>
      </c>
      <c r="FA21" s="142">
        <v>195.19097212615782</v>
      </c>
      <c r="FB21" s="142">
        <v>143.35332724028535</v>
      </c>
      <c r="FC21" s="151" t="s">
        <v>237</v>
      </c>
      <c r="FD21" t="s">
        <v>219</v>
      </c>
      <c r="FE21" s="151" t="s">
        <v>149</v>
      </c>
      <c r="FF21" s="151" t="s">
        <v>149</v>
      </c>
      <c r="FG21" s="151" t="s">
        <v>149</v>
      </c>
      <c r="FH21" s="151" t="s">
        <v>149</v>
      </c>
      <c r="FI21" s="151" t="s">
        <v>149</v>
      </c>
      <c r="FJ21" s="151" t="s">
        <v>149</v>
      </c>
      <c r="FK21" s="151" t="s">
        <v>149</v>
      </c>
      <c r="FL21" s="151" t="s">
        <v>149</v>
      </c>
      <c r="FM21" s="151" t="s">
        <v>149</v>
      </c>
      <c r="FN21" s="151" t="s">
        <v>149</v>
      </c>
      <c r="FO21" s="151" t="s">
        <v>149</v>
      </c>
      <c r="FP21" s="151" t="s">
        <v>149</v>
      </c>
      <c r="FQ21" s="151" t="s">
        <v>242</v>
      </c>
    </row>
    <row r="22" spans="1:173" ht="19">
      <c r="A22" s="123" t="s">
        <v>148</v>
      </c>
      <c r="B22" t="s">
        <v>163</v>
      </c>
      <c r="C22">
        <v>2014</v>
      </c>
      <c r="D22" t="s">
        <v>165</v>
      </c>
      <c r="E22" s="141">
        <f t="shared" si="9"/>
        <v>16148.197339099625</v>
      </c>
      <c r="F22" s="141" t="str">
        <f t="shared" si="11"/>
        <v>NA</v>
      </c>
      <c r="G22" s="141" t="str">
        <f t="shared" si="12"/>
        <v>NA</v>
      </c>
      <c r="H22" s="128">
        <f t="shared" si="10"/>
        <v>308.76935724418655</v>
      </c>
      <c r="I22" s="128">
        <f t="shared" si="13"/>
        <v>114.24138221468633</v>
      </c>
      <c r="J22" s="128">
        <f t="shared" si="14"/>
        <v>94.938351275550161</v>
      </c>
      <c r="K22" t="s">
        <v>220</v>
      </c>
      <c r="L22" s="153" t="s">
        <v>241</v>
      </c>
      <c r="M22" s="1" t="s">
        <v>164</v>
      </c>
      <c r="N22" t="s">
        <v>165</v>
      </c>
      <c r="O22" s="131">
        <v>761</v>
      </c>
      <c r="P22" t="s">
        <v>166</v>
      </c>
      <c r="Q22" s="132">
        <v>6</v>
      </c>
      <c r="R22" s="132">
        <v>5</v>
      </c>
      <c r="S22" s="142">
        <v>18</v>
      </c>
      <c r="T22">
        <v>20</v>
      </c>
      <c r="U22" s="151" t="s">
        <v>149</v>
      </c>
      <c r="V22" s="134">
        <v>49.28</v>
      </c>
      <c r="W22" s="136" t="s">
        <v>167</v>
      </c>
      <c r="X22" t="s">
        <v>168</v>
      </c>
      <c r="Y22" s="136">
        <v>-16.739722220000001</v>
      </c>
      <c r="Z22" s="127">
        <v>115.53611110999999</v>
      </c>
      <c r="AA22" s="151" t="s">
        <v>149</v>
      </c>
      <c r="AB22" s="151" t="s">
        <v>149</v>
      </c>
      <c r="AC22">
        <v>-2179</v>
      </c>
      <c r="AD22" s="151" t="s">
        <v>149</v>
      </c>
      <c r="AE22" s="151" t="s">
        <v>149</v>
      </c>
      <c r="AF22" s="151" t="s">
        <v>149</v>
      </c>
      <c r="AG22" s="137">
        <v>16148.197339099625</v>
      </c>
      <c r="AH22" s="152" t="s">
        <v>149</v>
      </c>
      <c r="AI22" s="151" t="s">
        <v>149</v>
      </c>
      <c r="AJ22" s="151" t="s">
        <v>149</v>
      </c>
      <c r="AK22" s="138" t="s">
        <v>169</v>
      </c>
      <c r="AL22" s="138" t="s">
        <v>170</v>
      </c>
      <c r="AM22" s="138" t="s">
        <v>171</v>
      </c>
      <c r="AN22" t="s">
        <v>149</v>
      </c>
      <c r="AO22" t="s">
        <v>149</v>
      </c>
      <c r="AP22" t="s">
        <v>149</v>
      </c>
      <c r="AQ22" t="s">
        <v>149</v>
      </c>
      <c r="AR22" t="s">
        <v>149</v>
      </c>
      <c r="AS22" t="s">
        <v>149</v>
      </c>
      <c r="AT22" t="s">
        <v>149</v>
      </c>
      <c r="AU22" t="s">
        <v>172</v>
      </c>
      <c r="AV22" t="s">
        <v>150</v>
      </c>
      <c r="AW22" t="s">
        <v>239</v>
      </c>
      <c r="AX22" t="s">
        <v>240</v>
      </c>
      <c r="AY22" t="s">
        <v>173</v>
      </c>
      <c r="AZ22" t="s">
        <v>174</v>
      </c>
      <c r="BA22" t="s">
        <v>175</v>
      </c>
      <c r="BB22" s="140" t="s">
        <v>193</v>
      </c>
      <c r="BC22">
        <v>2</v>
      </c>
      <c r="BD22" s="141">
        <v>0.22368753589403489</v>
      </c>
      <c r="BE22" s="133">
        <v>15.86551176033219</v>
      </c>
      <c r="BF22" t="s">
        <v>208</v>
      </c>
      <c r="BG22" s="134">
        <v>0.29383208651235204</v>
      </c>
      <c r="BH22">
        <v>0.83299999999999996</v>
      </c>
      <c r="BI22" t="s">
        <v>210</v>
      </c>
      <c r="BJ22" s="152" t="s">
        <v>149</v>
      </c>
      <c r="BK22">
        <v>2.67</v>
      </c>
      <c r="BL22" t="s">
        <v>210</v>
      </c>
      <c r="BM22" s="152" t="s">
        <v>149</v>
      </c>
      <c r="BN22" s="151" t="s">
        <v>238</v>
      </c>
      <c r="BO22" t="s">
        <v>209</v>
      </c>
      <c r="BP22" s="151" t="s">
        <v>149</v>
      </c>
      <c r="BQ22" s="151" t="s">
        <v>149</v>
      </c>
      <c r="BR22" s="151" t="s">
        <v>149</v>
      </c>
      <c r="BS22" s="151" t="s">
        <v>149</v>
      </c>
      <c r="BT22" s="151" t="s">
        <v>149</v>
      </c>
      <c r="BU22">
        <v>0</v>
      </c>
      <c r="BV22" s="151" t="s">
        <v>149</v>
      </c>
      <c r="BW22" s="151" t="s">
        <v>149</v>
      </c>
      <c r="BX22" s="133">
        <v>32.264306709260651</v>
      </c>
      <c r="BY22" t="s">
        <v>210</v>
      </c>
      <c r="BZ22">
        <v>3</v>
      </c>
      <c r="CA22">
        <v>3</v>
      </c>
      <c r="CB22" s="151" t="s">
        <v>149</v>
      </c>
      <c r="CC22" s="133">
        <v>4.6620797790211803</v>
      </c>
      <c r="CD22" t="s">
        <v>210</v>
      </c>
      <c r="CE22" s="141">
        <f t="shared" si="6"/>
        <v>6.9931196685317706E-2</v>
      </c>
      <c r="CF22" s="141">
        <f t="shared" si="7"/>
        <v>6.9931196685317706E-2</v>
      </c>
      <c r="CG22" s="151" t="s">
        <v>149</v>
      </c>
      <c r="CH22" t="s">
        <v>211</v>
      </c>
      <c r="CI22" s="151">
        <v>3.43</v>
      </c>
      <c r="CJ22" t="s">
        <v>214</v>
      </c>
      <c r="CK22" s="151" t="s">
        <v>149</v>
      </c>
      <c r="CL22" s="151" t="s">
        <v>149</v>
      </c>
      <c r="CM22" s="151" t="s">
        <v>149</v>
      </c>
      <c r="CN22" t="s">
        <v>149</v>
      </c>
      <c r="CO22" t="s">
        <v>149</v>
      </c>
      <c r="CP22" t="s">
        <v>149</v>
      </c>
      <c r="CQ22" t="s">
        <v>149</v>
      </c>
      <c r="CR22" t="s">
        <v>149</v>
      </c>
      <c r="CS22" t="s">
        <v>149</v>
      </c>
      <c r="CT22" t="s">
        <v>149</v>
      </c>
      <c r="CU22">
        <v>35</v>
      </c>
      <c r="CV22" t="s">
        <v>212</v>
      </c>
      <c r="CW22">
        <v>3</v>
      </c>
      <c r="CX22" t="s">
        <v>213</v>
      </c>
      <c r="CY22">
        <v>14</v>
      </c>
      <c r="CZ22" s="151" t="s">
        <v>149</v>
      </c>
      <c r="DA22" s="151" t="s">
        <v>149</v>
      </c>
      <c r="DB22" s="144" t="s">
        <v>214</v>
      </c>
      <c r="DC22" s="144">
        <v>45</v>
      </c>
      <c r="DD22" s="151" t="s">
        <v>149</v>
      </c>
      <c r="DE22" s="151" t="s">
        <v>149</v>
      </c>
      <c r="DF22" t="s">
        <v>214</v>
      </c>
      <c r="DG22" s="151" t="s">
        <v>149</v>
      </c>
      <c r="DH22" s="151" t="s">
        <v>149</v>
      </c>
      <c r="DI22" s="151" t="s">
        <v>149</v>
      </c>
      <c r="DJ22" s="151" t="s">
        <v>149</v>
      </c>
      <c r="DK22">
        <v>432.6</v>
      </c>
      <c r="DL22" s="151" t="s">
        <v>149</v>
      </c>
      <c r="DM22" s="151" t="s">
        <v>149</v>
      </c>
      <c r="DN22" s="151" t="s">
        <v>235</v>
      </c>
      <c r="DO22" s="145">
        <v>37.82</v>
      </c>
      <c r="DP22" s="127" t="s">
        <v>210</v>
      </c>
      <c r="DQ22" s="127">
        <v>0.7</v>
      </c>
      <c r="DR22" t="s">
        <v>215</v>
      </c>
      <c r="DS22" t="s">
        <v>151</v>
      </c>
      <c r="DT22" s="151" t="s">
        <v>149</v>
      </c>
      <c r="DU22">
        <v>1.0271999999999999</v>
      </c>
      <c r="DV22" t="s">
        <v>152</v>
      </c>
      <c r="DW22" t="s">
        <v>152</v>
      </c>
      <c r="DX22" t="s">
        <v>155</v>
      </c>
      <c r="DY22" t="s">
        <v>152</v>
      </c>
      <c r="DZ22" t="s">
        <v>152</v>
      </c>
      <c r="EA22" s="151" t="s">
        <v>149</v>
      </c>
      <c r="EB22" s="151" t="s">
        <v>149</v>
      </c>
      <c r="EC22" s="127" t="s">
        <v>216</v>
      </c>
      <c r="ED22" s="127" t="s">
        <v>216</v>
      </c>
      <c r="EE22" s="151" t="s">
        <v>149</v>
      </c>
      <c r="EF22" s="151" t="s">
        <v>149</v>
      </c>
      <c r="EG22" s="151" t="s">
        <v>149</v>
      </c>
      <c r="EH22" t="s">
        <v>217</v>
      </c>
      <c r="EI22" t="s">
        <v>218</v>
      </c>
      <c r="EJ22" t="s">
        <v>215</v>
      </c>
      <c r="EK22" s="145">
        <v>1292</v>
      </c>
      <c r="EL22" t="s">
        <v>153</v>
      </c>
      <c r="EM22">
        <v>300</v>
      </c>
      <c r="EN22">
        <v>300</v>
      </c>
      <c r="EO22" s="151" t="s">
        <v>149</v>
      </c>
      <c r="EP22" s="151" t="s">
        <v>149</v>
      </c>
      <c r="EQ22" s="151" t="s">
        <v>149</v>
      </c>
      <c r="ER22" s="151" t="s">
        <v>149</v>
      </c>
      <c r="ES22" s="151" t="s">
        <v>149</v>
      </c>
      <c r="ET22" s="151" t="s">
        <v>149</v>
      </c>
      <c r="EU22" s="151" t="s">
        <v>149</v>
      </c>
      <c r="EV22" s="151" t="s">
        <v>149</v>
      </c>
      <c r="EW22" s="154">
        <f t="shared" si="8"/>
        <v>308.76935724418655</v>
      </c>
      <c r="EX22" s="151">
        <v>25</v>
      </c>
      <c r="EY22" s="151" t="s">
        <v>236</v>
      </c>
      <c r="EZ22" s="142">
        <v>308.76935724418655</v>
      </c>
      <c r="FA22" s="142">
        <v>114.24138221468633</v>
      </c>
      <c r="FB22" s="142">
        <v>94.938351275550161</v>
      </c>
      <c r="FC22" s="151" t="s">
        <v>237</v>
      </c>
      <c r="FD22" t="s">
        <v>219</v>
      </c>
      <c r="FE22" s="151" t="s">
        <v>149</v>
      </c>
      <c r="FF22" s="151" t="s">
        <v>149</v>
      </c>
      <c r="FG22" s="151" t="s">
        <v>149</v>
      </c>
      <c r="FH22" s="151" t="s">
        <v>149</v>
      </c>
      <c r="FI22" s="151" t="s">
        <v>149</v>
      </c>
      <c r="FJ22" s="151" t="s">
        <v>149</v>
      </c>
      <c r="FK22" s="151" t="s">
        <v>149</v>
      </c>
      <c r="FL22" s="151" t="s">
        <v>149</v>
      </c>
      <c r="FM22" s="151" t="s">
        <v>149</v>
      </c>
      <c r="FN22" s="151" t="s">
        <v>149</v>
      </c>
      <c r="FO22" s="151" t="s">
        <v>149</v>
      </c>
      <c r="FP22" s="151" t="s">
        <v>149</v>
      </c>
      <c r="FQ22" s="151" t="s">
        <v>242</v>
      </c>
    </row>
    <row r="23" spans="1:173" ht="19">
      <c r="A23" s="123" t="s">
        <v>148</v>
      </c>
      <c r="B23" t="s">
        <v>163</v>
      </c>
      <c r="C23">
        <v>2014</v>
      </c>
      <c r="D23" t="s">
        <v>165</v>
      </c>
      <c r="E23" s="141">
        <f t="shared" si="9"/>
        <v>16178.042038407284</v>
      </c>
      <c r="F23" s="141" t="str">
        <f t="shared" si="11"/>
        <v>NA</v>
      </c>
      <c r="G23" s="141" t="str">
        <f t="shared" si="12"/>
        <v>NA</v>
      </c>
      <c r="H23" s="128">
        <f t="shared" si="10"/>
        <v>270.81731158722891</v>
      </c>
      <c r="I23" s="128">
        <f t="shared" si="13"/>
        <v>102.38724311751241</v>
      </c>
      <c r="J23" s="128">
        <f t="shared" si="14"/>
        <v>83.1930313598385</v>
      </c>
      <c r="K23" t="s">
        <v>220</v>
      </c>
      <c r="L23" s="153" t="s">
        <v>241</v>
      </c>
      <c r="M23" s="1" t="s">
        <v>164</v>
      </c>
      <c r="N23" t="s">
        <v>165</v>
      </c>
      <c r="O23" s="131">
        <v>761</v>
      </c>
      <c r="P23" t="s">
        <v>166</v>
      </c>
      <c r="Q23" s="132">
        <v>6</v>
      </c>
      <c r="R23" s="132">
        <v>5</v>
      </c>
      <c r="S23" s="142">
        <v>28</v>
      </c>
      <c r="T23">
        <v>30</v>
      </c>
      <c r="U23" s="151" t="s">
        <v>149</v>
      </c>
      <c r="V23" s="134">
        <v>49.38</v>
      </c>
      <c r="W23" s="136" t="s">
        <v>167</v>
      </c>
      <c r="X23" t="s">
        <v>168</v>
      </c>
      <c r="Y23" s="136">
        <v>-16.739722220000001</v>
      </c>
      <c r="Z23" s="127">
        <v>115.53611110999999</v>
      </c>
      <c r="AA23" s="151" t="s">
        <v>149</v>
      </c>
      <c r="AB23" s="151" t="s">
        <v>149</v>
      </c>
      <c r="AC23">
        <v>-2179</v>
      </c>
      <c r="AD23" s="151" t="s">
        <v>149</v>
      </c>
      <c r="AE23" s="151" t="s">
        <v>149</v>
      </c>
      <c r="AF23" s="151" t="s">
        <v>149</v>
      </c>
      <c r="AG23" s="133">
        <v>16178.042038407284</v>
      </c>
      <c r="AH23" s="152" t="s">
        <v>149</v>
      </c>
      <c r="AI23" s="151" t="s">
        <v>149</v>
      </c>
      <c r="AJ23" s="151" t="s">
        <v>149</v>
      </c>
      <c r="AK23" s="138" t="s">
        <v>169</v>
      </c>
      <c r="AL23" s="138" t="s">
        <v>170</v>
      </c>
      <c r="AM23" s="138" t="s">
        <v>171</v>
      </c>
      <c r="AN23" t="s">
        <v>149</v>
      </c>
      <c r="AO23" t="s">
        <v>149</v>
      </c>
      <c r="AP23" t="s">
        <v>149</v>
      </c>
      <c r="AQ23" t="s">
        <v>149</v>
      </c>
      <c r="AR23" t="s">
        <v>149</v>
      </c>
      <c r="AS23" t="s">
        <v>149</v>
      </c>
      <c r="AT23" t="s">
        <v>149</v>
      </c>
      <c r="AU23" t="s">
        <v>172</v>
      </c>
      <c r="AV23" t="s">
        <v>150</v>
      </c>
      <c r="AW23" t="s">
        <v>239</v>
      </c>
      <c r="AX23" t="s">
        <v>240</v>
      </c>
      <c r="AY23" t="s">
        <v>173</v>
      </c>
      <c r="AZ23" t="s">
        <v>174</v>
      </c>
      <c r="BA23" t="s">
        <v>175</v>
      </c>
      <c r="BB23" s="140" t="s">
        <v>194</v>
      </c>
      <c r="BC23">
        <v>2</v>
      </c>
      <c r="BD23" s="141">
        <v>0.31663754930222682</v>
      </c>
      <c r="BE23" s="133">
        <v>16.117558769651072</v>
      </c>
      <c r="BF23" t="s">
        <v>208</v>
      </c>
      <c r="BG23" s="134">
        <v>0.32718978573032964</v>
      </c>
      <c r="BH23">
        <v>0.83299999999999996</v>
      </c>
      <c r="BI23" t="s">
        <v>210</v>
      </c>
      <c r="BJ23" s="152" t="s">
        <v>149</v>
      </c>
      <c r="BK23">
        <v>2.67</v>
      </c>
      <c r="BL23" t="s">
        <v>210</v>
      </c>
      <c r="BM23" s="152" t="s">
        <v>149</v>
      </c>
      <c r="BN23" s="151" t="s">
        <v>238</v>
      </c>
      <c r="BO23" t="s">
        <v>209</v>
      </c>
      <c r="BP23" s="151" t="s">
        <v>149</v>
      </c>
      <c r="BQ23" s="151" t="s">
        <v>149</v>
      </c>
      <c r="BR23" s="151" t="s">
        <v>149</v>
      </c>
      <c r="BS23" s="151" t="s">
        <v>149</v>
      </c>
      <c r="BT23" s="151" t="s">
        <v>149</v>
      </c>
      <c r="BU23">
        <v>0</v>
      </c>
      <c r="BV23" s="151" t="s">
        <v>149</v>
      </c>
      <c r="BW23" s="151" t="s">
        <v>149</v>
      </c>
      <c r="BX23" s="133">
        <v>30.5945562697474</v>
      </c>
      <c r="BY23" t="s">
        <v>210</v>
      </c>
      <c r="BZ23">
        <v>3</v>
      </c>
      <c r="CA23">
        <v>3</v>
      </c>
      <c r="CB23" s="151" t="s">
        <v>149</v>
      </c>
      <c r="CC23" s="133">
        <v>3.9930311239999998</v>
      </c>
      <c r="CD23" t="s">
        <v>210</v>
      </c>
      <c r="CE23" s="141">
        <f t="shared" si="6"/>
        <v>5.9895466859999996E-2</v>
      </c>
      <c r="CF23" s="141">
        <f t="shared" si="7"/>
        <v>5.9895466859999996E-2</v>
      </c>
      <c r="CG23" s="151" t="s">
        <v>149</v>
      </c>
      <c r="CH23" t="s">
        <v>211</v>
      </c>
      <c r="CI23" s="151">
        <v>3.43</v>
      </c>
      <c r="CJ23" t="s">
        <v>214</v>
      </c>
      <c r="CK23" s="151" t="s">
        <v>149</v>
      </c>
      <c r="CL23" s="151" t="s">
        <v>149</v>
      </c>
      <c r="CM23" s="151" t="s">
        <v>149</v>
      </c>
      <c r="CN23" t="s">
        <v>149</v>
      </c>
      <c r="CO23" t="s">
        <v>149</v>
      </c>
      <c r="CP23" t="s">
        <v>149</v>
      </c>
      <c r="CQ23" t="s">
        <v>149</v>
      </c>
      <c r="CR23" t="s">
        <v>149</v>
      </c>
      <c r="CS23" t="s">
        <v>149</v>
      </c>
      <c r="CT23" t="s">
        <v>149</v>
      </c>
      <c r="CU23">
        <v>35</v>
      </c>
      <c r="CV23" t="s">
        <v>212</v>
      </c>
      <c r="CW23">
        <v>3</v>
      </c>
      <c r="CX23" t="s">
        <v>213</v>
      </c>
      <c r="CY23">
        <v>14</v>
      </c>
      <c r="CZ23" s="151" t="s">
        <v>149</v>
      </c>
      <c r="DA23" s="151" t="s">
        <v>149</v>
      </c>
      <c r="DB23" s="144" t="s">
        <v>214</v>
      </c>
      <c r="DC23" s="144">
        <v>45</v>
      </c>
      <c r="DD23" s="151" t="s">
        <v>149</v>
      </c>
      <c r="DE23" s="151" t="s">
        <v>149</v>
      </c>
      <c r="DF23" t="s">
        <v>214</v>
      </c>
      <c r="DG23" s="151" t="s">
        <v>149</v>
      </c>
      <c r="DH23" s="151" t="s">
        <v>149</v>
      </c>
      <c r="DI23" s="151" t="s">
        <v>149</v>
      </c>
      <c r="DJ23" s="151" t="s">
        <v>149</v>
      </c>
      <c r="DK23">
        <v>432.6</v>
      </c>
      <c r="DL23" s="151" t="s">
        <v>149</v>
      </c>
      <c r="DM23" s="151" t="s">
        <v>149</v>
      </c>
      <c r="DN23" s="151" t="s">
        <v>235</v>
      </c>
      <c r="DO23" s="145">
        <v>37.82</v>
      </c>
      <c r="DP23" s="127" t="s">
        <v>210</v>
      </c>
      <c r="DQ23" s="127">
        <v>0.7</v>
      </c>
      <c r="DR23" t="s">
        <v>215</v>
      </c>
      <c r="DS23" t="s">
        <v>151</v>
      </c>
      <c r="DT23" s="151" t="s">
        <v>149</v>
      </c>
      <c r="DU23">
        <v>1.0271999999999999</v>
      </c>
      <c r="DV23" t="s">
        <v>152</v>
      </c>
      <c r="DW23" t="s">
        <v>152</v>
      </c>
      <c r="DX23" t="s">
        <v>155</v>
      </c>
      <c r="DY23" t="s">
        <v>152</v>
      </c>
      <c r="DZ23" t="s">
        <v>152</v>
      </c>
      <c r="EA23" s="151" t="s">
        <v>149</v>
      </c>
      <c r="EB23" s="151" t="s">
        <v>149</v>
      </c>
      <c r="EC23" s="127" t="s">
        <v>216</v>
      </c>
      <c r="ED23" s="127" t="s">
        <v>216</v>
      </c>
      <c r="EE23" s="151" t="s">
        <v>149</v>
      </c>
      <c r="EF23" s="151" t="s">
        <v>149</v>
      </c>
      <c r="EG23" s="151" t="s">
        <v>149</v>
      </c>
      <c r="EH23" t="s">
        <v>217</v>
      </c>
      <c r="EI23" t="s">
        <v>218</v>
      </c>
      <c r="EJ23" t="s">
        <v>215</v>
      </c>
      <c r="EK23">
        <v>1292</v>
      </c>
      <c r="EL23" t="s">
        <v>153</v>
      </c>
      <c r="EM23">
        <v>300</v>
      </c>
      <c r="EN23">
        <v>300</v>
      </c>
      <c r="EO23" s="151" t="s">
        <v>149</v>
      </c>
      <c r="EP23" s="151" t="s">
        <v>149</v>
      </c>
      <c r="EQ23" s="151" t="s">
        <v>149</v>
      </c>
      <c r="ER23" s="151" t="s">
        <v>149</v>
      </c>
      <c r="ES23" s="151" t="s">
        <v>149</v>
      </c>
      <c r="ET23" s="151" t="s">
        <v>149</v>
      </c>
      <c r="EU23" s="151" t="s">
        <v>149</v>
      </c>
      <c r="EV23" s="151" t="s">
        <v>149</v>
      </c>
      <c r="EW23" s="154">
        <f t="shared" si="8"/>
        <v>270.81731158722891</v>
      </c>
      <c r="EX23" s="151">
        <v>25</v>
      </c>
      <c r="EY23" s="151" t="s">
        <v>236</v>
      </c>
      <c r="EZ23" s="142">
        <v>270.81731158722891</v>
      </c>
      <c r="FA23" s="142">
        <v>102.38724311751241</v>
      </c>
      <c r="FB23" s="142">
        <v>83.1930313598385</v>
      </c>
      <c r="FC23" s="151" t="s">
        <v>237</v>
      </c>
      <c r="FD23" t="s">
        <v>219</v>
      </c>
      <c r="FE23" s="151" t="s">
        <v>149</v>
      </c>
      <c r="FF23" s="151" t="s">
        <v>149</v>
      </c>
      <c r="FG23" s="151" t="s">
        <v>149</v>
      </c>
      <c r="FH23" s="151" t="s">
        <v>149</v>
      </c>
      <c r="FI23" s="151" t="s">
        <v>149</v>
      </c>
      <c r="FJ23" s="151" t="s">
        <v>149</v>
      </c>
      <c r="FK23" s="151" t="s">
        <v>149</v>
      </c>
      <c r="FL23" s="151" t="s">
        <v>149</v>
      </c>
      <c r="FM23" s="151" t="s">
        <v>149</v>
      </c>
      <c r="FN23" s="151" t="s">
        <v>149</v>
      </c>
      <c r="FO23" s="151" t="s">
        <v>149</v>
      </c>
      <c r="FP23" s="151" t="s">
        <v>149</v>
      </c>
      <c r="FQ23" s="151" t="s">
        <v>242</v>
      </c>
    </row>
    <row r="24" spans="1:173" ht="19">
      <c r="A24" s="123" t="s">
        <v>148</v>
      </c>
      <c r="B24" t="s">
        <v>163</v>
      </c>
      <c r="C24">
        <v>2014</v>
      </c>
      <c r="D24" t="s">
        <v>165</v>
      </c>
      <c r="E24" s="141">
        <f t="shared" si="9"/>
        <v>16208.268366983475</v>
      </c>
      <c r="F24" s="141" t="str">
        <f t="shared" si="11"/>
        <v>NA</v>
      </c>
      <c r="G24" s="141" t="str">
        <f t="shared" si="12"/>
        <v>NA</v>
      </c>
      <c r="H24" s="128">
        <f t="shared" si="10"/>
        <v>236.08693345996974</v>
      </c>
      <c r="I24" s="128">
        <f t="shared" si="13"/>
        <v>101.79943923559276</v>
      </c>
      <c r="J24" s="128">
        <f t="shared" si="14"/>
        <v>78.627437165000373</v>
      </c>
      <c r="K24" t="s">
        <v>220</v>
      </c>
      <c r="L24" s="153" t="s">
        <v>241</v>
      </c>
      <c r="M24" s="1" t="s">
        <v>164</v>
      </c>
      <c r="N24" t="s">
        <v>165</v>
      </c>
      <c r="O24" s="131">
        <v>761</v>
      </c>
      <c r="P24" t="s">
        <v>166</v>
      </c>
      <c r="Q24" s="132">
        <v>6</v>
      </c>
      <c r="R24" s="132">
        <v>5</v>
      </c>
      <c r="S24" s="142">
        <v>38</v>
      </c>
      <c r="T24">
        <v>40</v>
      </c>
      <c r="U24" s="151" t="s">
        <v>149</v>
      </c>
      <c r="V24" s="134">
        <v>49.48</v>
      </c>
      <c r="W24" s="136" t="s">
        <v>167</v>
      </c>
      <c r="X24" t="s">
        <v>168</v>
      </c>
      <c r="Y24" s="136">
        <v>-16.739722220000001</v>
      </c>
      <c r="Z24" s="127">
        <v>115.53611110999999</v>
      </c>
      <c r="AA24" s="151" t="s">
        <v>149</v>
      </c>
      <c r="AB24" s="151" t="s">
        <v>149</v>
      </c>
      <c r="AC24">
        <v>-2179</v>
      </c>
      <c r="AD24" s="151" t="s">
        <v>149</v>
      </c>
      <c r="AE24" s="151" t="s">
        <v>149</v>
      </c>
      <c r="AF24" s="151" t="s">
        <v>149</v>
      </c>
      <c r="AG24" s="137">
        <v>16208.268366983475</v>
      </c>
      <c r="AH24" s="152" t="s">
        <v>149</v>
      </c>
      <c r="AI24" s="151" t="s">
        <v>149</v>
      </c>
      <c r="AJ24" s="151" t="s">
        <v>149</v>
      </c>
      <c r="AK24" s="138" t="s">
        <v>169</v>
      </c>
      <c r="AL24" s="138" t="s">
        <v>170</v>
      </c>
      <c r="AM24" s="138" t="s">
        <v>171</v>
      </c>
      <c r="AN24" t="s">
        <v>149</v>
      </c>
      <c r="AO24" t="s">
        <v>149</v>
      </c>
      <c r="AP24" t="s">
        <v>149</v>
      </c>
      <c r="AQ24" t="s">
        <v>149</v>
      </c>
      <c r="AR24" t="s">
        <v>149</v>
      </c>
      <c r="AS24" t="s">
        <v>149</v>
      </c>
      <c r="AT24" t="s">
        <v>149</v>
      </c>
      <c r="AU24" t="s">
        <v>172</v>
      </c>
      <c r="AV24" t="s">
        <v>150</v>
      </c>
      <c r="AW24" t="s">
        <v>239</v>
      </c>
      <c r="AX24" t="s">
        <v>240</v>
      </c>
      <c r="AY24" t="s">
        <v>173</v>
      </c>
      <c r="AZ24" t="s">
        <v>174</v>
      </c>
      <c r="BA24" t="s">
        <v>175</v>
      </c>
      <c r="BB24" s="140" t="s">
        <v>195</v>
      </c>
      <c r="BC24">
        <v>2</v>
      </c>
      <c r="BD24" s="141">
        <v>0.41966815912346789</v>
      </c>
      <c r="BE24" s="133">
        <v>16.560188204400315</v>
      </c>
      <c r="BF24" t="s">
        <v>208</v>
      </c>
      <c r="BG24" s="134">
        <v>0.68974662878837512</v>
      </c>
      <c r="BH24">
        <v>0.83299999999999996</v>
      </c>
      <c r="BI24" t="s">
        <v>210</v>
      </c>
      <c r="BJ24" s="152" t="s">
        <v>149</v>
      </c>
      <c r="BK24">
        <v>2.67</v>
      </c>
      <c r="BL24" t="s">
        <v>210</v>
      </c>
      <c r="BM24" s="152" t="s">
        <v>149</v>
      </c>
      <c r="BN24" s="151" t="s">
        <v>238</v>
      </c>
      <c r="BO24" t="s">
        <v>209</v>
      </c>
      <c r="BP24" s="151" t="s">
        <v>149</v>
      </c>
      <c r="BQ24" s="151" t="s">
        <v>149</v>
      </c>
      <c r="BR24" s="151" t="s">
        <v>149</v>
      </c>
      <c r="BS24" s="151" t="s">
        <v>149</v>
      </c>
      <c r="BT24" s="151" t="s">
        <v>149</v>
      </c>
      <c r="BU24">
        <v>0</v>
      </c>
      <c r="BV24" s="151" t="s">
        <v>149</v>
      </c>
      <c r="BW24" s="151" t="s">
        <v>149</v>
      </c>
      <c r="BX24" s="133">
        <v>30.595558241029096</v>
      </c>
      <c r="BY24" t="s">
        <v>210</v>
      </c>
      <c r="BZ24">
        <v>3</v>
      </c>
      <c r="CA24">
        <v>3</v>
      </c>
      <c r="CB24" s="151" t="s">
        <v>149</v>
      </c>
      <c r="CC24" s="133">
        <v>3.9690034807890751</v>
      </c>
      <c r="CD24" t="s">
        <v>210</v>
      </c>
      <c r="CE24" s="141">
        <f t="shared" si="6"/>
        <v>5.9535052211836123E-2</v>
      </c>
      <c r="CF24" s="141">
        <f t="shared" si="7"/>
        <v>5.9535052211836123E-2</v>
      </c>
      <c r="CG24" s="151" t="s">
        <v>149</v>
      </c>
      <c r="CH24" t="s">
        <v>211</v>
      </c>
      <c r="CI24" s="151">
        <v>3.43</v>
      </c>
      <c r="CJ24" t="s">
        <v>214</v>
      </c>
      <c r="CK24" s="151" t="s">
        <v>149</v>
      </c>
      <c r="CL24" s="151" t="s">
        <v>149</v>
      </c>
      <c r="CM24" s="151" t="s">
        <v>149</v>
      </c>
      <c r="CN24" t="s">
        <v>149</v>
      </c>
      <c r="CO24" t="s">
        <v>149</v>
      </c>
      <c r="CP24" t="s">
        <v>149</v>
      </c>
      <c r="CQ24" t="s">
        <v>149</v>
      </c>
      <c r="CR24" t="s">
        <v>149</v>
      </c>
      <c r="CS24" t="s">
        <v>149</v>
      </c>
      <c r="CT24" t="s">
        <v>149</v>
      </c>
      <c r="CU24">
        <v>35</v>
      </c>
      <c r="CV24" t="s">
        <v>212</v>
      </c>
      <c r="CW24">
        <v>3</v>
      </c>
      <c r="CX24" t="s">
        <v>213</v>
      </c>
      <c r="CY24">
        <v>14</v>
      </c>
      <c r="CZ24" s="151" t="s">
        <v>149</v>
      </c>
      <c r="DA24" s="151" t="s">
        <v>149</v>
      </c>
      <c r="DB24" s="144" t="s">
        <v>214</v>
      </c>
      <c r="DC24" s="144">
        <v>45</v>
      </c>
      <c r="DD24" s="151" t="s">
        <v>149</v>
      </c>
      <c r="DE24" s="151" t="s">
        <v>149</v>
      </c>
      <c r="DF24" t="s">
        <v>214</v>
      </c>
      <c r="DG24" s="151" t="s">
        <v>149</v>
      </c>
      <c r="DH24" s="151" t="s">
        <v>149</v>
      </c>
      <c r="DI24" s="151" t="s">
        <v>149</v>
      </c>
      <c r="DJ24" s="151" t="s">
        <v>149</v>
      </c>
      <c r="DK24">
        <v>432.6</v>
      </c>
      <c r="DL24" s="151" t="s">
        <v>149</v>
      </c>
      <c r="DM24" s="151" t="s">
        <v>149</v>
      </c>
      <c r="DN24" s="151" t="s">
        <v>235</v>
      </c>
      <c r="DO24" s="145">
        <v>37.82</v>
      </c>
      <c r="DP24" s="127" t="s">
        <v>210</v>
      </c>
      <c r="DQ24" s="127">
        <v>0.7</v>
      </c>
      <c r="DR24" t="s">
        <v>215</v>
      </c>
      <c r="DS24" t="s">
        <v>151</v>
      </c>
      <c r="DT24" s="151" t="s">
        <v>149</v>
      </c>
      <c r="DU24">
        <v>1.0271999999999999</v>
      </c>
      <c r="DV24" t="s">
        <v>152</v>
      </c>
      <c r="DW24" t="s">
        <v>152</v>
      </c>
      <c r="DX24" t="s">
        <v>155</v>
      </c>
      <c r="DY24" t="s">
        <v>152</v>
      </c>
      <c r="DZ24" t="s">
        <v>152</v>
      </c>
      <c r="EA24" s="151" t="s">
        <v>149</v>
      </c>
      <c r="EB24" s="151" t="s">
        <v>149</v>
      </c>
      <c r="EC24" s="127" t="s">
        <v>216</v>
      </c>
      <c r="ED24" s="127" t="s">
        <v>216</v>
      </c>
      <c r="EE24" s="151" t="s">
        <v>149</v>
      </c>
      <c r="EF24" s="151" t="s">
        <v>149</v>
      </c>
      <c r="EG24" s="151" t="s">
        <v>149</v>
      </c>
      <c r="EH24" t="s">
        <v>217</v>
      </c>
      <c r="EI24" t="s">
        <v>218</v>
      </c>
      <c r="EJ24" t="s">
        <v>215</v>
      </c>
      <c r="EK24" s="145">
        <v>1292</v>
      </c>
      <c r="EL24" t="s">
        <v>153</v>
      </c>
      <c r="EM24">
        <v>300</v>
      </c>
      <c r="EN24">
        <v>300</v>
      </c>
      <c r="EO24" s="151" t="s">
        <v>149</v>
      </c>
      <c r="EP24" s="151" t="s">
        <v>149</v>
      </c>
      <c r="EQ24" s="151" t="s">
        <v>149</v>
      </c>
      <c r="ER24" s="151" t="s">
        <v>149</v>
      </c>
      <c r="ES24" s="151" t="s">
        <v>149</v>
      </c>
      <c r="ET24" s="151" t="s">
        <v>149</v>
      </c>
      <c r="EU24" s="151" t="s">
        <v>149</v>
      </c>
      <c r="EV24" s="151" t="s">
        <v>149</v>
      </c>
      <c r="EW24" s="154">
        <f t="shared" si="8"/>
        <v>236.08693345996974</v>
      </c>
      <c r="EX24" s="151">
        <v>25</v>
      </c>
      <c r="EY24" s="151" t="s">
        <v>236</v>
      </c>
      <c r="EZ24" s="142">
        <v>236.08693345996974</v>
      </c>
      <c r="FA24" s="142">
        <v>101.79943923559276</v>
      </c>
      <c r="FB24" s="142">
        <v>78.627437165000373</v>
      </c>
      <c r="FC24" s="151" t="s">
        <v>237</v>
      </c>
      <c r="FD24" t="s">
        <v>219</v>
      </c>
      <c r="FE24" s="151" t="s">
        <v>149</v>
      </c>
      <c r="FF24" s="151" t="s">
        <v>149</v>
      </c>
      <c r="FG24" s="151" t="s">
        <v>149</v>
      </c>
      <c r="FH24" s="151" t="s">
        <v>149</v>
      </c>
      <c r="FI24" s="151" t="s">
        <v>149</v>
      </c>
      <c r="FJ24" s="151" t="s">
        <v>149</v>
      </c>
      <c r="FK24" s="151" t="s">
        <v>149</v>
      </c>
      <c r="FL24" s="151" t="s">
        <v>149</v>
      </c>
      <c r="FM24" s="151" t="s">
        <v>149</v>
      </c>
      <c r="FN24" s="151" t="s">
        <v>149</v>
      </c>
      <c r="FO24" s="151" t="s">
        <v>149</v>
      </c>
      <c r="FP24" s="151" t="s">
        <v>149</v>
      </c>
      <c r="FQ24" s="151" t="s">
        <v>242</v>
      </c>
    </row>
    <row r="25" spans="1:173" ht="19">
      <c r="A25" s="123" t="s">
        <v>148</v>
      </c>
      <c r="B25" t="s">
        <v>163</v>
      </c>
      <c r="C25">
        <v>2014</v>
      </c>
      <c r="D25" t="s">
        <v>165</v>
      </c>
      <c r="E25" s="141">
        <f t="shared" si="9"/>
        <v>16238.899256132981</v>
      </c>
      <c r="F25" s="141" t="str">
        <f t="shared" si="11"/>
        <v>NA</v>
      </c>
      <c r="G25" s="141" t="str">
        <f t="shared" si="12"/>
        <v>NA</v>
      </c>
      <c r="H25" s="128">
        <f t="shared" si="10"/>
        <v>476.52133740688839</v>
      </c>
      <c r="I25" s="128">
        <f t="shared" si="13"/>
        <v>251.96341501294035</v>
      </c>
      <c r="J25" s="128">
        <f t="shared" si="14"/>
        <v>172.12914662488265</v>
      </c>
      <c r="K25" t="s">
        <v>220</v>
      </c>
      <c r="L25" s="153" t="s">
        <v>241</v>
      </c>
      <c r="M25" s="1" t="s">
        <v>164</v>
      </c>
      <c r="N25" t="s">
        <v>165</v>
      </c>
      <c r="O25" s="131">
        <v>761</v>
      </c>
      <c r="P25" t="s">
        <v>166</v>
      </c>
      <c r="Q25" s="132">
        <v>6</v>
      </c>
      <c r="R25" s="132">
        <v>5</v>
      </c>
      <c r="S25" s="142">
        <v>48</v>
      </c>
      <c r="T25">
        <v>50</v>
      </c>
      <c r="U25" s="151" t="s">
        <v>149</v>
      </c>
      <c r="V25" s="134">
        <v>49.58</v>
      </c>
      <c r="W25" s="136" t="s">
        <v>167</v>
      </c>
      <c r="X25" t="s">
        <v>168</v>
      </c>
      <c r="Y25" s="136">
        <v>-16.739722220000001</v>
      </c>
      <c r="Z25" s="127">
        <v>115.53611110999999</v>
      </c>
      <c r="AA25" s="151" t="s">
        <v>149</v>
      </c>
      <c r="AB25" s="151" t="s">
        <v>149</v>
      </c>
      <c r="AC25">
        <v>-2179</v>
      </c>
      <c r="AD25" s="151" t="s">
        <v>149</v>
      </c>
      <c r="AE25" s="151" t="s">
        <v>149</v>
      </c>
      <c r="AF25" s="151" t="s">
        <v>149</v>
      </c>
      <c r="AG25" s="137">
        <v>16238.899256132981</v>
      </c>
      <c r="AH25" s="152" t="s">
        <v>149</v>
      </c>
      <c r="AI25" s="151" t="s">
        <v>149</v>
      </c>
      <c r="AJ25" s="151" t="s">
        <v>149</v>
      </c>
      <c r="AK25" s="138" t="s">
        <v>169</v>
      </c>
      <c r="AL25" s="138" t="s">
        <v>170</v>
      </c>
      <c r="AM25" s="138" t="s">
        <v>171</v>
      </c>
      <c r="AN25" t="s">
        <v>149</v>
      </c>
      <c r="AO25" t="s">
        <v>149</v>
      </c>
      <c r="AP25" t="s">
        <v>149</v>
      </c>
      <c r="AQ25" t="s">
        <v>149</v>
      </c>
      <c r="AR25" t="s">
        <v>149</v>
      </c>
      <c r="AS25" t="s">
        <v>149</v>
      </c>
      <c r="AT25" t="s">
        <v>149</v>
      </c>
      <c r="AU25" t="s">
        <v>172</v>
      </c>
      <c r="AV25" t="s">
        <v>150</v>
      </c>
      <c r="AW25" t="s">
        <v>239</v>
      </c>
      <c r="AX25" t="s">
        <v>240</v>
      </c>
      <c r="AY25" t="s">
        <v>173</v>
      </c>
      <c r="AZ25" t="s">
        <v>174</v>
      </c>
      <c r="BA25" t="s">
        <v>175</v>
      </c>
      <c r="BB25" s="140" t="s">
        <v>196</v>
      </c>
      <c r="BC25">
        <v>2</v>
      </c>
      <c r="BD25" s="141">
        <v>0.53123045213525433</v>
      </c>
      <c r="BE25" s="133">
        <v>14.603600471094667</v>
      </c>
      <c r="BF25" t="s">
        <v>208</v>
      </c>
      <c r="BG25" s="134">
        <v>0.64590926159706796</v>
      </c>
      <c r="BH25">
        <v>0.83299999999999996</v>
      </c>
      <c r="BI25" t="s">
        <v>210</v>
      </c>
      <c r="BJ25" s="152" t="s">
        <v>149</v>
      </c>
      <c r="BK25">
        <v>2.67</v>
      </c>
      <c r="BL25" t="s">
        <v>210</v>
      </c>
      <c r="BM25" s="152" t="s">
        <v>149</v>
      </c>
      <c r="BN25" s="151" t="s">
        <v>238</v>
      </c>
      <c r="BO25" t="s">
        <v>209</v>
      </c>
      <c r="BP25" s="151" t="s">
        <v>149</v>
      </c>
      <c r="BQ25" s="151" t="s">
        <v>149</v>
      </c>
      <c r="BR25" s="151" t="s">
        <v>149</v>
      </c>
      <c r="BS25" s="151" t="s">
        <v>149</v>
      </c>
      <c r="BT25" s="151" t="s">
        <v>149</v>
      </c>
      <c r="BU25">
        <v>0</v>
      </c>
      <c r="BV25" s="151" t="s">
        <v>149</v>
      </c>
      <c r="BW25" s="151" t="s">
        <v>149</v>
      </c>
      <c r="BX25" s="133">
        <v>30.424662999883925</v>
      </c>
      <c r="BY25" t="s">
        <v>210</v>
      </c>
      <c r="BZ25">
        <v>3</v>
      </c>
      <c r="CA25">
        <v>3</v>
      </c>
      <c r="CB25" s="151" t="s">
        <v>149</v>
      </c>
      <c r="CC25" s="133">
        <v>3.9698671589597074</v>
      </c>
      <c r="CD25" t="s">
        <v>210</v>
      </c>
      <c r="CE25" s="141">
        <f t="shared" si="6"/>
        <v>5.9548007384395613E-2</v>
      </c>
      <c r="CF25" s="141">
        <f t="shared" si="7"/>
        <v>5.9548007384395613E-2</v>
      </c>
      <c r="CG25" s="151" t="s">
        <v>149</v>
      </c>
      <c r="CH25" t="s">
        <v>211</v>
      </c>
      <c r="CI25" s="151">
        <v>3.43</v>
      </c>
      <c r="CJ25" t="s">
        <v>214</v>
      </c>
      <c r="CK25" s="151" t="s">
        <v>149</v>
      </c>
      <c r="CL25" s="151" t="s">
        <v>149</v>
      </c>
      <c r="CM25" s="151" t="s">
        <v>149</v>
      </c>
      <c r="CN25" t="s">
        <v>149</v>
      </c>
      <c r="CO25" t="s">
        <v>149</v>
      </c>
      <c r="CP25" t="s">
        <v>149</v>
      </c>
      <c r="CQ25" t="s">
        <v>149</v>
      </c>
      <c r="CR25" t="s">
        <v>149</v>
      </c>
      <c r="CS25" t="s">
        <v>149</v>
      </c>
      <c r="CT25" t="s">
        <v>149</v>
      </c>
      <c r="CU25">
        <v>35</v>
      </c>
      <c r="CV25" t="s">
        <v>212</v>
      </c>
      <c r="CW25">
        <v>3</v>
      </c>
      <c r="CX25" t="s">
        <v>213</v>
      </c>
      <c r="CY25">
        <v>14</v>
      </c>
      <c r="CZ25" s="151" t="s">
        <v>149</v>
      </c>
      <c r="DA25" s="151" t="s">
        <v>149</v>
      </c>
      <c r="DB25" s="144" t="s">
        <v>214</v>
      </c>
      <c r="DC25" s="144">
        <v>45</v>
      </c>
      <c r="DD25" s="151" t="s">
        <v>149</v>
      </c>
      <c r="DE25" s="151" t="s">
        <v>149</v>
      </c>
      <c r="DF25" t="s">
        <v>214</v>
      </c>
      <c r="DG25" s="151" t="s">
        <v>149</v>
      </c>
      <c r="DH25" s="151" t="s">
        <v>149</v>
      </c>
      <c r="DI25" s="151" t="s">
        <v>149</v>
      </c>
      <c r="DJ25" s="151" t="s">
        <v>149</v>
      </c>
      <c r="DK25">
        <v>432.6</v>
      </c>
      <c r="DL25" s="151" t="s">
        <v>149</v>
      </c>
      <c r="DM25" s="151" t="s">
        <v>149</v>
      </c>
      <c r="DN25" s="151" t="s">
        <v>235</v>
      </c>
      <c r="DO25" s="145">
        <v>37.82</v>
      </c>
      <c r="DP25" s="127" t="s">
        <v>210</v>
      </c>
      <c r="DQ25" s="127">
        <v>0.7</v>
      </c>
      <c r="DR25" t="s">
        <v>215</v>
      </c>
      <c r="DS25" t="s">
        <v>151</v>
      </c>
      <c r="DT25" s="151" t="s">
        <v>149</v>
      </c>
      <c r="DU25">
        <v>1.0271999999999999</v>
      </c>
      <c r="DV25" t="s">
        <v>152</v>
      </c>
      <c r="DW25" t="s">
        <v>152</v>
      </c>
      <c r="DX25" t="s">
        <v>155</v>
      </c>
      <c r="DY25" t="s">
        <v>152</v>
      </c>
      <c r="DZ25" t="s">
        <v>152</v>
      </c>
      <c r="EA25" s="151" t="s">
        <v>149</v>
      </c>
      <c r="EB25" s="151" t="s">
        <v>149</v>
      </c>
      <c r="EC25" s="127" t="s">
        <v>216</v>
      </c>
      <c r="ED25" s="127" t="s">
        <v>216</v>
      </c>
      <c r="EE25" s="151" t="s">
        <v>149</v>
      </c>
      <c r="EF25" s="151" t="s">
        <v>149</v>
      </c>
      <c r="EG25" s="151" t="s">
        <v>149</v>
      </c>
      <c r="EH25" t="s">
        <v>217</v>
      </c>
      <c r="EI25" t="s">
        <v>218</v>
      </c>
      <c r="EJ25" t="s">
        <v>215</v>
      </c>
      <c r="EK25">
        <v>1292</v>
      </c>
      <c r="EL25" t="s">
        <v>153</v>
      </c>
      <c r="EM25">
        <v>300</v>
      </c>
      <c r="EN25">
        <v>300</v>
      </c>
      <c r="EO25" s="151" t="s">
        <v>149</v>
      </c>
      <c r="EP25" s="151" t="s">
        <v>149</v>
      </c>
      <c r="EQ25" s="151" t="s">
        <v>149</v>
      </c>
      <c r="ER25" s="151" t="s">
        <v>149</v>
      </c>
      <c r="ES25" s="151" t="s">
        <v>149</v>
      </c>
      <c r="ET25" s="151" t="s">
        <v>149</v>
      </c>
      <c r="EU25" s="151" t="s">
        <v>149</v>
      </c>
      <c r="EV25" s="151" t="s">
        <v>149</v>
      </c>
      <c r="EW25" s="154">
        <f t="shared" si="8"/>
        <v>476.52133740688839</v>
      </c>
      <c r="EX25" s="151">
        <v>25</v>
      </c>
      <c r="EY25" s="151" t="s">
        <v>236</v>
      </c>
      <c r="EZ25" s="142">
        <v>476.52133740688839</v>
      </c>
      <c r="FA25" s="142">
        <v>251.96341501294035</v>
      </c>
      <c r="FB25" s="142">
        <v>172.12914662488265</v>
      </c>
      <c r="FC25" s="151" t="s">
        <v>237</v>
      </c>
      <c r="FD25" t="s">
        <v>219</v>
      </c>
      <c r="FE25" s="151" t="s">
        <v>149</v>
      </c>
      <c r="FF25" s="151" t="s">
        <v>149</v>
      </c>
      <c r="FG25" s="151" t="s">
        <v>149</v>
      </c>
      <c r="FH25" s="151" t="s">
        <v>149</v>
      </c>
      <c r="FI25" s="151" t="s">
        <v>149</v>
      </c>
      <c r="FJ25" s="151" t="s">
        <v>149</v>
      </c>
      <c r="FK25" s="151" t="s">
        <v>149</v>
      </c>
      <c r="FL25" s="151" t="s">
        <v>149</v>
      </c>
      <c r="FM25" s="151" t="s">
        <v>149</v>
      </c>
      <c r="FN25" s="151" t="s">
        <v>149</v>
      </c>
      <c r="FO25" s="151" t="s">
        <v>149</v>
      </c>
      <c r="FP25" s="151" t="s">
        <v>149</v>
      </c>
      <c r="FQ25" s="151" t="s">
        <v>242</v>
      </c>
    </row>
    <row r="26" spans="1:173" ht="19">
      <c r="A26" s="123" t="s">
        <v>148</v>
      </c>
      <c r="B26" t="s">
        <v>163</v>
      </c>
      <c r="C26">
        <v>2014</v>
      </c>
      <c r="D26" t="s">
        <v>165</v>
      </c>
      <c r="E26" s="141">
        <f t="shared" si="9"/>
        <v>16269.958023369782</v>
      </c>
      <c r="F26" s="141" t="str">
        <f t="shared" si="11"/>
        <v>NA</v>
      </c>
      <c r="G26" s="141" t="str">
        <f t="shared" si="12"/>
        <v>NA</v>
      </c>
      <c r="H26" s="128">
        <f t="shared" si="10"/>
        <v>277.52373331861895</v>
      </c>
      <c r="I26" s="128">
        <f t="shared" si="13"/>
        <v>100.6795382543707</v>
      </c>
      <c r="J26" s="128">
        <f t="shared" si="14"/>
        <v>84.314049745045281</v>
      </c>
      <c r="K26" t="s">
        <v>220</v>
      </c>
      <c r="L26" s="153" t="s">
        <v>241</v>
      </c>
      <c r="M26" s="1" t="s">
        <v>164</v>
      </c>
      <c r="N26" t="s">
        <v>165</v>
      </c>
      <c r="O26" s="131">
        <v>761</v>
      </c>
      <c r="P26" t="s">
        <v>166</v>
      </c>
      <c r="Q26" s="132">
        <v>6</v>
      </c>
      <c r="R26" s="132">
        <v>5</v>
      </c>
      <c r="S26" s="142">
        <v>58</v>
      </c>
      <c r="T26">
        <v>60</v>
      </c>
      <c r="U26" s="151" t="s">
        <v>149</v>
      </c>
      <c r="V26" s="134">
        <v>49.68</v>
      </c>
      <c r="W26" s="136" t="s">
        <v>167</v>
      </c>
      <c r="X26" t="s">
        <v>168</v>
      </c>
      <c r="Y26" s="136">
        <v>-16.739722220000001</v>
      </c>
      <c r="Z26" s="127">
        <v>115.53611110999999</v>
      </c>
      <c r="AA26" s="151" t="s">
        <v>149</v>
      </c>
      <c r="AB26" s="151" t="s">
        <v>149</v>
      </c>
      <c r="AC26">
        <v>-2179</v>
      </c>
      <c r="AD26" s="151" t="s">
        <v>149</v>
      </c>
      <c r="AE26" s="151" t="s">
        <v>149</v>
      </c>
      <c r="AF26" s="151" t="s">
        <v>149</v>
      </c>
      <c r="AG26" s="137">
        <v>16269.958023369782</v>
      </c>
      <c r="AH26" s="152" t="s">
        <v>149</v>
      </c>
      <c r="AI26" s="151" t="s">
        <v>149</v>
      </c>
      <c r="AJ26" s="151" t="s">
        <v>149</v>
      </c>
      <c r="AK26" s="138" t="s">
        <v>169</v>
      </c>
      <c r="AL26" s="138" t="s">
        <v>170</v>
      </c>
      <c r="AM26" s="138" t="s">
        <v>171</v>
      </c>
      <c r="AN26" t="s">
        <v>149</v>
      </c>
      <c r="AO26" t="s">
        <v>149</v>
      </c>
      <c r="AP26" t="s">
        <v>149</v>
      </c>
      <c r="AQ26" t="s">
        <v>149</v>
      </c>
      <c r="AR26" t="s">
        <v>149</v>
      </c>
      <c r="AS26" t="s">
        <v>149</v>
      </c>
      <c r="AT26" t="s">
        <v>149</v>
      </c>
      <c r="AU26" t="s">
        <v>172</v>
      </c>
      <c r="AV26" t="s">
        <v>150</v>
      </c>
      <c r="AW26" t="s">
        <v>239</v>
      </c>
      <c r="AX26" t="s">
        <v>240</v>
      </c>
      <c r="AY26" t="s">
        <v>173</v>
      </c>
      <c r="AZ26" t="s">
        <v>174</v>
      </c>
      <c r="BA26" t="s">
        <v>175</v>
      </c>
      <c r="BB26" s="140" t="s">
        <v>197</v>
      </c>
      <c r="BC26">
        <v>2</v>
      </c>
      <c r="BD26" s="141">
        <v>5.8078909573065822E-2</v>
      </c>
      <c r="BE26" s="133">
        <v>16.062695098411574</v>
      </c>
      <c r="BF26" t="s">
        <v>208</v>
      </c>
      <c r="BG26" s="134">
        <v>0.23225342144315816</v>
      </c>
      <c r="BH26">
        <v>0.83299999999999996</v>
      </c>
      <c r="BI26" t="s">
        <v>210</v>
      </c>
      <c r="BJ26" s="152" t="s">
        <v>149</v>
      </c>
      <c r="BK26">
        <v>2.67</v>
      </c>
      <c r="BL26" t="s">
        <v>210</v>
      </c>
      <c r="BM26" s="152" t="s">
        <v>149</v>
      </c>
      <c r="BN26" s="151" t="s">
        <v>238</v>
      </c>
      <c r="BO26" t="s">
        <v>209</v>
      </c>
      <c r="BP26" s="151" t="s">
        <v>149</v>
      </c>
      <c r="BQ26" s="151" t="s">
        <v>149</v>
      </c>
      <c r="BR26" s="151" t="s">
        <v>149</v>
      </c>
      <c r="BS26" s="151" t="s">
        <v>149</v>
      </c>
      <c r="BT26" s="151" t="s">
        <v>149</v>
      </c>
      <c r="BU26">
        <v>0</v>
      </c>
      <c r="BV26" s="151" t="s">
        <v>149</v>
      </c>
      <c r="BW26" s="151" t="s">
        <v>149</v>
      </c>
      <c r="BX26" s="133">
        <v>30.788916291913228</v>
      </c>
      <c r="BY26" t="s">
        <v>210</v>
      </c>
      <c r="BZ26">
        <v>3</v>
      </c>
      <c r="CA26">
        <v>3</v>
      </c>
      <c r="CB26" s="151" t="s">
        <v>149</v>
      </c>
      <c r="CC26" s="133">
        <v>4.0752993763327066</v>
      </c>
      <c r="CD26" t="s">
        <v>210</v>
      </c>
      <c r="CE26" s="141">
        <f t="shared" si="6"/>
        <v>6.1129490644990597E-2</v>
      </c>
      <c r="CF26" s="141">
        <f t="shared" si="7"/>
        <v>6.1129490644990597E-2</v>
      </c>
      <c r="CG26" s="151" t="s">
        <v>149</v>
      </c>
      <c r="CH26" t="s">
        <v>211</v>
      </c>
      <c r="CI26" s="151">
        <v>3.43</v>
      </c>
      <c r="CJ26" t="s">
        <v>214</v>
      </c>
      <c r="CK26" s="151" t="s">
        <v>149</v>
      </c>
      <c r="CL26" s="151" t="s">
        <v>149</v>
      </c>
      <c r="CM26" s="151" t="s">
        <v>149</v>
      </c>
      <c r="CN26" t="s">
        <v>149</v>
      </c>
      <c r="CO26" t="s">
        <v>149</v>
      </c>
      <c r="CP26" t="s">
        <v>149</v>
      </c>
      <c r="CQ26" t="s">
        <v>149</v>
      </c>
      <c r="CR26" t="s">
        <v>149</v>
      </c>
      <c r="CS26" t="s">
        <v>149</v>
      </c>
      <c r="CT26" t="s">
        <v>149</v>
      </c>
      <c r="CU26">
        <v>35</v>
      </c>
      <c r="CV26" t="s">
        <v>212</v>
      </c>
      <c r="CW26">
        <v>3</v>
      </c>
      <c r="CX26" t="s">
        <v>213</v>
      </c>
      <c r="CY26">
        <v>14</v>
      </c>
      <c r="CZ26" s="151" t="s">
        <v>149</v>
      </c>
      <c r="DA26" s="151" t="s">
        <v>149</v>
      </c>
      <c r="DB26" s="144" t="s">
        <v>214</v>
      </c>
      <c r="DC26" s="144">
        <v>45</v>
      </c>
      <c r="DD26" s="151" t="s">
        <v>149</v>
      </c>
      <c r="DE26" s="151" t="s">
        <v>149</v>
      </c>
      <c r="DF26" t="s">
        <v>214</v>
      </c>
      <c r="DG26" s="151" t="s">
        <v>149</v>
      </c>
      <c r="DH26" s="151" t="s">
        <v>149</v>
      </c>
      <c r="DI26" s="151" t="s">
        <v>149</v>
      </c>
      <c r="DJ26" s="151" t="s">
        <v>149</v>
      </c>
      <c r="DK26">
        <v>432.6</v>
      </c>
      <c r="DL26" s="151" t="s">
        <v>149</v>
      </c>
      <c r="DM26" s="151" t="s">
        <v>149</v>
      </c>
      <c r="DN26" s="151" t="s">
        <v>235</v>
      </c>
      <c r="DO26" s="145">
        <v>37.82</v>
      </c>
      <c r="DP26" s="127" t="s">
        <v>210</v>
      </c>
      <c r="DQ26" s="127">
        <v>0.7</v>
      </c>
      <c r="DR26" t="s">
        <v>215</v>
      </c>
      <c r="DS26" t="s">
        <v>151</v>
      </c>
      <c r="DT26" s="151" t="s">
        <v>149</v>
      </c>
      <c r="DU26">
        <v>1.0271999999999999</v>
      </c>
      <c r="DV26" t="s">
        <v>152</v>
      </c>
      <c r="DW26" t="s">
        <v>152</v>
      </c>
      <c r="DX26" t="s">
        <v>155</v>
      </c>
      <c r="DY26" t="s">
        <v>152</v>
      </c>
      <c r="DZ26" t="s">
        <v>152</v>
      </c>
      <c r="EA26" s="151" t="s">
        <v>149</v>
      </c>
      <c r="EB26" s="151" t="s">
        <v>149</v>
      </c>
      <c r="EC26" s="127" t="s">
        <v>216</v>
      </c>
      <c r="ED26" s="127" t="s">
        <v>216</v>
      </c>
      <c r="EE26" s="151" t="s">
        <v>149</v>
      </c>
      <c r="EF26" s="151" t="s">
        <v>149</v>
      </c>
      <c r="EG26" s="151" t="s">
        <v>149</v>
      </c>
      <c r="EH26" t="s">
        <v>217</v>
      </c>
      <c r="EI26" t="s">
        <v>218</v>
      </c>
      <c r="EJ26" t="s">
        <v>215</v>
      </c>
      <c r="EK26" s="145">
        <v>1292</v>
      </c>
      <c r="EL26" t="s">
        <v>153</v>
      </c>
      <c r="EM26">
        <v>300</v>
      </c>
      <c r="EN26">
        <v>300</v>
      </c>
      <c r="EO26" s="151" t="s">
        <v>149</v>
      </c>
      <c r="EP26" s="151" t="s">
        <v>149</v>
      </c>
      <c r="EQ26" s="151" t="s">
        <v>149</v>
      </c>
      <c r="ER26" s="151" t="s">
        <v>149</v>
      </c>
      <c r="ES26" s="151" t="s">
        <v>149</v>
      </c>
      <c r="ET26" s="151" t="s">
        <v>149</v>
      </c>
      <c r="EU26" s="151" t="s">
        <v>149</v>
      </c>
      <c r="EV26" s="151" t="s">
        <v>149</v>
      </c>
      <c r="EW26" s="154">
        <f t="shared" si="8"/>
        <v>277.52373331861895</v>
      </c>
      <c r="EX26" s="151">
        <v>25</v>
      </c>
      <c r="EY26" s="151" t="s">
        <v>236</v>
      </c>
      <c r="EZ26" s="142">
        <v>277.52373331861895</v>
      </c>
      <c r="FA26" s="142">
        <v>100.6795382543707</v>
      </c>
      <c r="FB26" s="142">
        <v>84.314049745045281</v>
      </c>
      <c r="FC26" s="151" t="s">
        <v>237</v>
      </c>
      <c r="FD26" t="s">
        <v>219</v>
      </c>
      <c r="FE26" s="151" t="s">
        <v>149</v>
      </c>
      <c r="FF26" s="151" t="s">
        <v>149</v>
      </c>
      <c r="FG26" s="151" t="s">
        <v>149</v>
      </c>
      <c r="FH26" s="151" t="s">
        <v>149</v>
      </c>
      <c r="FI26" s="151" t="s">
        <v>149</v>
      </c>
      <c r="FJ26" s="151" t="s">
        <v>149</v>
      </c>
      <c r="FK26" s="151" t="s">
        <v>149</v>
      </c>
      <c r="FL26" s="151" t="s">
        <v>149</v>
      </c>
      <c r="FM26" s="151" t="s">
        <v>149</v>
      </c>
      <c r="FN26" s="151" t="s">
        <v>149</v>
      </c>
      <c r="FO26" s="151" t="s">
        <v>149</v>
      </c>
      <c r="FP26" s="151" t="s">
        <v>149</v>
      </c>
      <c r="FQ26" s="151" t="s">
        <v>242</v>
      </c>
    </row>
    <row r="27" spans="1:173" ht="19">
      <c r="A27" s="123" t="s">
        <v>148</v>
      </c>
      <c r="B27" t="s">
        <v>163</v>
      </c>
      <c r="C27">
        <v>2014</v>
      </c>
      <c r="D27" t="s">
        <v>165</v>
      </c>
      <c r="E27" s="141">
        <f t="shared" si="9"/>
        <v>16301.468372819045</v>
      </c>
      <c r="F27" s="141" t="str">
        <f t="shared" si="11"/>
        <v>NA</v>
      </c>
      <c r="G27" s="141" t="str">
        <f t="shared" si="12"/>
        <v>NA</v>
      </c>
      <c r="H27" s="128">
        <f t="shared" si="10"/>
        <v>466.8453888211227</v>
      </c>
      <c r="I27" s="128">
        <f t="shared" si="13"/>
        <v>188.09258133440869</v>
      </c>
      <c r="J27" s="128">
        <f t="shared" si="14"/>
        <v>149.88481988477832</v>
      </c>
      <c r="K27" t="s">
        <v>220</v>
      </c>
      <c r="L27" s="153" t="s">
        <v>241</v>
      </c>
      <c r="M27" s="1" t="s">
        <v>164</v>
      </c>
      <c r="N27" t="s">
        <v>165</v>
      </c>
      <c r="O27" s="131">
        <v>761</v>
      </c>
      <c r="P27" t="s">
        <v>166</v>
      </c>
      <c r="Q27" s="132">
        <v>6</v>
      </c>
      <c r="R27" s="132">
        <v>5</v>
      </c>
      <c r="S27" s="142">
        <v>68</v>
      </c>
      <c r="T27">
        <v>70</v>
      </c>
      <c r="U27" s="151" t="s">
        <v>149</v>
      </c>
      <c r="V27" s="134">
        <v>49.78</v>
      </c>
      <c r="W27" s="136" t="s">
        <v>167</v>
      </c>
      <c r="X27" t="s">
        <v>168</v>
      </c>
      <c r="Y27" s="136">
        <v>-16.739722220000001</v>
      </c>
      <c r="Z27" s="127">
        <v>115.53611110999999</v>
      </c>
      <c r="AA27" s="151" t="s">
        <v>149</v>
      </c>
      <c r="AB27" s="151" t="s">
        <v>149</v>
      </c>
      <c r="AC27">
        <v>-2179</v>
      </c>
      <c r="AD27" s="151" t="s">
        <v>149</v>
      </c>
      <c r="AE27" s="151" t="s">
        <v>149</v>
      </c>
      <c r="AF27" s="151" t="s">
        <v>149</v>
      </c>
      <c r="AG27" s="133">
        <v>16301.468372819045</v>
      </c>
      <c r="AH27" s="152" t="s">
        <v>149</v>
      </c>
      <c r="AI27" s="151" t="s">
        <v>149</v>
      </c>
      <c r="AJ27" s="151" t="s">
        <v>149</v>
      </c>
      <c r="AK27" s="138" t="s">
        <v>169</v>
      </c>
      <c r="AL27" s="138" t="s">
        <v>170</v>
      </c>
      <c r="AM27" s="138" t="s">
        <v>171</v>
      </c>
      <c r="AN27" t="s">
        <v>149</v>
      </c>
      <c r="AO27" t="s">
        <v>149</v>
      </c>
      <c r="AP27" t="s">
        <v>149</v>
      </c>
      <c r="AQ27" t="s">
        <v>149</v>
      </c>
      <c r="AR27" t="s">
        <v>149</v>
      </c>
      <c r="AS27" t="s">
        <v>149</v>
      </c>
      <c r="AT27" t="s">
        <v>149</v>
      </c>
      <c r="AU27" t="s">
        <v>172</v>
      </c>
      <c r="AV27" t="s">
        <v>150</v>
      </c>
      <c r="AW27" t="s">
        <v>239</v>
      </c>
      <c r="AX27" t="s">
        <v>240</v>
      </c>
      <c r="AY27" t="s">
        <v>173</v>
      </c>
      <c r="AZ27" t="s">
        <v>174</v>
      </c>
      <c r="BA27" t="s">
        <v>175</v>
      </c>
      <c r="BB27" s="140" t="s">
        <v>198</v>
      </c>
      <c r="BC27">
        <v>2</v>
      </c>
      <c r="BD27" s="141">
        <v>1.3892082393649474E-3</v>
      </c>
      <c r="BE27" s="133">
        <v>14.659189945713624</v>
      </c>
      <c r="BF27" t="s">
        <v>208</v>
      </c>
      <c r="BG27" s="134">
        <v>0.22232491546770997</v>
      </c>
      <c r="BH27">
        <v>0.83299999999999996</v>
      </c>
      <c r="BI27" t="s">
        <v>210</v>
      </c>
      <c r="BJ27" s="152" t="s">
        <v>149</v>
      </c>
      <c r="BK27">
        <v>2.67</v>
      </c>
      <c r="BL27" t="s">
        <v>210</v>
      </c>
      <c r="BM27" s="152" t="s">
        <v>149</v>
      </c>
      <c r="BN27" s="151" t="s">
        <v>238</v>
      </c>
      <c r="BO27" t="s">
        <v>209</v>
      </c>
      <c r="BP27" s="151" t="s">
        <v>149</v>
      </c>
      <c r="BQ27" s="151" t="s">
        <v>149</v>
      </c>
      <c r="BR27" s="151" t="s">
        <v>149</v>
      </c>
      <c r="BS27" s="151" t="s">
        <v>149</v>
      </c>
      <c r="BT27" s="151" t="s">
        <v>149</v>
      </c>
      <c r="BU27">
        <v>0</v>
      </c>
      <c r="BV27" s="151" t="s">
        <v>149</v>
      </c>
      <c r="BW27" s="151" t="s">
        <v>149</v>
      </c>
      <c r="BX27" s="133">
        <v>31.015034476890381</v>
      </c>
      <c r="BY27" t="s">
        <v>210</v>
      </c>
      <c r="BZ27">
        <v>3</v>
      </c>
      <c r="CA27">
        <v>3</v>
      </c>
      <c r="CB27" s="151" t="s">
        <v>149</v>
      </c>
      <c r="CC27" s="133">
        <v>4.1352392907897269</v>
      </c>
      <c r="CD27" t="s">
        <v>210</v>
      </c>
      <c r="CE27" s="141">
        <f t="shared" si="6"/>
        <v>6.2028589361845902E-2</v>
      </c>
      <c r="CF27" s="141">
        <f t="shared" si="7"/>
        <v>6.2028589361845902E-2</v>
      </c>
      <c r="CG27" s="151" t="s">
        <v>149</v>
      </c>
      <c r="CH27" t="s">
        <v>211</v>
      </c>
      <c r="CI27" s="151">
        <v>3.43</v>
      </c>
      <c r="CJ27" t="s">
        <v>214</v>
      </c>
      <c r="CK27" s="151" t="s">
        <v>149</v>
      </c>
      <c r="CL27" s="151" t="s">
        <v>149</v>
      </c>
      <c r="CM27" s="151" t="s">
        <v>149</v>
      </c>
      <c r="CN27" t="s">
        <v>149</v>
      </c>
      <c r="CO27" t="s">
        <v>149</v>
      </c>
      <c r="CP27" t="s">
        <v>149</v>
      </c>
      <c r="CQ27" t="s">
        <v>149</v>
      </c>
      <c r="CR27" t="s">
        <v>149</v>
      </c>
      <c r="CS27" t="s">
        <v>149</v>
      </c>
      <c r="CT27" t="s">
        <v>149</v>
      </c>
      <c r="CU27">
        <v>35</v>
      </c>
      <c r="CV27" t="s">
        <v>212</v>
      </c>
      <c r="CW27">
        <v>3</v>
      </c>
      <c r="CX27" t="s">
        <v>213</v>
      </c>
      <c r="CY27">
        <v>14</v>
      </c>
      <c r="CZ27" s="151" t="s">
        <v>149</v>
      </c>
      <c r="DA27" s="151" t="s">
        <v>149</v>
      </c>
      <c r="DB27" s="144" t="s">
        <v>214</v>
      </c>
      <c r="DC27" s="144">
        <v>45</v>
      </c>
      <c r="DD27" s="151" t="s">
        <v>149</v>
      </c>
      <c r="DE27" s="151" t="s">
        <v>149</v>
      </c>
      <c r="DF27" t="s">
        <v>214</v>
      </c>
      <c r="DG27" s="151" t="s">
        <v>149</v>
      </c>
      <c r="DH27" s="151" t="s">
        <v>149</v>
      </c>
      <c r="DI27" s="151" t="s">
        <v>149</v>
      </c>
      <c r="DJ27" s="151" t="s">
        <v>149</v>
      </c>
      <c r="DK27">
        <v>432.6</v>
      </c>
      <c r="DL27" s="151" t="s">
        <v>149</v>
      </c>
      <c r="DM27" s="151" t="s">
        <v>149</v>
      </c>
      <c r="DN27" s="151" t="s">
        <v>235</v>
      </c>
      <c r="DO27" s="145">
        <v>37.82</v>
      </c>
      <c r="DP27" s="127" t="s">
        <v>210</v>
      </c>
      <c r="DQ27" s="127">
        <v>0.7</v>
      </c>
      <c r="DR27" t="s">
        <v>215</v>
      </c>
      <c r="DS27" t="s">
        <v>151</v>
      </c>
      <c r="DT27" s="151" t="s">
        <v>149</v>
      </c>
      <c r="DU27">
        <v>1.0271999999999999</v>
      </c>
      <c r="DV27" t="s">
        <v>152</v>
      </c>
      <c r="DW27" t="s">
        <v>152</v>
      </c>
      <c r="DX27" t="s">
        <v>155</v>
      </c>
      <c r="DY27" t="s">
        <v>152</v>
      </c>
      <c r="DZ27" t="s">
        <v>152</v>
      </c>
      <c r="EA27" s="151" t="s">
        <v>149</v>
      </c>
      <c r="EB27" s="151" t="s">
        <v>149</v>
      </c>
      <c r="EC27" s="127" t="s">
        <v>216</v>
      </c>
      <c r="ED27" s="127" t="s">
        <v>216</v>
      </c>
      <c r="EE27" s="151" t="s">
        <v>149</v>
      </c>
      <c r="EF27" s="151" t="s">
        <v>149</v>
      </c>
      <c r="EG27" s="151" t="s">
        <v>149</v>
      </c>
      <c r="EH27" t="s">
        <v>217</v>
      </c>
      <c r="EI27" t="s">
        <v>218</v>
      </c>
      <c r="EJ27" t="s">
        <v>215</v>
      </c>
      <c r="EK27">
        <v>1292</v>
      </c>
      <c r="EL27" t="s">
        <v>153</v>
      </c>
      <c r="EM27">
        <v>300</v>
      </c>
      <c r="EN27">
        <v>300</v>
      </c>
      <c r="EO27" s="151" t="s">
        <v>149</v>
      </c>
      <c r="EP27" s="151" t="s">
        <v>149</v>
      </c>
      <c r="EQ27" s="151" t="s">
        <v>149</v>
      </c>
      <c r="ER27" s="151" t="s">
        <v>149</v>
      </c>
      <c r="ES27" s="151" t="s">
        <v>149</v>
      </c>
      <c r="ET27" s="151" t="s">
        <v>149</v>
      </c>
      <c r="EU27" s="151" t="s">
        <v>149</v>
      </c>
      <c r="EV27" s="151" t="s">
        <v>149</v>
      </c>
      <c r="EW27" s="154">
        <f t="shared" si="8"/>
        <v>466.8453888211227</v>
      </c>
      <c r="EX27" s="151">
        <v>25</v>
      </c>
      <c r="EY27" s="151" t="s">
        <v>236</v>
      </c>
      <c r="EZ27" s="142">
        <v>466.8453888211227</v>
      </c>
      <c r="FA27" s="142">
        <v>188.09258133440869</v>
      </c>
      <c r="FB27" s="142">
        <v>149.88481988477832</v>
      </c>
      <c r="FC27" s="151" t="s">
        <v>237</v>
      </c>
      <c r="FD27" t="s">
        <v>219</v>
      </c>
      <c r="FE27" s="151" t="s">
        <v>149</v>
      </c>
      <c r="FF27" s="151" t="s">
        <v>149</v>
      </c>
      <c r="FG27" s="151" t="s">
        <v>149</v>
      </c>
      <c r="FH27" s="151" t="s">
        <v>149</v>
      </c>
      <c r="FI27" s="151" t="s">
        <v>149</v>
      </c>
      <c r="FJ27" s="151" t="s">
        <v>149</v>
      </c>
      <c r="FK27" s="151" t="s">
        <v>149</v>
      </c>
      <c r="FL27" s="151" t="s">
        <v>149</v>
      </c>
      <c r="FM27" s="151" t="s">
        <v>149</v>
      </c>
      <c r="FN27" s="151" t="s">
        <v>149</v>
      </c>
      <c r="FO27" s="151" t="s">
        <v>149</v>
      </c>
      <c r="FP27" s="151" t="s">
        <v>149</v>
      </c>
      <c r="FQ27" s="151" t="s">
        <v>242</v>
      </c>
    </row>
    <row r="28" spans="1:173" ht="19">
      <c r="A28" s="123" t="s">
        <v>148</v>
      </c>
      <c r="B28" t="s">
        <v>163</v>
      </c>
      <c r="C28">
        <v>2014</v>
      </c>
      <c r="D28" t="s">
        <v>165</v>
      </c>
      <c r="E28" s="141">
        <f t="shared" si="9"/>
        <v>16333.454394800128</v>
      </c>
      <c r="F28" s="141" t="str">
        <f t="shared" si="11"/>
        <v>NA</v>
      </c>
      <c r="G28" s="141" t="str">
        <f t="shared" si="12"/>
        <v>NA</v>
      </c>
      <c r="H28" s="128">
        <f t="shared" si="10"/>
        <v>262.18284779826433</v>
      </c>
      <c r="I28" s="128">
        <f t="shared" si="13"/>
        <v>94.563647135232827</v>
      </c>
      <c r="J28" s="128">
        <f t="shared" si="14"/>
        <v>79.014806302646974</v>
      </c>
      <c r="K28" t="s">
        <v>220</v>
      </c>
      <c r="L28" s="153" t="s">
        <v>241</v>
      </c>
      <c r="M28" s="1" t="s">
        <v>164</v>
      </c>
      <c r="N28" t="s">
        <v>165</v>
      </c>
      <c r="O28" s="131">
        <v>761</v>
      </c>
      <c r="P28" t="s">
        <v>166</v>
      </c>
      <c r="Q28" s="132">
        <v>6</v>
      </c>
      <c r="R28" s="132">
        <v>5</v>
      </c>
      <c r="S28" s="142">
        <v>78</v>
      </c>
      <c r="T28">
        <v>80</v>
      </c>
      <c r="U28" s="151" t="s">
        <v>149</v>
      </c>
      <c r="V28" s="134">
        <v>49.88</v>
      </c>
      <c r="W28" s="136" t="s">
        <v>167</v>
      </c>
      <c r="X28" t="s">
        <v>168</v>
      </c>
      <c r="Y28" s="136">
        <v>-16.739722220000001</v>
      </c>
      <c r="Z28" s="127">
        <v>115.53611110999999</v>
      </c>
      <c r="AA28" s="151" t="s">
        <v>149</v>
      </c>
      <c r="AB28" s="151" t="s">
        <v>149</v>
      </c>
      <c r="AC28">
        <v>-2179</v>
      </c>
      <c r="AD28" s="151" t="s">
        <v>149</v>
      </c>
      <c r="AE28" s="151" t="s">
        <v>149</v>
      </c>
      <c r="AF28" s="151" t="s">
        <v>149</v>
      </c>
      <c r="AG28" s="137">
        <v>16333.454394800128</v>
      </c>
      <c r="AH28" s="152" t="s">
        <v>149</v>
      </c>
      <c r="AI28" s="151" t="s">
        <v>149</v>
      </c>
      <c r="AJ28" s="151" t="s">
        <v>149</v>
      </c>
      <c r="AK28" s="138" t="s">
        <v>169</v>
      </c>
      <c r="AL28" s="138" t="s">
        <v>170</v>
      </c>
      <c r="AM28" s="138" t="s">
        <v>171</v>
      </c>
      <c r="AN28" t="s">
        <v>149</v>
      </c>
      <c r="AO28" t="s">
        <v>149</v>
      </c>
      <c r="AP28" t="s">
        <v>149</v>
      </c>
      <c r="AQ28" t="s">
        <v>149</v>
      </c>
      <c r="AR28" t="s">
        <v>149</v>
      </c>
      <c r="AS28" t="s">
        <v>149</v>
      </c>
      <c r="AT28" t="s">
        <v>149</v>
      </c>
      <c r="AU28" t="s">
        <v>172</v>
      </c>
      <c r="AV28" t="s">
        <v>150</v>
      </c>
      <c r="AW28" t="s">
        <v>239</v>
      </c>
      <c r="AX28" t="s">
        <v>240</v>
      </c>
      <c r="AY28" t="s">
        <v>173</v>
      </c>
      <c r="AZ28" t="s">
        <v>174</v>
      </c>
      <c r="BA28" t="s">
        <v>175</v>
      </c>
      <c r="BB28" s="140" t="s">
        <v>199</v>
      </c>
      <c r="BC28">
        <v>2</v>
      </c>
      <c r="BD28" s="141">
        <v>0.26944484060103235</v>
      </c>
      <c r="BE28" s="133">
        <v>16.247655315988496</v>
      </c>
      <c r="BF28" t="s">
        <v>208</v>
      </c>
      <c r="BG28" s="134">
        <v>0.24704757917686412</v>
      </c>
      <c r="BH28">
        <v>0.83299999999999996</v>
      </c>
      <c r="BI28" t="s">
        <v>210</v>
      </c>
      <c r="BJ28" s="152" t="s">
        <v>149</v>
      </c>
      <c r="BK28">
        <v>2.67</v>
      </c>
      <c r="BL28" t="s">
        <v>210</v>
      </c>
      <c r="BM28" s="152" t="s">
        <v>149</v>
      </c>
      <c r="BN28" s="151" t="s">
        <v>238</v>
      </c>
      <c r="BO28" t="s">
        <v>209</v>
      </c>
      <c r="BP28" s="151" t="s">
        <v>149</v>
      </c>
      <c r="BQ28" s="151" t="s">
        <v>149</v>
      </c>
      <c r="BR28" s="151" t="s">
        <v>149</v>
      </c>
      <c r="BS28" s="151" t="s">
        <v>149</v>
      </c>
      <c r="BT28" s="151" t="s">
        <v>149</v>
      </c>
      <c r="BU28">
        <v>0</v>
      </c>
      <c r="BV28" s="151" t="s">
        <v>149</v>
      </c>
      <c r="BW28" s="151" t="s">
        <v>149</v>
      </c>
      <c r="BX28" s="133">
        <v>30.915931696980699</v>
      </c>
      <c r="BY28" t="s">
        <v>210</v>
      </c>
      <c r="BZ28">
        <v>3</v>
      </c>
      <c r="CA28">
        <v>3</v>
      </c>
      <c r="CB28" s="151" t="s">
        <v>149</v>
      </c>
      <c r="CC28" s="133">
        <v>4.058629836753191</v>
      </c>
      <c r="CD28" t="s">
        <v>210</v>
      </c>
      <c r="CE28" s="141">
        <f t="shared" si="6"/>
        <v>6.0879447551297865E-2</v>
      </c>
      <c r="CF28" s="141">
        <f t="shared" si="7"/>
        <v>6.0879447551297865E-2</v>
      </c>
      <c r="CG28" s="151" t="s">
        <v>149</v>
      </c>
      <c r="CH28" t="s">
        <v>211</v>
      </c>
      <c r="CI28" s="151">
        <v>3.43</v>
      </c>
      <c r="CJ28" t="s">
        <v>214</v>
      </c>
      <c r="CK28" s="151" t="s">
        <v>149</v>
      </c>
      <c r="CL28" s="151" t="s">
        <v>149</v>
      </c>
      <c r="CM28" s="151" t="s">
        <v>149</v>
      </c>
      <c r="CN28" t="s">
        <v>149</v>
      </c>
      <c r="CO28" t="s">
        <v>149</v>
      </c>
      <c r="CP28" t="s">
        <v>149</v>
      </c>
      <c r="CQ28" t="s">
        <v>149</v>
      </c>
      <c r="CR28" t="s">
        <v>149</v>
      </c>
      <c r="CS28" t="s">
        <v>149</v>
      </c>
      <c r="CT28" t="s">
        <v>149</v>
      </c>
      <c r="CU28">
        <v>35</v>
      </c>
      <c r="CV28" t="s">
        <v>212</v>
      </c>
      <c r="CW28">
        <v>3</v>
      </c>
      <c r="CX28" t="s">
        <v>213</v>
      </c>
      <c r="CY28">
        <v>14</v>
      </c>
      <c r="CZ28" s="151" t="s">
        <v>149</v>
      </c>
      <c r="DA28" s="151" t="s">
        <v>149</v>
      </c>
      <c r="DB28" s="144" t="s">
        <v>214</v>
      </c>
      <c r="DC28" s="144">
        <v>45</v>
      </c>
      <c r="DD28" s="151" t="s">
        <v>149</v>
      </c>
      <c r="DE28" s="151" t="s">
        <v>149</v>
      </c>
      <c r="DF28" t="s">
        <v>214</v>
      </c>
      <c r="DG28" s="151" t="s">
        <v>149</v>
      </c>
      <c r="DH28" s="151" t="s">
        <v>149</v>
      </c>
      <c r="DI28" s="151" t="s">
        <v>149</v>
      </c>
      <c r="DJ28" s="151" t="s">
        <v>149</v>
      </c>
      <c r="DK28">
        <v>432.6</v>
      </c>
      <c r="DL28" s="151" t="s">
        <v>149</v>
      </c>
      <c r="DM28" s="151" t="s">
        <v>149</v>
      </c>
      <c r="DN28" s="151" t="s">
        <v>235</v>
      </c>
      <c r="DO28" s="145">
        <v>37.82</v>
      </c>
      <c r="DP28" s="127" t="s">
        <v>210</v>
      </c>
      <c r="DQ28" s="127">
        <v>0.7</v>
      </c>
      <c r="DR28" t="s">
        <v>215</v>
      </c>
      <c r="DS28" t="s">
        <v>151</v>
      </c>
      <c r="DT28" s="151" t="s">
        <v>149</v>
      </c>
      <c r="DU28">
        <v>1.0271999999999999</v>
      </c>
      <c r="DV28" t="s">
        <v>152</v>
      </c>
      <c r="DW28" t="s">
        <v>152</v>
      </c>
      <c r="DX28" t="s">
        <v>155</v>
      </c>
      <c r="DY28" t="s">
        <v>152</v>
      </c>
      <c r="DZ28" t="s">
        <v>152</v>
      </c>
      <c r="EA28" s="151" t="s">
        <v>149</v>
      </c>
      <c r="EB28" s="151" t="s">
        <v>149</v>
      </c>
      <c r="EC28" s="127" t="s">
        <v>216</v>
      </c>
      <c r="ED28" s="127" t="s">
        <v>216</v>
      </c>
      <c r="EE28" s="151" t="s">
        <v>149</v>
      </c>
      <c r="EF28" s="151" t="s">
        <v>149</v>
      </c>
      <c r="EG28" s="151" t="s">
        <v>149</v>
      </c>
      <c r="EH28" t="s">
        <v>217</v>
      </c>
      <c r="EI28" t="s">
        <v>218</v>
      </c>
      <c r="EJ28" t="s">
        <v>215</v>
      </c>
      <c r="EK28" s="145">
        <v>1292</v>
      </c>
      <c r="EL28" t="s">
        <v>153</v>
      </c>
      <c r="EM28">
        <v>300</v>
      </c>
      <c r="EN28">
        <v>300</v>
      </c>
      <c r="EO28" s="151" t="s">
        <v>149</v>
      </c>
      <c r="EP28" s="151" t="s">
        <v>149</v>
      </c>
      <c r="EQ28" s="151" t="s">
        <v>149</v>
      </c>
      <c r="ER28" s="151" t="s">
        <v>149</v>
      </c>
      <c r="ES28" s="151" t="s">
        <v>149</v>
      </c>
      <c r="ET28" s="151" t="s">
        <v>149</v>
      </c>
      <c r="EU28" s="151" t="s">
        <v>149</v>
      </c>
      <c r="EV28" s="151" t="s">
        <v>149</v>
      </c>
      <c r="EW28" s="154">
        <f t="shared" si="8"/>
        <v>262.18284779826433</v>
      </c>
      <c r="EX28" s="151">
        <v>25</v>
      </c>
      <c r="EY28" s="151" t="s">
        <v>236</v>
      </c>
      <c r="EZ28" s="142">
        <v>262.18284779826433</v>
      </c>
      <c r="FA28" s="142">
        <v>94.563647135232827</v>
      </c>
      <c r="FB28" s="142">
        <v>79.014806302646974</v>
      </c>
      <c r="FC28" s="151" t="s">
        <v>237</v>
      </c>
      <c r="FD28" t="s">
        <v>219</v>
      </c>
      <c r="FE28" s="151" t="s">
        <v>149</v>
      </c>
      <c r="FF28" s="151" t="s">
        <v>149</v>
      </c>
      <c r="FG28" s="151" t="s">
        <v>149</v>
      </c>
      <c r="FH28" s="151" t="s">
        <v>149</v>
      </c>
      <c r="FI28" s="151" t="s">
        <v>149</v>
      </c>
      <c r="FJ28" s="151" t="s">
        <v>149</v>
      </c>
      <c r="FK28" s="151" t="s">
        <v>149</v>
      </c>
      <c r="FL28" s="151" t="s">
        <v>149</v>
      </c>
      <c r="FM28" s="151" t="s">
        <v>149</v>
      </c>
      <c r="FN28" s="151" t="s">
        <v>149</v>
      </c>
      <c r="FO28" s="151" t="s">
        <v>149</v>
      </c>
      <c r="FP28" s="151" t="s">
        <v>149</v>
      </c>
      <c r="FQ28" s="151" t="s">
        <v>242</v>
      </c>
    </row>
    <row r="29" spans="1:173" ht="19">
      <c r="A29" s="123" t="s">
        <v>148</v>
      </c>
      <c r="B29" t="s">
        <v>163</v>
      </c>
      <c r="C29">
        <v>2014</v>
      </c>
      <c r="D29" t="s">
        <v>165</v>
      </c>
      <c r="E29" s="141">
        <f t="shared" si="9"/>
        <v>16365.940566514155</v>
      </c>
      <c r="F29" s="141" t="str">
        <f t="shared" si="11"/>
        <v>NA</v>
      </c>
      <c r="G29" s="141" t="str">
        <f t="shared" si="12"/>
        <v>NA</v>
      </c>
      <c r="H29" s="128">
        <f t="shared" si="10"/>
        <v>502.21617331248439</v>
      </c>
      <c r="I29" s="128">
        <f t="shared" si="13"/>
        <v>207.2924022733518</v>
      </c>
      <c r="J29" s="128">
        <f t="shared" si="14"/>
        <v>161.61600554473853</v>
      </c>
      <c r="K29" t="s">
        <v>220</v>
      </c>
      <c r="L29" s="153" t="s">
        <v>241</v>
      </c>
      <c r="M29" s="1" t="s">
        <v>164</v>
      </c>
      <c r="N29" t="s">
        <v>165</v>
      </c>
      <c r="O29" s="131">
        <v>761</v>
      </c>
      <c r="P29" t="s">
        <v>166</v>
      </c>
      <c r="Q29" s="132">
        <v>6</v>
      </c>
      <c r="R29" s="132">
        <v>5</v>
      </c>
      <c r="S29" s="142">
        <v>88</v>
      </c>
      <c r="T29">
        <v>90</v>
      </c>
      <c r="U29" s="151" t="s">
        <v>149</v>
      </c>
      <c r="V29" s="134">
        <v>49.98</v>
      </c>
      <c r="W29" s="136" t="s">
        <v>167</v>
      </c>
      <c r="X29" t="s">
        <v>168</v>
      </c>
      <c r="Y29" s="136">
        <v>-16.739722220000001</v>
      </c>
      <c r="Z29" s="127">
        <v>115.53611110999999</v>
      </c>
      <c r="AA29" s="151" t="s">
        <v>149</v>
      </c>
      <c r="AB29" s="151" t="s">
        <v>149</v>
      </c>
      <c r="AC29">
        <v>-2179</v>
      </c>
      <c r="AD29" s="151" t="s">
        <v>149</v>
      </c>
      <c r="AE29" s="151" t="s">
        <v>149</v>
      </c>
      <c r="AF29" s="151" t="s">
        <v>149</v>
      </c>
      <c r="AG29" s="137">
        <v>16365.940566514155</v>
      </c>
      <c r="AH29" s="152" t="s">
        <v>149</v>
      </c>
      <c r="AI29" s="151" t="s">
        <v>149</v>
      </c>
      <c r="AJ29" s="151" t="s">
        <v>149</v>
      </c>
      <c r="AK29" s="138" t="s">
        <v>169</v>
      </c>
      <c r="AL29" s="138" t="s">
        <v>170</v>
      </c>
      <c r="AM29" s="138" t="s">
        <v>171</v>
      </c>
      <c r="AN29" t="s">
        <v>149</v>
      </c>
      <c r="AO29" t="s">
        <v>149</v>
      </c>
      <c r="AP29" t="s">
        <v>149</v>
      </c>
      <c r="AQ29" t="s">
        <v>149</v>
      </c>
      <c r="AR29" t="s">
        <v>149</v>
      </c>
      <c r="AS29" t="s">
        <v>149</v>
      </c>
      <c r="AT29" t="s">
        <v>149</v>
      </c>
      <c r="AU29" t="s">
        <v>172</v>
      </c>
      <c r="AV29" t="s">
        <v>150</v>
      </c>
      <c r="AW29" t="s">
        <v>239</v>
      </c>
      <c r="AX29" t="s">
        <v>240</v>
      </c>
      <c r="AY29" t="s">
        <v>173</v>
      </c>
      <c r="AZ29" t="s">
        <v>174</v>
      </c>
      <c r="BA29" t="s">
        <v>175</v>
      </c>
      <c r="BB29" s="140">
        <v>14.51</v>
      </c>
      <c r="BC29">
        <v>1</v>
      </c>
      <c r="BD29" s="141" t="s">
        <v>149</v>
      </c>
      <c r="BE29" s="133">
        <v>14.505965133148857</v>
      </c>
      <c r="BF29" t="s">
        <v>208</v>
      </c>
      <c r="BG29" s="134">
        <v>0.26774138664172942</v>
      </c>
      <c r="BH29">
        <v>0.83299999999999996</v>
      </c>
      <c r="BI29" t="s">
        <v>210</v>
      </c>
      <c r="BJ29" s="152" t="s">
        <v>149</v>
      </c>
      <c r="BK29">
        <v>2.67</v>
      </c>
      <c r="BL29" t="s">
        <v>210</v>
      </c>
      <c r="BM29" s="152" t="s">
        <v>149</v>
      </c>
      <c r="BN29" s="151" t="s">
        <v>238</v>
      </c>
      <c r="BO29" t="s">
        <v>209</v>
      </c>
      <c r="BP29" s="151" t="s">
        <v>149</v>
      </c>
      <c r="BQ29" s="151" t="s">
        <v>149</v>
      </c>
      <c r="BR29" s="151" t="s">
        <v>149</v>
      </c>
      <c r="BS29" s="151" t="s">
        <v>149</v>
      </c>
      <c r="BT29" s="151" t="s">
        <v>149</v>
      </c>
      <c r="BU29">
        <v>0</v>
      </c>
      <c r="BV29" s="151" t="s">
        <v>149</v>
      </c>
      <c r="BW29" s="151" t="s">
        <v>149</v>
      </c>
      <c r="BX29" s="133">
        <v>31.14872048146589</v>
      </c>
      <c r="BY29" t="s">
        <v>210</v>
      </c>
      <c r="BZ29">
        <v>3</v>
      </c>
      <c r="CA29">
        <v>3</v>
      </c>
      <c r="CB29" s="151" t="s">
        <v>149</v>
      </c>
      <c r="CC29" s="133">
        <v>4.1911351748941899</v>
      </c>
      <c r="CD29" t="s">
        <v>210</v>
      </c>
      <c r="CE29" s="141">
        <f t="shared" si="6"/>
        <v>6.2867027623412841E-2</v>
      </c>
      <c r="CF29" s="141">
        <f t="shared" si="7"/>
        <v>6.2867027623412841E-2</v>
      </c>
      <c r="CG29" s="151" t="s">
        <v>149</v>
      </c>
      <c r="CH29" t="s">
        <v>211</v>
      </c>
      <c r="CI29" s="151">
        <v>3.43</v>
      </c>
      <c r="CJ29" t="s">
        <v>214</v>
      </c>
      <c r="CK29" s="151" t="s">
        <v>149</v>
      </c>
      <c r="CL29" s="151" t="s">
        <v>149</v>
      </c>
      <c r="CM29" s="151" t="s">
        <v>149</v>
      </c>
      <c r="CN29" t="s">
        <v>149</v>
      </c>
      <c r="CO29" t="s">
        <v>149</v>
      </c>
      <c r="CP29" t="s">
        <v>149</v>
      </c>
      <c r="CQ29" t="s">
        <v>149</v>
      </c>
      <c r="CR29" t="s">
        <v>149</v>
      </c>
      <c r="CS29" t="s">
        <v>149</v>
      </c>
      <c r="CT29" t="s">
        <v>149</v>
      </c>
      <c r="CU29">
        <v>35</v>
      </c>
      <c r="CV29" t="s">
        <v>212</v>
      </c>
      <c r="CW29">
        <v>3</v>
      </c>
      <c r="CX29" t="s">
        <v>213</v>
      </c>
      <c r="CY29">
        <v>14</v>
      </c>
      <c r="CZ29" s="151" t="s">
        <v>149</v>
      </c>
      <c r="DA29" s="151" t="s">
        <v>149</v>
      </c>
      <c r="DB29" s="144" t="s">
        <v>214</v>
      </c>
      <c r="DC29" s="144">
        <v>45</v>
      </c>
      <c r="DD29" s="151" t="s">
        <v>149</v>
      </c>
      <c r="DE29" s="151" t="s">
        <v>149</v>
      </c>
      <c r="DF29" t="s">
        <v>214</v>
      </c>
      <c r="DG29" s="151" t="s">
        <v>149</v>
      </c>
      <c r="DH29" s="151" t="s">
        <v>149</v>
      </c>
      <c r="DI29" s="151" t="s">
        <v>149</v>
      </c>
      <c r="DJ29" s="151" t="s">
        <v>149</v>
      </c>
      <c r="DK29">
        <v>432.6</v>
      </c>
      <c r="DL29" s="151" t="s">
        <v>149</v>
      </c>
      <c r="DM29" s="151" t="s">
        <v>149</v>
      </c>
      <c r="DN29" s="151" t="s">
        <v>235</v>
      </c>
      <c r="DO29" s="145">
        <v>37.82</v>
      </c>
      <c r="DP29" s="127" t="s">
        <v>210</v>
      </c>
      <c r="DQ29" s="127">
        <v>0.7</v>
      </c>
      <c r="DR29" t="s">
        <v>215</v>
      </c>
      <c r="DS29" t="s">
        <v>151</v>
      </c>
      <c r="DT29" s="151" t="s">
        <v>149</v>
      </c>
      <c r="DU29">
        <v>1.0271999999999999</v>
      </c>
      <c r="DV29" t="s">
        <v>152</v>
      </c>
      <c r="DW29" t="s">
        <v>152</v>
      </c>
      <c r="DX29" t="s">
        <v>155</v>
      </c>
      <c r="DY29" t="s">
        <v>152</v>
      </c>
      <c r="DZ29" t="s">
        <v>152</v>
      </c>
      <c r="EA29" s="151" t="s">
        <v>149</v>
      </c>
      <c r="EB29" s="151" t="s">
        <v>149</v>
      </c>
      <c r="EC29" s="127" t="s">
        <v>216</v>
      </c>
      <c r="ED29" s="127" t="s">
        <v>216</v>
      </c>
      <c r="EE29" s="151" t="s">
        <v>149</v>
      </c>
      <c r="EF29" s="151" t="s">
        <v>149</v>
      </c>
      <c r="EG29" s="151" t="s">
        <v>149</v>
      </c>
      <c r="EH29" t="s">
        <v>217</v>
      </c>
      <c r="EI29" t="s">
        <v>218</v>
      </c>
      <c r="EJ29" t="s">
        <v>215</v>
      </c>
      <c r="EK29">
        <v>1292</v>
      </c>
      <c r="EL29" t="s">
        <v>153</v>
      </c>
      <c r="EM29">
        <v>300</v>
      </c>
      <c r="EN29">
        <v>300</v>
      </c>
      <c r="EO29" s="151" t="s">
        <v>149</v>
      </c>
      <c r="EP29" s="151" t="s">
        <v>149</v>
      </c>
      <c r="EQ29" s="151" t="s">
        <v>149</v>
      </c>
      <c r="ER29" s="151" t="s">
        <v>149</v>
      </c>
      <c r="ES29" s="151" t="s">
        <v>149</v>
      </c>
      <c r="ET29" s="151" t="s">
        <v>149</v>
      </c>
      <c r="EU29" s="151" t="s">
        <v>149</v>
      </c>
      <c r="EV29" s="151" t="s">
        <v>149</v>
      </c>
      <c r="EW29" s="154">
        <f t="shared" si="8"/>
        <v>502.21617331248439</v>
      </c>
      <c r="EX29" s="151">
        <v>25</v>
      </c>
      <c r="EY29" s="151" t="s">
        <v>236</v>
      </c>
      <c r="EZ29" s="142">
        <v>502.21617331248439</v>
      </c>
      <c r="FA29" s="142">
        <v>207.2924022733518</v>
      </c>
      <c r="FB29" s="142">
        <v>161.61600554473853</v>
      </c>
      <c r="FC29" s="151" t="s">
        <v>237</v>
      </c>
      <c r="FD29" t="s">
        <v>219</v>
      </c>
      <c r="FE29" s="151" t="s">
        <v>149</v>
      </c>
      <c r="FF29" s="151" t="s">
        <v>149</v>
      </c>
      <c r="FG29" s="151" t="s">
        <v>149</v>
      </c>
      <c r="FH29" s="151" t="s">
        <v>149</v>
      </c>
      <c r="FI29" s="151" t="s">
        <v>149</v>
      </c>
      <c r="FJ29" s="151" t="s">
        <v>149</v>
      </c>
      <c r="FK29" s="151" t="s">
        <v>149</v>
      </c>
      <c r="FL29" s="151" t="s">
        <v>149</v>
      </c>
      <c r="FM29" s="151" t="s">
        <v>149</v>
      </c>
      <c r="FN29" s="151" t="s">
        <v>149</v>
      </c>
      <c r="FO29" s="151" t="s">
        <v>149</v>
      </c>
      <c r="FP29" s="151" t="s">
        <v>149</v>
      </c>
      <c r="FQ29" s="151" t="s">
        <v>242</v>
      </c>
    </row>
    <row r="30" spans="1:173" ht="19">
      <c r="A30" s="123" t="s">
        <v>148</v>
      </c>
      <c r="B30" t="s">
        <v>163</v>
      </c>
      <c r="C30">
        <v>2014</v>
      </c>
      <c r="D30" t="s">
        <v>165</v>
      </c>
      <c r="E30" s="141">
        <f t="shared" si="9"/>
        <v>16398.951751365417</v>
      </c>
      <c r="F30" s="141" t="str">
        <f t="shared" si="11"/>
        <v>NA</v>
      </c>
      <c r="G30" s="141" t="str">
        <f t="shared" si="12"/>
        <v>NA</v>
      </c>
      <c r="H30" s="128">
        <f t="shared" si="10"/>
        <v>430.21114489563274</v>
      </c>
      <c r="I30" s="128">
        <f t="shared" si="13"/>
        <v>171.40024669923764</v>
      </c>
      <c r="J30" s="128">
        <f t="shared" si="14"/>
        <v>137.40491959377255</v>
      </c>
      <c r="K30" t="s">
        <v>220</v>
      </c>
      <c r="L30" s="153" t="s">
        <v>241</v>
      </c>
      <c r="M30" s="1" t="s">
        <v>164</v>
      </c>
      <c r="N30" t="s">
        <v>165</v>
      </c>
      <c r="O30" s="131">
        <v>761</v>
      </c>
      <c r="P30" t="s">
        <v>166</v>
      </c>
      <c r="Q30" s="132">
        <v>6</v>
      </c>
      <c r="R30" s="132">
        <v>5</v>
      </c>
      <c r="S30" s="142">
        <v>98</v>
      </c>
      <c r="T30">
        <v>100</v>
      </c>
      <c r="U30" s="151" t="s">
        <v>149</v>
      </c>
      <c r="V30" s="134">
        <v>50.08</v>
      </c>
      <c r="W30" s="136" t="s">
        <v>167</v>
      </c>
      <c r="X30" t="s">
        <v>168</v>
      </c>
      <c r="Y30" s="136">
        <v>-16.739722220000001</v>
      </c>
      <c r="Z30" s="127">
        <v>115.53611110999999</v>
      </c>
      <c r="AA30" s="151" t="s">
        <v>149</v>
      </c>
      <c r="AB30" s="151" t="s">
        <v>149</v>
      </c>
      <c r="AC30">
        <v>-2179</v>
      </c>
      <c r="AD30" s="151" t="s">
        <v>149</v>
      </c>
      <c r="AE30" s="151" t="s">
        <v>149</v>
      </c>
      <c r="AF30" s="151" t="s">
        <v>149</v>
      </c>
      <c r="AG30" s="137">
        <v>16398.951751365417</v>
      </c>
      <c r="AH30" s="152" t="s">
        <v>149</v>
      </c>
      <c r="AI30" s="151" t="s">
        <v>149</v>
      </c>
      <c r="AJ30" s="151" t="s">
        <v>149</v>
      </c>
      <c r="AK30" s="138" t="s">
        <v>169</v>
      </c>
      <c r="AL30" s="138" t="s">
        <v>170</v>
      </c>
      <c r="AM30" s="138" t="s">
        <v>171</v>
      </c>
      <c r="AN30" t="s">
        <v>149</v>
      </c>
      <c r="AO30" t="s">
        <v>149</v>
      </c>
      <c r="AP30" t="s">
        <v>149</v>
      </c>
      <c r="AQ30" t="s">
        <v>149</v>
      </c>
      <c r="AR30" t="s">
        <v>149</v>
      </c>
      <c r="AS30" t="s">
        <v>149</v>
      </c>
      <c r="AT30" t="s">
        <v>149</v>
      </c>
      <c r="AU30" t="s">
        <v>172</v>
      </c>
      <c r="AV30" t="s">
        <v>150</v>
      </c>
      <c r="AW30" t="s">
        <v>239</v>
      </c>
      <c r="AX30" t="s">
        <v>240</v>
      </c>
      <c r="AY30" t="s">
        <v>173</v>
      </c>
      <c r="AZ30" t="s">
        <v>174</v>
      </c>
      <c r="BA30" t="s">
        <v>175</v>
      </c>
      <c r="BB30" s="140">
        <v>14.9</v>
      </c>
      <c r="BC30">
        <v>1</v>
      </c>
      <c r="BD30" s="141" t="s">
        <v>149</v>
      </c>
      <c r="BE30" s="133">
        <v>14.899397221831624</v>
      </c>
      <c r="BF30" t="s">
        <v>208</v>
      </c>
      <c r="BG30" s="134">
        <v>0.279188199842136</v>
      </c>
      <c r="BH30">
        <v>0.83299999999999996</v>
      </c>
      <c r="BI30" t="s">
        <v>210</v>
      </c>
      <c r="BJ30" s="152" t="s">
        <v>149</v>
      </c>
      <c r="BK30">
        <v>2.67</v>
      </c>
      <c r="BL30" t="s">
        <v>210</v>
      </c>
      <c r="BM30" s="152" t="s">
        <v>149</v>
      </c>
      <c r="BN30" s="151" t="s">
        <v>238</v>
      </c>
      <c r="BO30" t="s">
        <v>209</v>
      </c>
      <c r="BP30" s="151" t="s">
        <v>149</v>
      </c>
      <c r="BQ30" s="151" t="s">
        <v>149</v>
      </c>
      <c r="BR30" s="151" t="s">
        <v>149</v>
      </c>
      <c r="BS30" s="151" t="s">
        <v>149</v>
      </c>
      <c r="BT30" s="151" t="s">
        <v>149</v>
      </c>
      <c r="BU30">
        <v>0</v>
      </c>
      <c r="BV30" s="151" t="s">
        <v>149</v>
      </c>
      <c r="BW30" s="151" t="s">
        <v>149</v>
      </c>
      <c r="BX30" s="133">
        <v>31.513364271240881</v>
      </c>
      <c r="BY30" t="s">
        <v>210</v>
      </c>
      <c r="BZ30">
        <v>3</v>
      </c>
      <c r="CA30">
        <v>3</v>
      </c>
      <c r="CB30" s="151" t="s">
        <v>149</v>
      </c>
      <c r="CC30" s="133">
        <v>4.303185136833874</v>
      </c>
      <c r="CD30" t="s">
        <v>210</v>
      </c>
      <c r="CE30" s="141">
        <f t="shared" si="6"/>
        <v>6.454777705250811E-2</v>
      </c>
      <c r="CF30" s="141">
        <f t="shared" si="7"/>
        <v>6.454777705250811E-2</v>
      </c>
      <c r="CG30" s="151" t="s">
        <v>149</v>
      </c>
      <c r="CH30" t="s">
        <v>211</v>
      </c>
      <c r="CI30" s="151">
        <v>3.43</v>
      </c>
      <c r="CJ30" t="s">
        <v>214</v>
      </c>
      <c r="CK30" s="151" t="s">
        <v>149</v>
      </c>
      <c r="CL30" s="151" t="s">
        <v>149</v>
      </c>
      <c r="CM30" s="151" t="s">
        <v>149</v>
      </c>
      <c r="CN30" t="s">
        <v>149</v>
      </c>
      <c r="CO30" t="s">
        <v>149</v>
      </c>
      <c r="CP30" t="s">
        <v>149</v>
      </c>
      <c r="CQ30" t="s">
        <v>149</v>
      </c>
      <c r="CR30" t="s">
        <v>149</v>
      </c>
      <c r="CS30" t="s">
        <v>149</v>
      </c>
      <c r="CT30" t="s">
        <v>149</v>
      </c>
      <c r="CU30">
        <v>35</v>
      </c>
      <c r="CV30" t="s">
        <v>212</v>
      </c>
      <c r="CW30">
        <v>3</v>
      </c>
      <c r="CX30" t="s">
        <v>213</v>
      </c>
      <c r="CY30">
        <v>14</v>
      </c>
      <c r="CZ30" s="151" t="s">
        <v>149</v>
      </c>
      <c r="DA30" s="151" t="s">
        <v>149</v>
      </c>
      <c r="DB30" s="144" t="s">
        <v>214</v>
      </c>
      <c r="DC30" s="144">
        <v>45</v>
      </c>
      <c r="DD30" s="151" t="s">
        <v>149</v>
      </c>
      <c r="DE30" s="151" t="s">
        <v>149</v>
      </c>
      <c r="DF30" t="s">
        <v>214</v>
      </c>
      <c r="DG30" s="151" t="s">
        <v>149</v>
      </c>
      <c r="DH30" s="151" t="s">
        <v>149</v>
      </c>
      <c r="DI30" s="151" t="s">
        <v>149</v>
      </c>
      <c r="DJ30" s="151" t="s">
        <v>149</v>
      </c>
      <c r="DK30">
        <v>432.6</v>
      </c>
      <c r="DL30" s="151" t="s">
        <v>149</v>
      </c>
      <c r="DM30" s="151" t="s">
        <v>149</v>
      </c>
      <c r="DN30" s="151" t="s">
        <v>235</v>
      </c>
      <c r="DO30" s="145">
        <v>37.82</v>
      </c>
      <c r="DP30" s="127" t="s">
        <v>210</v>
      </c>
      <c r="DQ30" s="127">
        <v>0.7</v>
      </c>
      <c r="DR30" t="s">
        <v>215</v>
      </c>
      <c r="DS30" t="s">
        <v>151</v>
      </c>
      <c r="DT30" s="151" t="s">
        <v>149</v>
      </c>
      <c r="DU30">
        <v>1.0271999999999999</v>
      </c>
      <c r="DV30" t="s">
        <v>152</v>
      </c>
      <c r="DW30" t="s">
        <v>152</v>
      </c>
      <c r="DX30" t="s">
        <v>155</v>
      </c>
      <c r="DY30" t="s">
        <v>152</v>
      </c>
      <c r="DZ30" t="s">
        <v>152</v>
      </c>
      <c r="EA30" s="151" t="s">
        <v>149</v>
      </c>
      <c r="EB30" s="151" t="s">
        <v>149</v>
      </c>
      <c r="EC30" s="127" t="s">
        <v>216</v>
      </c>
      <c r="ED30" s="127" t="s">
        <v>216</v>
      </c>
      <c r="EE30" s="151" t="s">
        <v>149</v>
      </c>
      <c r="EF30" s="151" t="s">
        <v>149</v>
      </c>
      <c r="EG30" s="151" t="s">
        <v>149</v>
      </c>
      <c r="EH30" t="s">
        <v>217</v>
      </c>
      <c r="EI30" t="s">
        <v>218</v>
      </c>
      <c r="EJ30" t="s">
        <v>215</v>
      </c>
      <c r="EK30" s="145">
        <v>1292</v>
      </c>
      <c r="EL30" t="s">
        <v>153</v>
      </c>
      <c r="EM30">
        <v>300</v>
      </c>
      <c r="EN30">
        <v>300</v>
      </c>
      <c r="EO30" s="151" t="s">
        <v>149</v>
      </c>
      <c r="EP30" s="151" t="s">
        <v>149</v>
      </c>
      <c r="EQ30" s="151" t="s">
        <v>149</v>
      </c>
      <c r="ER30" s="151" t="s">
        <v>149</v>
      </c>
      <c r="ES30" s="151" t="s">
        <v>149</v>
      </c>
      <c r="ET30" s="151" t="s">
        <v>149</v>
      </c>
      <c r="EU30" s="151" t="s">
        <v>149</v>
      </c>
      <c r="EV30" s="151" t="s">
        <v>149</v>
      </c>
      <c r="EW30" s="154">
        <f t="shared" si="8"/>
        <v>430.21114489563274</v>
      </c>
      <c r="EX30" s="151">
        <v>25</v>
      </c>
      <c r="EY30" s="151" t="s">
        <v>236</v>
      </c>
      <c r="EZ30" s="142">
        <v>430.21114489563274</v>
      </c>
      <c r="FA30" s="142">
        <v>171.40024669923764</v>
      </c>
      <c r="FB30" s="142">
        <v>137.40491959377255</v>
      </c>
      <c r="FC30" s="151" t="s">
        <v>237</v>
      </c>
      <c r="FD30" t="s">
        <v>219</v>
      </c>
      <c r="FE30" s="151" t="s">
        <v>149</v>
      </c>
      <c r="FF30" s="151" t="s">
        <v>149</v>
      </c>
      <c r="FG30" s="151" t="s">
        <v>149</v>
      </c>
      <c r="FH30" s="151" t="s">
        <v>149</v>
      </c>
      <c r="FI30" s="151" t="s">
        <v>149</v>
      </c>
      <c r="FJ30" s="151" t="s">
        <v>149</v>
      </c>
      <c r="FK30" s="151" t="s">
        <v>149</v>
      </c>
      <c r="FL30" s="151" t="s">
        <v>149</v>
      </c>
      <c r="FM30" s="151" t="s">
        <v>149</v>
      </c>
      <c r="FN30" s="151" t="s">
        <v>149</v>
      </c>
      <c r="FO30" s="151" t="s">
        <v>149</v>
      </c>
      <c r="FP30" s="151" t="s">
        <v>149</v>
      </c>
      <c r="FQ30" s="151" t="s">
        <v>242</v>
      </c>
    </row>
    <row r="31" spans="1:173" ht="19">
      <c r="A31" s="123" t="s">
        <v>148</v>
      </c>
      <c r="B31" t="s">
        <v>163</v>
      </c>
      <c r="C31">
        <v>2014</v>
      </c>
      <c r="D31" t="s">
        <v>165</v>
      </c>
      <c r="E31" s="141">
        <f t="shared" si="9"/>
        <v>16415.662099296926</v>
      </c>
      <c r="F31" s="141" t="str">
        <f t="shared" si="11"/>
        <v>NA</v>
      </c>
      <c r="G31" s="141" t="str">
        <f t="shared" si="12"/>
        <v>NA</v>
      </c>
      <c r="H31" s="128">
        <f t="shared" si="10"/>
        <v>221.47933147603226</v>
      </c>
      <c r="I31" s="128">
        <f t="shared" si="13"/>
        <v>78.991795628069951</v>
      </c>
      <c r="J31" s="128">
        <f t="shared" si="14"/>
        <v>65.593264493833317</v>
      </c>
      <c r="K31" t="s">
        <v>220</v>
      </c>
      <c r="L31" s="153" t="s">
        <v>241</v>
      </c>
      <c r="M31" s="1" t="s">
        <v>164</v>
      </c>
      <c r="N31" t="s">
        <v>165</v>
      </c>
      <c r="O31" s="131">
        <v>761</v>
      </c>
      <c r="P31" t="s">
        <v>166</v>
      </c>
      <c r="Q31" s="132">
        <v>6</v>
      </c>
      <c r="R31" s="132">
        <v>5</v>
      </c>
      <c r="S31" s="142">
        <v>103</v>
      </c>
      <c r="T31">
        <v>105</v>
      </c>
      <c r="U31" s="151" t="s">
        <v>149</v>
      </c>
      <c r="V31" s="134">
        <v>50.13</v>
      </c>
      <c r="W31" s="136" t="s">
        <v>167</v>
      </c>
      <c r="X31" t="s">
        <v>168</v>
      </c>
      <c r="Y31" s="136">
        <v>-16.739722220000001</v>
      </c>
      <c r="Z31" s="127">
        <v>115.53611110999999</v>
      </c>
      <c r="AA31" s="151" t="s">
        <v>149</v>
      </c>
      <c r="AB31" s="151" t="s">
        <v>149</v>
      </c>
      <c r="AC31">
        <v>-2179</v>
      </c>
      <c r="AD31" s="151" t="s">
        <v>149</v>
      </c>
      <c r="AE31" s="151" t="s">
        <v>149</v>
      </c>
      <c r="AF31" s="151" t="s">
        <v>149</v>
      </c>
      <c r="AG31" s="133">
        <v>16415.662099296926</v>
      </c>
      <c r="AH31" s="152" t="s">
        <v>149</v>
      </c>
      <c r="AI31" s="151" t="s">
        <v>149</v>
      </c>
      <c r="AJ31" s="151" t="s">
        <v>149</v>
      </c>
      <c r="AK31" s="138" t="s">
        <v>169</v>
      </c>
      <c r="AL31" s="138" t="s">
        <v>170</v>
      </c>
      <c r="AM31" s="138" t="s">
        <v>171</v>
      </c>
      <c r="AN31" t="s">
        <v>149</v>
      </c>
      <c r="AO31" t="s">
        <v>149</v>
      </c>
      <c r="AP31" t="s">
        <v>149</v>
      </c>
      <c r="AQ31" t="s">
        <v>149</v>
      </c>
      <c r="AR31" t="s">
        <v>149</v>
      </c>
      <c r="AS31" t="s">
        <v>149</v>
      </c>
      <c r="AT31" t="s">
        <v>149</v>
      </c>
      <c r="AU31" t="s">
        <v>172</v>
      </c>
      <c r="AV31" t="s">
        <v>150</v>
      </c>
      <c r="AW31" t="s">
        <v>239</v>
      </c>
      <c r="AX31" t="s">
        <v>240</v>
      </c>
      <c r="AY31" t="s">
        <v>173</v>
      </c>
      <c r="AZ31" t="s">
        <v>174</v>
      </c>
      <c r="BA31" t="s">
        <v>175</v>
      </c>
      <c r="BB31" s="140" t="s">
        <v>200</v>
      </c>
      <c r="BC31">
        <v>2</v>
      </c>
      <c r="BD31" s="141">
        <v>5.5459694326920319E-3</v>
      </c>
      <c r="BE31" s="133">
        <v>16.804112444955848</v>
      </c>
      <c r="BF31" t="s">
        <v>208</v>
      </c>
      <c r="BG31" s="134">
        <v>0.23631448075553288</v>
      </c>
      <c r="BH31">
        <v>0.83299999999999996</v>
      </c>
      <c r="BI31" t="s">
        <v>210</v>
      </c>
      <c r="BJ31" s="152" t="s">
        <v>149</v>
      </c>
      <c r="BK31">
        <v>2.67</v>
      </c>
      <c r="BL31" t="s">
        <v>210</v>
      </c>
      <c r="BM31" s="152" t="s">
        <v>149</v>
      </c>
      <c r="BN31" s="151" t="s">
        <v>238</v>
      </c>
      <c r="BO31" t="s">
        <v>209</v>
      </c>
      <c r="BP31" s="151" t="s">
        <v>149</v>
      </c>
      <c r="BQ31" s="151" t="s">
        <v>149</v>
      </c>
      <c r="BR31" s="151" t="s">
        <v>149</v>
      </c>
      <c r="BS31" s="151" t="s">
        <v>149</v>
      </c>
      <c r="BT31" s="151" t="s">
        <v>149</v>
      </c>
      <c r="BU31">
        <v>0</v>
      </c>
      <c r="BV31" s="151" t="s">
        <v>149</v>
      </c>
      <c r="BW31" s="151" t="s">
        <v>149</v>
      </c>
      <c r="BX31" s="133">
        <v>31.261730087135291</v>
      </c>
      <c r="BY31" t="s">
        <v>210</v>
      </c>
      <c r="BZ31">
        <v>3</v>
      </c>
      <c r="CA31">
        <v>3</v>
      </c>
      <c r="CB31" s="151" t="s">
        <v>149</v>
      </c>
      <c r="CC31" s="133">
        <v>4.2546824904655169</v>
      </c>
      <c r="CD31" t="s">
        <v>210</v>
      </c>
      <c r="CE31" s="141">
        <f t="shared" si="6"/>
        <v>6.3820237356982751E-2</v>
      </c>
      <c r="CF31" s="141">
        <f t="shared" si="7"/>
        <v>6.3820237356982751E-2</v>
      </c>
      <c r="CG31" s="151" t="s">
        <v>149</v>
      </c>
      <c r="CH31" t="s">
        <v>211</v>
      </c>
      <c r="CI31" s="151">
        <v>3.43</v>
      </c>
      <c r="CJ31" t="s">
        <v>214</v>
      </c>
      <c r="CK31" s="151" t="s">
        <v>149</v>
      </c>
      <c r="CL31" s="151" t="s">
        <v>149</v>
      </c>
      <c r="CM31" s="151" t="s">
        <v>149</v>
      </c>
      <c r="CN31" t="s">
        <v>149</v>
      </c>
      <c r="CO31" t="s">
        <v>149</v>
      </c>
      <c r="CP31" t="s">
        <v>149</v>
      </c>
      <c r="CQ31" t="s">
        <v>149</v>
      </c>
      <c r="CR31" t="s">
        <v>149</v>
      </c>
      <c r="CS31" t="s">
        <v>149</v>
      </c>
      <c r="CT31" t="s">
        <v>149</v>
      </c>
      <c r="CU31">
        <v>35</v>
      </c>
      <c r="CV31" t="s">
        <v>212</v>
      </c>
      <c r="CW31">
        <v>3</v>
      </c>
      <c r="CX31" t="s">
        <v>213</v>
      </c>
      <c r="CY31">
        <v>14</v>
      </c>
      <c r="CZ31" s="151" t="s">
        <v>149</v>
      </c>
      <c r="DA31" s="151" t="s">
        <v>149</v>
      </c>
      <c r="DB31" s="144" t="s">
        <v>214</v>
      </c>
      <c r="DC31" s="144">
        <v>45</v>
      </c>
      <c r="DD31" s="151" t="s">
        <v>149</v>
      </c>
      <c r="DE31" s="151" t="s">
        <v>149</v>
      </c>
      <c r="DF31" t="s">
        <v>214</v>
      </c>
      <c r="DG31" s="151" t="s">
        <v>149</v>
      </c>
      <c r="DH31" s="151" t="s">
        <v>149</v>
      </c>
      <c r="DI31" s="151" t="s">
        <v>149</v>
      </c>
      <c r="DJ31" s="151" t="s">
        <v>149</v>
      </c>
      <c r="DK31">
        <v>432.6</v>
      </c>
      <c r="DL31" s="151" t="s">
        <v>149</v>
      </c>
      <c r="DM31" s="151" t="s">
        <v>149</v>
      </c>
      <c r="DN31" s="151" t="s">
        <v>235</v>
      </c>
      <c r="DO31" s="145">
        <v>37.82</v>
      </c>
      <c r="DP31" s="127" t="s">
        <v>210</v>
      </c>
      <c r="DQ31" s="127">
        <v>0.7</v>
      </c>
      <c r="DR31" t="s">
        <v>215</v>
      </c>
      <c r="DS31" t="s">
        <v>151</v>
      </c>
      <c r="DT31" s="151" t="s">
        <v>149</v>
      </c>
      <c r="DU31">
        <v>1.0271999999999999</v>
      </c>
      <c r="DV31" t="s">
        <v>152</v>
      </c>
      <c r="DW31" t="s">
        <v>152</v>
      </c>
      <c r="DX31" t="s">
        <v>155</v>
      </c>
      <c r="DY31" t="s">
        <v>152</v>
      </c>
      <c r="DZ31" t="s">
        <v>152</v>
      </c>
      <c r="EA31" s="151" t="s">
        <v>149</v>
      </c>
      <c r="EB31" s="151" t="s">
        <v>149</v>
      </c>
      <c r="EC31" s="127" t="s">
        <v>216</v>
      </c>
      <c r="ED31" s="127" t="s">
        <v>216</v>
      </c>
      <c r="EE31" s="151" t="s">
        <v>149</v>
      </c>
      <c r="EF31" s="151" t="s">
        <v>149</v>
      </c>
      <c r="EG31" s="151" t="s">
        <v>149</v>
      </c>
      <c r="EH31" t="s">
        <v>217</v>
      </c>
      <c r="EI31" t="s">
        <v>218</v>
      </c>
      <c r="EJ31" t="s">
        <v>215</v>
      </c>
      <c r="EK31">
        <v>1292</v>
      </c>
      <c r="EL31" t="s">
        <v>153</v>
      </c>
      <c r="EM31">
        <v>300</v>
      </c>
      <c r="EN31">
        <v>300</v>
      </c>
      <c r="EO31" s="151" t="s">
        <v>149</v>
      </c>
      <c r="EP31" s="151" t="s">
        <v>149</v>
      </c>
      <c r="EQ31" s="151" t="s">
        <v>149</v>
      </c>
      <c r="ER31" s="151" t="s">
        <v>149</v>
      </c>
      <c r="ES31" s="151" t="s">
        <v>149</v>
      </c>
      <c r="ET31" s="151" t="s">
        <v>149</v>
      </c>
      <c r="EU31" s="151" t="s">
        <v>149</v>
      </c>
      <c r="EV31" s="151" t="s">
        <v>149</v>
      </c>
      <c r="EW31" s="154">
        <f t="shared" si="8"/>
        <v>221.47933147603226</v>
      </c>
      <c r="EX31" s="151">
        <v>25</v>
      </c>
      <c r="EY31" s="151" t="s">
        <v>236</v>
      </c>
      <c r="EZ31" s="142">
        <v>221.47933147603226</v>
      </c>
      <c r="FA31" s="142">
        <v>78.991795628069951</v>
      </c>
      <c r="FB31" s="142">
        <v>65.593264493833317</v>
      </c>
      <c r="FC31" s="151" t="s">
        <v>237</v>
      </c>
      <c r="FD31" t="s">
        <v>219</v>
      </c>
      <c r="FE31" s="151" t="s">
        <v>149</v>
      </c>
      <c r="FF31" s="151" t="s">
        <v>149</v>
      </c>
      <c r="FG31" s="151" t="s">
        <v>149</v>
      </c>
      <c r="FH31" s="151" t="s">
        <v>149</v>
      </c>
      <c r="FI31" s="151" t="s">
        <v>149</v>
      </c>
      <c r="FJ31" s="151" t="s">
        <v>149</v>
      </c>
      <c r="FK31" s="151" t="s">
        <v>149</v>
      </c>
      <c r="FL31" s="151" t="s">
        <v>149</v>
      </c>
      <c r="FM31" s="151" t="s">
        <v>149</v>
      </c>
      <c r="FN31" s="151" t="s">
        <v>149</v>
      </c>
      <c r="FO31" s="151" t="s">
        <v>149</v>
      </c>
      <c r="FP31" s="151" t="s">
        <v>149</v>
      </c>
      <c r="FQ31" s="151" t="s">
        <v>242</v>
      </c>
    </row>
    <row r="32" spans="1:173" ht="19">
      <c r="A32" s="123" t="s">
        <v>148</v>
      </c>
      <c r="B32" t="s">
        <v>163</v>
      </c>
      <c r="C32">
        <v>2014</v>
      </c>
      <c r="D32" t="s">
        <v>165</v>
      </c>
      <c r="E32" s="141">
        <f t="shared" si="9"/>
        <v>16466.650546709614</v>
      </c>
      <c r="F32" s="141" t="str">
        <f t="shared" si="11"/>
        <v>NA</v>
      </c>
      <c r="G32" s="141" t="str">
        <f t="shared" si="12"/>
        <v>NA</v>
      </c>
      <c r="H32" s="128">
        <f t="shared" si="10"/>
        <v>531.66150985046795</v>
      </c>
      <c r="I32" s="128">
        <f t="shared" si="13"/>
        <v>338.71974181943733</v>
      </c>
      <c r="J32" s="128">
        <f t="shared" si="14"/>
        <v>212.85855684551876</v>
      </c>
      <c r="K32" t="s">
        <v>220</v>
      </c>
      <c r="L32" s="153" t="s">
        <v>241</v>
      </c>
      <c r="M32" s="1" t="s">
        <v>164</v>
      </c>
      <c r="N32" t="s">
        <v>165</v>
      </c>
      <c r="O32" s="131">
        <v>761</v>
      </c>
      <c r="P32" t="s">
        <v>166</v>
      </c>
      <c r="Q32" s="132">
        <v>6</v>
      </c>
      <c r="R32" s="132">
        <v>5</v>
      </c>
      <c r="S32" s="142">
        <v>118</v>
      </c>
      <c r="T32">
        <v>120</v>
      </c>
      <c r="U32" s="151" t="s">
        <v>149</v>
      </c>
      <c r="V32" s="134">
        <v>50.28</v>
      </c>
      <c r="W32" s="136" t="s">
        <v>167</v>
      </c>
      <c r="X32" t="s">
        <v>168</v>
      </c>
      <c r="Y32" s="136">
        <v>-16.739722220000001</v>
      </c>
      <c r="Z32" s="127">
        <v>115.53611110999999</v>
      </c>
      <c r="AA32" s="151" t="s">
        <v>149</v>
      </c>
      <c r="AB32" s="151" t="s">
        <v>149</v>
      </c>
      <c r="AC32">
        <v>-2179</v>
      </c>
      <c r="AD32" s="151" t="s">
        <v>149</v>
      </c>
      <c r="AE32" s="151" t="s">
        <v>149</v>
      </c>
      <c r="AF32" s="151" t="s">
        <v>149</v>
      </c>
      <c r="AG32" s="137">
        <v>16466.650546709614</v>
      </c>
      <c r="AH32" s="152" t="s">
        <v>149</v>
      </c>
      <c r="AI32" s="151" t="s">
        <v>149</v>
      </c>
      <c r="AJ32" s="151" t="s">
        <v>149</v>
      </c>
      <c r="AK32" s="138" t="s">
        <v>169</v>
      </c>
      <c r="AL32" s="138" t="s">
        <v>170</v>
      </c>
      <c r="AM32" s="138" t="s">
        <v>171</v>
      </c>
      <c r="AN32" t="s">
        <v>149</v>
      </c>
      <c r="AO32" t="s">
        <v>149</v>
      </c>
      <c r="AP32" t="s">
        <v>149</v>
      </c>
      <c r="AQ32" t="s">
        <v>149</v>
      </c>
      <c r="AR32" t="s">
        <v>149</v>
      </c>
      <c r="AS32" t="s">
        <v>149</v>
      </c>
      <c r="AT32" t="s">
        <v>149</v>
      </c>
      <c r="AU32" t="s">
        <v>172</v>
      </c>
      <c r="AV32" t="s">
        <v>150</v>
      </c>
      <c r="AW32" t="s">
        <v>239</v>
      </c>
      <c r="AX32" t="s">
        <v>240</v>
      </c>
      <c r="AY32" t="s">
        <v>173</v>
      </c>
      <c r="AZ32" t="s">
        <v>174</v>
      </c>
      <c r="BA32" t="s">
        <v>175</v>
      </c>
      <c r="BB32" s="140" t="s">
        <v>201</v>
      </c>
      <c r="BC32">
        <v>2</v>
      </c>
      <c r="BD32" s="141">
        <v>0.95743307530096</v>
      </c>
      <c r="BE32" s="133">
        <v>14.422429920920411</v>
      </c>
      <c r="BF32" t="s">
        <v>208</v>
      </c>
      <c r="BG32" s="134">
        <v>0.82949760961758001</v>
      </c>
      <c r="BH32">
        <v>0.83299999999999996</v>
      </c>
      <c r="BI32" t="s">
        <v>210</v>
      </c>
      <c r="BJ32" s="152" t="s">
        <v>149</v>
      </c>
      <c r="BK32">
        <v>2.67</v>
      </c>
      <c r="BL32" t="s">
        <v>210</v>
      </c>
      <c r="BM32" s="152" t="s">
        <v>149</v>
      </c>
      <c r="BN32" s="151" t="s">
        <v>238</v>
      </c>
      <c r="BO32" t="s">
        <v>209</v>
      </c>
      <c r="BP32" s="151" t="s">
        <v>149</v>
      </c>
      <c r="BQ32" s="151" t="s">
        <v>149</v>
      </c>
      <c r="BR32" s="151" t="s">
        <v>149</v>
      </c>
      <c r="BS32" s="151" t="s">
        <v>149</v>
      </c>
      <c r="BT32" s="151" t="s">
        <v>149</v>
      </c>
      <c r="BU32">
        <v>0</v>
      </c>
      <c r="BV32" s="151" t="s">
        <v>149</v>
      </c>
      <c r="BW32" s="151" t="s">
        <v>149</v>
      </c>
      <c r="BX32" s="133">
        <v>31.142309981406679</v>
      </c>
      <c r="BY32" t="s">
        <v>210</v>
      </c>
      <c r="BZ32">
        <v>3</v>
      </c>
      <c r="CA32">
        <v>3</v>
      </c>
      <c r="CB32" s="151" t="s">
        <v>149</v>
      </c>
      <c r="CC32" s="143">
        <v>4.1488152794726538</v>
      </c>
      <c r="CD32" t="s">
        <v>210</v>
      </c>
      <c r="CE32" s="141">
        <f t="shared" si="6"/>
        <v>6.2232229192089802E-2</v>
      </c>
      <c r="CF32" s="141">
        <f t="shared" si="7"/>
        <v>6.2232229192089802E-2</v>
      </c>
      <c r="CG32" s="151" t="s">
        <v>149</v>
      </c>
      <c r="CH32" t="s">
        <v>211</v>
      </c>
      <c r="CI32" s="151">
        <v>3.43</v>
      </c>
      <c r="CJ32" t="s">
        <v>214</v>
      </c>
      <c r="CK32" s="151" t="s">
        <v>149</v>
      </c>
      <c r="CL32" s="151" t="s">
        <v>149</v>
      </c>
      <c r="CM32" s="151" t="s">
        <v>149</v>
      </c>
      <c r="CN32" t="s">
        <v>149</v>
      </c>
      <c r="CO32" t="s">
        <v>149</v>
      </c>
      <c r="CP32" t="s">
        <v>149</v>
      </c>
      <c r="CQ32" t="s">
        <v>149</v>
      </c>
      <c r="CR32" t="s">
        <v>149</v>
      </c>
      <c r="CS32" t="s">
        <v>149</v>
      </c>
      <c r="CT32" t="s">
        <v>149</v>
      </c>
      <c r="CU32">
        <v>35</v>
      </c>
      <c r="CV32" t="s">
        <v>212</v>
      </c>
      <c r="CW32">
        <v>3</v>
      </c>
      <c r="CX32" t="s">
        <v>213</v>
      </c>
      <c r="CY32">
        <v>14</v>
      </c>
      <c r="CZ32" s="151" t="s">
        <v>149</v>
      </c>
      <c r="DA32" s="151" t="s">
        <v>149</v>
      </c>
      <c r="DB32" s="144" t="s">
        <v>214</v>
      </c>
      <c r="DC32" s="144">
        <v>45</v>
      </c>
      <c r="DD32" s="151" t="s">
        <v>149</v>
      </c>
      <c r="DE32" s="151" t="s">
        <v>149</v>
      </c>
      <c r="DF32" t="s">
        <v>214</v>
      </c>
      <c r="DG32" s="151" t="s">
        <v>149</v>
      </c>
      <c r="DH32" s="151" t="s">
        <v>149</v>
      </c>
      <c r="DI32" s="151" t="s">
        <v>149</v>
      </c>
      <c r="DJ32" s="151" t="s">
        <v>149</v>
      </c>
      <c r="DK32">
        <v>432.6</v>
      </c>
      <c r="DL32" s="151" t="s">
        <v>149</v>
      </c>
      <c r="DM32" s="151" t="s">
        <v>149</v>
      </c>
      <c r="DN32" s="151" t="s">
        <v>235</v>
      </c>
      <c r="DO32" s="145">
        <v>37.82</v>
      </c>
      <c r="DP32" s="127" t="s">
        <v>210</v>
      </c>
      <c r="DQ32" s="127">
        <v>0.7</v>
      </c>
      <c r="DR32" t="s">
        <v>215</v>
      </c>
      <c r="DS32" t="s">
        <v>151</v>
      </c>
      <c r="DT32" s="151" t="s">
        <v>149</v>
      </c>
      <c r="DU32">
        <v>1.0271999999999999</v>
      </c>
      <c r="DV32" t="s">
        <v>152</v>
      </c>
      <c r="DW32" t="s">
        <v>152</v>
      </c>
      <c r="DX32" t="s">
        <v>155</v>
      </c>
      <c r="DY32" t="s">
        <v>152</v>
      </c>
      <c r="DZ32" t="s">
        <v>152</v>
      </c>
      <c r="EA32" s="151" t="s">
        <v>149</v>
      </c>
      <c r="EB32" s="151" t="s">
        <v>149</v>
      </c>
      <c r="EC32" s="127" t="s">
        <v>216</v>
      </c>
      <c r="ED32" s="127" t="s">
        <v>216</v>
      </c>
      <c r="EE32" s="151" t="s">
        <v>149</v>
      </c>
      <c r="EF32" s="151" t="s">
        <v>149</v>
      </c>
      <c r="EG32" s="151" t="s">
        <v>149</v>
      </c>
      <c r="EH32" t="s">
        <v>217</v>
      </c>
      <c r="EI32" t="s">
        <v>218</v>
      </c>
      <c r="EJ32" t="s">
        <v>215</v>
      </c>
      <c r="EK32" s="145">
        <v>1292</v>
      </c>
      <c r="EL32" t="s">
        <v>153</v>
      </c>
      <c r="EM32">
        <v>300</v>
      </c>
      <c r="EN32">
        <v>300</v>
      </c>
      <c r="EO32" s="151" t="s">
        <v>149</v>
      </c>
      <c r="EP32" s="151" t="s">
        <v>149</v>
      </c>
      <c r="EQ32" s="151" t="s">
        <v>149</v>
      </c>
      <c r="ER32" s="151" t="s">
        <v>149</v>
      </c>
      <c r="ES32" s="151" t="s">
        <v>149</v>
      </c>
      <c r="ET32" s="151" t="s">
        <v>149</v>
      </c>
      <c r="EU32" s="151" t="s">
        <v>149</v>
      </c>
      <c r="EV32" s="151" t="s">
        <v>149</v>
      </c>
      <c r="EW32" s="154">
        <f t="shared" si="8"/>
        <v>531.66150985046795</v>
      </c>
      <c r="EX32" s="151">
        <v>25</v>
      </c>
      <c r="EY32" s="151" t="s">
        <v>236</v>
      </c>
      <c r="EZ32" s="142">
        <v>531.66150985046795</v>
      </c>
      <c r="FA32" s="142">
        <v>338.71974181943733</v>
      </c>
      <c r="FB32" s="142">
        <v>212.85855684551876</v>
      </c>
      <c r="FC32" s="151" t="s">
        <v>237</v>
      </c>
      <c r="FD32" t="s">
        <v>219</v>
      </c>
      <c r="FE32" s="151" t="s">
        <v>149</v>
      </c>
      <c r="FF32" s="151" t="s">
        <v>149</v>
      </c>
      <c r="FG32" s="151" t="s">
        <v>149</v>
      </c>
      <c r="FH32" s="151" t="s">
        <v>149</v>
      </c>
      <c r="FI32" s="151" t="s">
        <v>149</v>
      </c>
      <c r="FJ32" s="151" t="s">
        <v>149</v>
      </c>
      <c r="FK32" s="151" t="s">
        <v>149</v>
      </c>
      <c r="FL32" s="151" t="s">
        <v>149</v>
      </c>
      <c r="FM32" s="151" t="s">
        <v>149</v>
      </c>
      <c r="FN32" s="151" t="s">
        <v>149</v>
      </c>
      <c r="FO32" s="151" t="s">
        <v>149</v>
      </c>
      <c r="FP32" s="151" t="s">
        <v>149</v>
      </c>
      <c r="FQ32" s="151" t="s">
        <v>242</v>
      </c>
    </row>
    <row r="33" spans="1:173" ht="19">
      <c r="A33" s="123" t="s">
        <v>148</v>
      </c>
      <c r="B33" t="s">
        <v>163</v>
      </c>
      <c r="C33">
        <v>2014</v>
      </c>
      <c r="D33" t="s">
        <v>165</v>
      </c>
      <c r="E33" s="141">
        <f t="shared" si="9"/>
        <v>16591.045663876459</v>
      </c>
      <c r="F33" s="141" t="str">
        <f t="shared" si="11"/>
        <v>NA</v>
      </c>
      <c r="G33" s="141" t="str">
        <f t="shared" si="12"/>
        <v>NA</v>
      </c>
      <c r="H33" s="128">
        <f t="shared" si="10"/>
        <v>270.85009986909296</v>
      </c>
      <c r="I33" s="128">
        <f t="shared" si="13"/>
        <v>96.907760284344022</v>
      </c>
      <c r="J33" s="128">
        <f t="shared" si="14"/>
        <v>82.473871538294532</v>
      </c>
      <c r="K33" t="s">
        <v>220</v>
      </c>
      <c r="L33" s="153" t="s">
        <v>241</v>
      </c>
      <c r="M33" s="1" t="s">
        <v>164</v>
      </c>
      <c r="N33" t="s">
        <v>165</v>
      </c>
      <c r="O33" s="131">
        <v>761</v>
      </c>
      <c r="P33" t="s">
        <v>166</v>
      </c>
      <c r="Q33" s="132">
        <v>6</v>
      </c>
      <c r="R33" s="132">
        <v>6</v>
      </c>
      <c r="S33" s="142">
        <v>3</v>
      </c>
      <c r="T33">
        <v>5</v>
      </c>
      <c r="U33" s="151" t="s">
        <v>149</v>
      </c>
      <c r="V33" s="134">
        <v>50.63</v>
      </c>
      <c r="W33" s="136" t="s">
        <v>167</v>
      </c>
      <c r="X33" t="s">
        <v>168</v>
      </c>
      <c r="Y33" s="136">
        <v>-16.739722220000001</v>
      </c>
      <c r="Z33" s="127">
        <v>115.53611110999999</v>
      </c>
      <c r="AA33" s="151" t="s">
        <v>149</v>
      </c>
      <c r="AB33" s="151" t="s">
        <v>149</v>
      </c>
      <c r="AC33">
        <v>-2179</v>
      </c>
      <c r="AD33" s="151" t="s">
        <v>149</v>
      </c>
      <c r="AE33" s="151" t="s">
        <v>149</v>
      </c>
      <c r="AF33" s="151" t="s">
        <v>149</v>
      </c>
      <c r="AG33" s="137">
        <v>16591.045663876459</v>
      </c>
      <c r="AH33" s="152" t="s">
        <v>149</v>
      </c>
      <c r="AI33" s="151" t="s">
        <v>149</v>
      </c>
      <c r="AJ33" s="151" t="s">
        <v>149</v>
      </c>
      <c r="AK33" s="138" t="s">
        <v>169</v>
      </c>
      <c r="AL33" s="138" t="s">
        <v>170</v>
      </c>
      <c r="AM33" s="138" t="s">
        <v>171</v>
      </c>
      <c r="AN33" t="s">
        <v>149</v>
      </c>
      <c r="AO33" t="s">
        <v>149</v>
      </c>
      <c r="AP33" t="s">
        <v>149</v>
      </c>
      <c r="AQ33" t="s">
        <v>149</v>
      </c>
      <c r="AR33" t="s">
        <v>149</v>
      </c>
      <c r="AS33" t="s">
        <v>149</v>
      </c>
      <c r="AT33" t="s">
        <v>149</v>
      </c>
      <c r="AU33" t="s">
        <v>172</v>
      </c>
      <c r="AV33" t="s">
        <v>150</v>
      </c>
      <c r="AW33" t="s">
        <v>239</v>
      </c>
      <c r="AX33" t="s">
        <v>240</v>
      </c>
      <c r="AY33" t="s">
        <v>173</v>
      </c>
      <c r="AZ33" t="s">
        <v>174</v>
      </c>
      <c r="BA33" t="s">
        <v>175</v>
      </c>
      <c r="BB33" s="140" t="s">
        <v>202</v>
      </c>
      <c r="BC33">
        <v>2</v>
      </c>
      <c r="BD33" s="141">
        <v>0.11860660869222882</v>
      </c>
      <c r="BE33" s="133">
        <v>16.198346748368152</v>
      </c>
      <c r="BF33" t="s">
        <v>208</v>
      </c>
      <c r="BG33" s="134">
        <v>0.24513636894849933</v>
      </c>
      <c r="BH33">
        <v>0.83299999999999996</v>
      </c>
      <c r="BI33" t="s">
        <v>210</v>
      </c>
      <c r="BJ33" s="152" t="s">
        <v>149</v>
      </c>
      <c r="BK33">
        <v>2.67</v>
      </c>
      <c r="BL33" t="s">
        <v>210</v>
      </c>
      <c r="BM33" s="152" t="s">
        <v>149</v>
      </c>
      <c r="BN33" s="151" t="s">
        <v>238</v>
      </c>
      <c r="BO33" t="s">
        <v>209</v>
      </c>
      <c r="BP33" s="151" t="s">
        <v>149</v>
      </c>
      <c r="BQ33" s="151" t="s">
        <v>149</v>
      </c>
      <c r="BR33" s="151" t="s">
        <v>149</v>
      </c>
      <c r="BS33" s="151" t="s">
        <v>149</v>
      </c>
      <c r="BT33" s="151" t="s">
        <v>149</v>
      </c>
      <c r="BU33">
        <v>0</v>
      </c>
      <c r="BV33" s="151" t="s">
        <v>149</v>
      </c>
      <c r="BW33" s="151" t="s">
        <v>149</v>
      </c>
      <c r="BX33" s="133">
        <v>31.451354804710476</v>
      </c>
      <c r="BY33" t="s">
        <v>210</v>
      </c>
      <c r="BZ33">
        <v>3</v>
      </c>
      <c r="CA33">
        <v>3</v>
      </c>
      <c r="CB33" s="151" t="s">
        <v>149</v>
      </c>
      <c r="CC33" s="133">
        <v>4.2575084846289695</v>
      </c>
      <c r="CD33" t="s">
        <v>210</v>
      </c>
      <c r="CE33" s="141">
        <f t="shared" si="6"/>
        <v>6.3862627269434535E-2</v>
      </c>
      <c r="CF33" s="141">
        <f t="shared" si="7"/>
        <v>6.3862627269434535E-2</v>
      </c>
      <c r="CG33" s="151" t="s">
        <v>149</v>
      </c>
      <c r="CH33" t="s">
        <v>211</v>
      </c>
      <c r="CI33" s="151">
        <v>3.43</v>
      </c>
      <c r="CJ33" t="s">
        <v>214</v>
      </c>
      <c r="CK33" s="151" t="s">
        <v>149</v>
      </c>
      <c r="CL33" s="151" t="s">
        <v>149</v>
      </c>
      <c r="CM33" s="151" t="s">
        <v>149</v>
      </c>
      <c r="CN33" t="s">
        <v>149</v>
      </c>
      <c r="CO33" t="s">
        <v>149</v>
      </c>
      <c r="CP33" t="s">
        <v>149</v>
      </c>
      <c r="CQ33" t="s">
        <v>149</v>
      </c>
      <c r="CR33" t="s">
        <v>149</v>
      </c>
      <c r="CS33" t="s">
        <v>149</v>
      </c>
      <c r="CT33" t="s">
        <v>149</v>
      </c>
      <c r="CU33">
        <v>35</v>
      </c>
      <c r="CV33" t="s">
        <v>212</v>
      </c>
      <c r="CW33">
        <v>3</v>
      </c>
      <c r="CX33" t="s">
        <v>213</v>
      </c>
      <c r="CY33">
        <v>14</v>
      </c>
      <c r="CZ33" s="151" t="s">
        <v>149</v>
      </c>
      <c r="DA33" s="151" t="s">
        <v>149</v>
      </c>
      <c r="DB33" s="144" t="s">
        <v>214</v>
      </c>
      <c r="DC33" s="144">
        <v>44</v>
      </c>
      <c r="DD33" s="151" t="s">
        <v>149</v>
      </c>
      <c r="DE33" s="151" t="s">
        <v>149</v>
      </c>
      <c r="DF33" t="s">
        <v>214</v>
      </c>
      <c r="DG33" s="151" t="s">
        <v>149</v>
      </c>
      <c r="DH33" s="151" t="s">
        <v>149</v>
      </c>
      <c r="DI33" s="151" t="s">
        <v>149</v>
      </c>
      <c r="DJ33" s="151" t="s">
        <v>149</v>
      </c>
      <c r="DK33">
        <v>432.6</v>
      </c>
      <c r="DL33" s="151" t="s">
        <v>149</v>
      </c>
      <c r="DM33" s="151" t="s">
        <v>149</v>
      </c>
      <c r="DN33" s="151" t="s">
        <v>235</v>
      </c>
      <c r="DO33" s="145">
        <v>37.82</v>
      </c>
      <c r="DP33" s="127" t="s">
        <v>210</v>
      </c>
      <c r="DQ33" s="127">
        <v>0.7</v>
      </c>
      <c r="DR33" t="s">
        <v>215</v>
      </c>
      <c r="DS33" t="s">
        <v>151</v>
      </c>
      <c r="DT33" s="151" t="s">
        <v>149</v>
      </c>
      <c r="DU33">
        <v>1.0271999999999999</v>
      </c>
      <c r="DV33" t="s">
        <v>152</v>
      </c>
      <c r="DW33" t="s">
        <v>152</v>
      </c>
      <c r="DX33" t="s">
        <v>155</v>
      </c>
      <c r="DY33" t="s">
        <v>152</v>
      </c>
      <c r="DZ33" t="s">
        <v>152</v>
      </c>
      <c r="EA33" s="151" t="s">
        <v>149</v>
      </c>
      <c r="EB33" s="151" t="s">
        <v>149</v>
      </c>
      <c r="EC33" s="127" t="s">
        <v>216</v>
      </c>
      <c r="ED33" s="127" t="s">
        <v>216</v>
      </c>
      <c r="EE33" s="151" t="s">
        <v>149</v>
      </c>
      <c r="EF33" s="151" t="s">
        <v>149</v>
      </c>
      <c r="EG33" s="151" t="s">
        <v>149</v>
      </c>
      <c r="EH33" t="s">
        <v>217</v>
      </c>
      <c r="EI33" t="s">
        <v>218</v>
      </c>
      <c r="EJ33" t="s">
        <v>215</v>
      </c>
      <c r="EK33">
        <v>1292</v>
      </c>
      <c r="EL33" t="s">
        <v>153</v>
      </c>
      <c r="EM33">
        <v>300</v>
      </c>
      <c r="EN33">
        <v>300</v>
      </c>
      <c r="EO33" s="151" t="s">
        <v>149</v>
      </c>
      <c r="EP33" s="151" t="s">
        <v>149</v>
      </c>
      <c r="EQ33" s="151" t="s">
        <v>149</v>
      </c>
      <c r="ER33" s="151" t="s">
        <v>149</v>
      </c>
      <c r="ES33" s="151" t="s">
        <v>149</v>
      </c>
      <c r="ET33" s="151" t="s">
        <v>149</v>
      </c>
      <c r="EU33" s="151" t="s">
        <v>149</v>
      </c>
      <c r="EV33" s="151" t="s">
        <v>149</v>
      </c>
      <c r="EW33" s="154">
        <f t="shared" si="8"/>
        <v>270.85009986909296</v>
      </c>
      <c r="EX33" s="151">
        <v>25</v>
      </c>
      <c r="EY33" s="151" t="s">
        <v>236</v>
      </c>
      <c r="EZ33" s="142">
        <v>270.85009986909296</v>
      </c>
      <c r="FA33" s="142">
        <v>96.907760284344022</v>
      </c>
      <c r="FB33" s="142">
        <v>82.473871538294532</v>
      </c>
      <c r="FC33" s="151" t="s">
        <v>237</v>
      </c>
      <c r="FD33" t="s">
        <v>219</v>
      </c>
      <c r="FE33" s="151" t="s">
        <v>149</v>
      </c>
      <c r="FF33" s="151" t="s">
        <v>149</v>
      </c>
      <c r="FG33" s="151" t="s">
        <v>149</v>
      </c>
      <c r="FH33" s="151" t="s">
        <v>149</v>
      </c>
      <c r="FI33" s="151" t="s">
        <v>149</v>
      </c>
      <c r="FJ33" s="151" t="s">
        <v>149</v>
      </c>
      <c r="FK33" s="151" t="s">
        <v>149</v>
      </c>
      <c r="FL33" s="151" t="s">
        <v>149</v>
      </c>
      <c r="FM33" s="151" t="s">
        <v>149</v>
      </c>
      <c r="FN33" s="151" t="s">
        <v>149</v>
      </c>
      <c r="FO33" s="151" t="s">
        <v>149</v>
      </c>
      <c r="FP33" s="151" t="s">
        <v>149</v>
      </c>
      <c r="FQ33" s="151" t="s">
        <v>242</v>
      </c>
    </row>
    <row r="34" spans="1:173" ht="19">
      <c r="A34" s="123" t="s">
        <v>148</v>
      </c>
      <c r="B34" t="s">
        <v>163</v>
      </c>
      <c r="C34">
        <v>2014</v>
      </c>
      <c r="D34" t="s">
        <v>165</v>
      </c>
      <c r="E34" s="141">
        <f t="shared" si="9"/>
        <v>16646.900103753294</v>
      </c>
      <c r="F34" s="141" t="str">
        <f t="shared" si="11"/>
        <v>NA</v>
      </c>
      <c r="G34" s="141" t="str">
        <f t="shared" si="12"/>
        <v>NA</v>
      </c>
      <c r="H34" s="128">
        <f t="shared" si="10"/>
        <v>241.50309167194547</v>
      </c>
      <c r="I34" s="128">
        <f t="shared" si="13"/>
        <v>85.46697218047052</v>
      </c>
      <c r="J34" s="128">
        <f t="shared" si="14"/>
        <v>74.430533479946803</v>
      </c>
      <c r="K34" t="s">
        <v>220</v>
      </c>
      <c r="L34" s="153" t="s">
        <v>241</v>
      </c>
      <c r="M34" s="1" t="s">
        <v>164</v>
      </c>
      <c r="N34" t="s">
        <v>165</v>
      </c>
      <c r="O34" s="131">
        <v>761</v>
      </c>
      <c r="P34" t="s">
        <v>166</v>
      </c>
      <c r="Q34" s="132">
        <v>6</v>
      </c>
      <c r="R34" s="132">
        <v>6</v>
      </c>
      <c r="S34" s="142">
        <v>18</v>
      </c>
      <c r="T34">
        <v>20</v>
      </c>
      <c r="U34" s="151" t="s">
        <v>149</v>
      </c>
      <c r="V34" s="135">
        <v>50.78</v>
      </c>
      <c r="W34" s="136" t="s">
        <v>167</v>
      </c>
      <c r="X34" t="s">
        <v>168</v>
      </c>
      <c r="Y34" s="136">
        <v>-16.739722220000001</v>
      </c>
      <c r="Z34" s="127">
        <v>115.53611110999999</v>
      </c>
      <c r="AA34" s="151" t="s">
        <v>149</v>
      </c>
      <c r="AB34" s="151" t="s">
        <v>149</v>
      </c>
      <c r="AC34">
        <v>-2179</v>
      </c>
      <c r="AD34" s="151" t="s">
        <v>149</v>
      </c>
      <c r="AE34" s="151" t="s">
        <v>149</v>
      </c>
      <c r="AF34" s="151" t="s">
        <v>149</v>
      </c>
      <c r="AG34" s="137">
        <v>16646.900103753294</v>
      </c>
      <c r="AH34" s="152" t="s">
        <v>149</v>
      </c>
      <c r="AI34" s="151" t="s">
        <v>149</v>
      </c>
      <c r="AJ34" s="151" t="s">
        <v>149</v>
      </c>
      <c r="AK34" s="138" t="s">
        <v>169</v>
      </c>
      <c r="AL34" s="138" t="s">
        <v>170</v>
      </c>
      <c r="AM34" s="138" t="s">
        <v>171</v>
      </c>
      <c r="AN34" t="s">
        <v>149</v>
      </c>
      <c r="AO34" t="s">
        <v>149</v>
      </c>
      <c r="AP34" t="s">
        <v>149</v>
      </c>
      <c r="AQ34" t="s">
        <v>149</v>
      </c>
      <c r="AR34" t="s">
        <v>149</v>
      </c>
      <c r="AS34" t="s">
        <v>149</v>
      </c>
      <c r="AT34" t="s">
        <v>149</v>
      </c>
      <c r="AU34" t="s">
        <v>172</v>
      </c>
      <c r="AV34" t="s">
        <v>150</v>
      </c>
      <c r="AW34" t="s">
        <v>239</v>
      </c>
      <c r="AX34" t="s">
        <v>240</v>
      </c>
      <c r="AY34" t="s">
        <v>173</v>
      </c>
      <c r="AZ34" t="s">
        <v>174</v>
      </c>
      <c r="BA34" t="s">
        <v>175</v>
      </c>
      <c r="BB34" s="140" t="s">
        <v>203</v>
      </c>
      <c r="BC34">
        <v>2</v>
      </c>
      <c r="BD34" s="141">
        <v>5.0101972440387499E-2</v>
      </c>
      <c r="BE34" s="133">
        <v>16.631673826200892</v>
      </c>
      <c r="BF34" t="s">
        <v>208</v>
      </c>
      <c r="BG34" s="134">
        <v>0.25832682792638212</v>
      </c>
      <c r="BH34">
        <v>0.83299999999999996</v>
      </c>
      <c r="BI34" t="s">
        <v>210</v>
      </c>
      <c r="BJ34" s="152" t="s">
        <v>149</v>
      </c>
      <c r="BK34">
        <v>2.67</v>
      </c>
      <c r="BL34" t="s">
        <v>210</v>
      </c>
      <c r="BM34" s="152" t="s">
        <v>149</v>
      </c>
      <c r="BN34" s="151" t="s">
        <v>238</v>
      </c>
      <c r="BO34" t="s">
        <v>209</v>
      </c>
      <c r="BP34" s="151" t="s">
        <v>149</v>
      </c>
      <c r="BQ34" s="151" t="s">
        <v>149</v>
      </c>
      <c r="BR34" s="151" t="s">
        <v>149</v>
      </c>
      <c r="BS34" s="151" t="s">
        <v>149</v>
      </c>
      <c r="BT34" s="151" t="s">
        <v>149</v>
      </c>
      <c r="BU34">
        <v>0</v>
      </c>
      <c r="BV34" s="151" t="s">
        <v>149</v>
      </c>
      <c r="BW34" s="151" t="s">
        <v>149</v>
      </c>
      <c r="BX34" s="133">
        <v>32.34885296000725</v>
      </c>
      <c r="BY34" t="s">
        <v>210</v>
      </c>
      <c r="BZ34">
        <v>3</v>
      </c>
      <c r="CA34">
        <v>3</v>
      </c>
      <c r="CB34" s="151" t="s">
        <v>149</v>
      </c>
      <c r="CC34" s="133">
        <v>4.6980595975461714</v>
      </c>
      <c r="CD34" t="s">
        <v>210</v>
      </c>
      <c r="CE34" s="141">
        <f t="shared" si="6"/>
        <v>7.0470893963192574E-2</v>
      </c>
      <c r="CF34" s="141">
        <f t="shared" si="7"/>
        <v>7.0470893963192574E-2</v>
      </c>
      <c r="CG34" s="151" t="s">
        <v>149</v>
      </c>
      <c r="CH34" t="s">
        <v>211</v>
      </c>
      <c r="CI34" s="151">
        <v>3.43</v>
      </c>
      <c r="CJ34" t="s">
        <v>214</v>
      </c>
      <c r="CK34" s="151" t="s">
        <v>149</v>
      </c>
      <c r="CL34" s="151" t="s">
        <v>149</v>
      </c>
      <c r="CM34" s="151" t="s">
        <v>149</v>
      </c>
      <c r="CN34" t="s">
        <v>149</v>
      </c>
      <c r="CO34" t="s">
        <v>149</v>
      </c>
      <c r="CP34" t="s">
        <v>149</v>
      </c>
      <c r="CQ34" t="s">
        <v>149</v>
      </c>
      <c r="CR34" t="s">
        <v>149</v>
      </c>
      <c r="CS34" t="s">
        <v>149</v>
      </c>
      <c r="CT34" t="s">
        <v>149</v>
      </c>
      <c r="CU34">
        <v>35</v>
      </c>
      <c r="CV34" t="s">
        <v>212</v>
      </c>
      <c r="CW34">
        <v>3</v>
      </c>
      <c r="CX34" t="s">
        <v>213</v>
      </c>
      <c r="CY34">
        <v>14</v>
      </c>
      <c r="CZ34" s="151" t="s">
        <v>149</v>
      </c>
      <c r="DA34" s="151" t="s">
        <v>149</v>
      </c>
      <c r="DB34" s="144" t="s">
        <v>214</v>
      </c>
      <c r="DC34" s="144">
        <v>44</v>
      </c>
      <c r="DD34" s="151" t="s">
        <v>149</v>
      </c>
      <c r="DE34" s="151" t="s">
        <v>149</v>
      </c>
      <c r="DF34" t="s">
        <v>214</v>
      </c>
      <c r="DG34" s="151" t="s">
        <v>149</v>
      </c>
      <c r="DH34" s="151" t="s">
        <v>149</v>
      </c>
      <c r="DI34" s="151" t="s">
        <v>149</v>
      </c>
      <c r="DJ34" s="151" t="s">
        <v>149</v>
      </c>
      <c r="DK34">
        <v>432.6</v>
      </c>
      <c r="DL34" s="151" t="s">
        <v>149</v>
      </c>
      <c r="DM34" s="151" t="s">
        <v>149</v>
      </c>
      <c r="DN34" s="151" t="s">
        <v>235</v>
      </c>
      <c r="DO34" s="145">
        <v>37.82</v>
      </c>
      <c r="DP34" s="127" t="s">
        <v>210</v>
      </c>
      <c r="DQ34" s="127">
        <v>0.7</v>
      </c>
      <c r="DR34" t="s">
        <v>215</v>
      </c>
      <c r="DS34" t="s">
        <v>151</v>
      </c>
      <c r="DT34" s="151" t="s">
        <v>149</v>
      </c>
      <c r="DU34">
        <v>1.0271999999999999</v>
      </c>
      <c r="DV34" t="s">
        <v>152</v>
      </c>
      <c r="DW34" t="s">
        <v>152</v>
      </c>
      <c r="DX34" t="s">
        <v>155</v>
      </c>
      <c r="DY34" t="s">
        <v>152</v>
      </c>
      <c r="DZ34" t="s">
        <v>152</v>
      </c>
      <c r="EA34" s="151" t="s">
        <v>149</v>
      </c>
      <c r="EB34" s="151" t="s">
        <v>149</v>
      </c>
      <c r="EC34" s="127" t="s">
        <v>216</v>
      </c>
      <c r="ED34" s="127" t="s">
        <v>216</v>
      </c>
      <c r="EE34" s="151" t="s">
        <v>149</v>
      </c>
      <c r="EF34" s="151" t="s">
        <v>149</v>
      </c>
      <c r="EG34" s="151" t="s">
        <v>149</v>
      </c>
      <c r="EH34" t="s">
        <v>217</v>
      </c>
      <c r="EI34" t="s">
        <v>218</v>
      </c>
      <c r="EJ34" t="s">
        <v>215</v>
      </c>
      <c r="EK34" s="145">
        <v>1292</v>
      </c>
      <c r="EL34" t="s">
        <v>153</v>
      </c>
      <c r="EM34">
        <v>300</v>
      </c>
      <c r="EN34">
        <v>300</v>
      </c>
      <c r="EO34" s="151" t="s">
        <v>149</v>
      </c>
      <c r="EP34" s="151" t="s">
        <v>149</v>
      </c>
      <c r="EQ34" s="151" t="s">
        <v>149</v>
      </c>
      <c r="ER34" s="151" t="s">
        <v>149</v>
      </c>
      <c r="ES34" s="151" t="s">
        <v>149</v>
      </c>
      <c r="ET34" s="151" t="s">
        <v>149</v>
      </c>
      <c r="EU34" s="151" t="s">
        <v>149</v>
      </c>
      <c r="EV34" s="151" t="s">
        <v>149</v>
      </c>
      <c r="EW34" s="154">
        <f t="shared" si="8"/>
        <v>241.50309167194547</v>
      </c>
      <c r="EX34" s="151">
        <v>25</v>
      </c>
      <c r="EY34" s="151" t="s">
        <v>236</v>
      </c>
      <c r="EZ34" s="142">
        <v>241.50309167194547</v>
      </c>
      <c r="FA34" s="142">
        <v>85.46697218047052</v>
      </c>
      <c r="FB34" s="142">
        <v>74.430533479946803</v>
      </c>
      <c r="FC34" s="151" t="s">
        <v>237</v>
      </c>
      <c r="FD34" t="s">
        <v>219</v>
      </c>
      <c r="FE34" s="151" t="s">
        <v>149</v>
      </c>
      <c r="FF34" s="151" t="s">
        <v>149</v>
      </c>
      <c r="FG34" s="151" t="s">
        <v>149</v>
      </c>
      <c r="FH34" s="151" t="s">
        <v>149</v>
      </c>
      <c r="FI34" s="151" t="s">
        <v>149</v>
      </c>
      <c r="FJ34" s="151" t="s">
        <v>149</v>
      </c>
      <c r="FK34" s="151" t="s">
        <v>149</v>
      </c>
      <c r="FL34" s="151" t="s">
        <v>149</v>
      </c>
      <c r="FM34" s="151" t="s">
        <v>149</v>
      </c>
      <c r="FN34" s="151" t="s">
        <v>149</v>
      </c>
      <c r="FO34" s="151" t="s">
        <v>149</v>
      </c>
      <c r="FP34" s="151" t="s">
        <v>149</v>
      </c>
      <c r="FQ34" s="151" t="s">
        <v>242</v>
      </c>
    </row>
    <row r="35" spans="1:173" ht="19">
      <c r="A35" s="123" t="s">
        <v>148</v>
      </c>
      <c r="B35" t="s">
        <v>163</v>
      </c>
      <c r="C35">
        <v>2014</v>
      </c>
      <c r="D35" t="s">
        <v>165</v>
      </c>
      <c r="E35" s="141">
        <f t="shared" si="9"/>
        <v>16685.052855232469</v>
      </c>
      <c r="F35" s="141" t="str">
        <f t="shared" si="11"/>
        <v>NA</v>
      </c>
      <c r="G35" s="141" t="str">
        <f t="shared" si="12"/>
        <v>NA</v>
      </c>
      <c r="H35" s="128">
        <f t="shared" si="10"/>
        <v>235.94910818073456</v>
      </c>
      <c r="I35" s="128">
        <f t="shared" si="13"/>
        <v>93.073169145591379</v>
      </c>
      <c r="J35" s="128">
        <f t="shared" si="14"/>
        <v>73.696694425245937</v>
      </c>
      <c r="K35" t="s">
        <v>220</v>
      </c>
      <c r="L35" s="153" t="s">
        <v>241</v>
      </c>
      <c r="M35" s="1" t="s">
        <v>164</v>
      </c>
      <c r="N35" t="s">
        <v>165</v>
      </c>
      <c r="O35" s="131">
        <v>761</v>
      </c>
      <c r="P35" t="s">
        <v>166</v>
      </c>
      <c r="Q35" s="132">
        <v>6</v>
      </c>
      <c r="R35" s="132">
        <v>6</v>
      </c>
      <c r="S35" s="142">
        <v>28</v>
      </c>
      <c r="T35">
        <v>30</v>
      </c>
      <c r="U35" s="151" t="s">
        <v>149</v>
      </c>
      <c r="V35" s="135">
        <v>50.88</v>
      </c>
      <c r="W35" s="136" t="s">
        <v>167</v>
      </c>
      <c r="X35" t="s">
        <v>168</v>
      </c>
      <c r="Y35" s="136">
        <v>-16.739722220000001</v>
      </c>
      <c r="Z35" s="127">
        <v>115.53611110999999</v>
      </c>
      <c r="AA35" s="151" t="s">
        <v>149</v>
      </c>
      <c r="AB35" s="151" t="s">
        <v>149</v>
      </c>
      <c r="AC35">
        <v>-2179</v>
      </c>
      <c r="AD35" s="151" t="s">
        <v>149</v>
      </c>
      <c r="AE35" s="151" t="s">
        <v>149</v>
      </c>
      <c r="AF35" s="151" t="s">
        <v>149</v>
      </c>
      <c r="AG35" s="137">
        <v>16685.052855232469</v>
      </c>
      <c r="AH35" s="152" t="s">
        <v>149</v>
      </c>
      <c r="AI35" s="151" t="s">
        <v>149</v>
      </c>
      <c r="AJ35" s="151" t="s">
        <v>149</v>
      </c>
      <c r="AK35" s="138" t="s">
        <v>169</v>
      </c>
      <c r="AL35" s="138" t="s">
        <v>170</v>
      </c>
      <c r="AM35" s="138" t="s">
        <v>171</v>
      </c>
      <c r="AN35" t="s">
        <v>149</v>
      </c>
      <c r="AO35" t="s">
        <v>149</v>
      </c>
      <c r="AP35" t="s">
        <v>149</v>
      </c>
      <c r="AQ35" t="s">
        <v>149</v>
      </c>
      <c r="AR35" t="s">
        <v>149</v>
      </c>
      <c r="AS35" t="s">
        <v>149</v>
      </c>
      <c r="AT35" t="s">
        <v>149</v>
      </c>
      <c r="AU35" t="s">
        <v>172</v>
      </c>
      <c r="AV35" t="s">
        <v>150</v>
      </c>
      <c r="AW35" t="s">
        <v>239</v>
      </c>
      <c r="AX35" t="s">
        <v>240</v>
      </c>
      <c r="AY35" t="s">
        <v>173</v>
      </c>
      <c r="AZ35" t="s">
        <v>174</v>
      </c>
      <c r="BA35" t="s">
        <v>175</v>
      </c>
      <c r="BB35" s="140" t="s">
        <v>204</v>
      </c>
      <c r="BC35">
        <v>2</v>
      </c>
      <c r="BD35" s="141">
        <v>0.13655686322867311</v>
      </c>
      <c r="BE35" s="133">
        <v>16.685294664898123</v>
      </c>
      <c r="BF35" t="s">
        <v>208</v>
      </c>
      <c r="BG35" s="134">
        <v>0.51651962443429955</v>
      </c>
      <c r="BH35">
        <v>0.83299999999999996</v>
      </c>
      <c r="BI35" t="s">
        <v>210</v>
      </c>
      <c r="BJ35" s="152" t="s">
        <v>149</v>
      </c>
      <c r="BK35">
        <v>2.67</v>
      </c>
      <c r="BL35" t="s">
        <v>210</v>
      </c>
      <c r="BM35" s="152" t="s">
        <v>149</v>
      </c>
      <c r="BN35" s="151" t="s">
        <v>238</v>
      </c>
      <c r="BO35" t="s">
        <v>209</v>
      </c>
      <c r="BP35" s="151" t="s">
        <v>149</v>
      </c>
      <c r="BQ35" s="151" t="s">
        <v>149</v>
      </c>
      <c r="BR35" s="151" t="s">
        <v>149</v>
      </c>
      <c r="BS35" s="151" t="s">
        <v>149</v>
      </c>
      <c r="BT35" s="151" t="s">
        <v>149</v>
      </c>
      <c r="BU35">
        <v>0</v>
      </c>
      <c r="BV35" s="151" t="s">
        <v>149</v>
      </c>
      <c r="BW35" s="151" t="s">
        <v>149</v>
      </c>
      <c r="BX35" s="133">
        <v>31.822928879707032</v>
      </c>
      <c r="BY35" t="s">
        <v>210</v>
      </c>
      <c r="BZ35">
        <v>3</v>
      </c>
      <c r="CA35">
        <v>3</v>
      </c>
      <c r="CB35" s="151" t="s">
        <v>149</v>
      </c>
      <c r="CC35" s="133">
        <v>4.3794278139976246</v>
      </c>
      <c r="CD35" t="s">
        <v>210</v>
      </c>
      <c r="CE35" s="141">
        <f t="shared" si="6"/>
        <v>6.5691417209964367E-2</v>
      </c>
      <c r="CF35" s="141">
        <f t="shared" si="7"/>
        <v>6.5691417209964367E-2</v>
      </c>
      <c r="CG35" s="151" t="s">
        <v>149</v>
      </c>
      <c r="CH35" t="s">
        <v>211</v>
      </c>
      <c r="CI35" s="151">
        <v>3.43</v>
      </c>
      <c r="CJ35" t="s">
        <v>214</v>
      </c>
      <c r="CK35" s="151" t="s">
        <v>149</v>
      </c>
      <c r="CL35" s="151" t="s">
        <v>149</v>
      </c>
      <c r="CM35" s="151" t="s">
        <v>149</v>
      </c>
      <c r="CN35" t="s">
        <v>149</v>
      </c>
      <c r="CO35" t="s">
        <v>149</v>
      </c>
      <c r="CP35" t="s">
        <v>149</v>
      </c>
      <c r="CQ35" t="s">
        <v>149</v>
      </c>
      <c r="CR35" t="s">
        <v>149</v>
      </c>
      <c r="CS35" t="s">
        <v>149</v>
      </c>
      <c r="CT35" t="s">
        <v>149</v>
      </c>
      <c r="CU35">
        <v>35</v>
      </c>
      <c r="CV35" t="s">
        <v>212</v>
      </c>
      <c r="CW35">
        <v>3</v>
      </c>
      <c r="CX35" t="s">
        <v>213</v>
      </c>
      <c r="CY35">
        <v>14</v>
      </c>
      <c r="CZ35" s="151" t="s">
        <v>149</v>
      </c>
      <c r="DA35" s="151" t="s">
        <v>149</v>
      </c>
      <c r="DB35" s="144" t="s">
        <v>214</v>
      </c>
      <c r="DC35" s="144">
        <v>44</v>
      </c>
      <c r="DD35" s="151" t="s">
        <v>149</v>
      </c>
      <c r="DE35" s="151" t="s">
        <v>149</v>
      </c>
      <c r="DF35" t="s">
        <v>214</v>
      </c>
      <c r="DG35" s="151" t="s">
        <v>149</v>
      </c>
      <c r="DH35" s="151" t="s">
        <v>149</v>
      </c>
      <c r="DI35" s="151" t="s">
        <v>149</v>
      </c>
      <c r="DJ35" s="151" t="s">
        <v>149</v>
      </c>
      <c r="DK35">
        <v>432.6</v>
      </c>
      <c r="DL35" s="151" t="s">
        <v>149</v>
      </c>
      <c r="DM35" s="151" t="s">
        <v>149</v>
      </c>
      <c r="DN35" s="151" t="s">
        <v>235</v>
      </c>
      <c r="DO35" s="145">
        <v>37.82</v>
      </c>
      <c r="DP35" s="127" t="s">
        <v>210</v>
      </c>
      <c r="DQ35" s="127">
        <v>0.7</v>
      </c>
      <c r="DR35" t="s">
        <v>215</v>
      </c>
      <c r="DS35" t="s">
        <v>151</v>
      </c>
      <c r="DT35" s="151" t="s">
        <v>149</v>
      </c>
      <c r="DU35">
        <v>1.0271999999999999</v>
      </c>
      <c r="DV35" t="s">
        <v>152</v>
      </c>
      <c r="DW35" t="s">
        <v>152</v>
      </c>
      <c r="DX35" t="s">
        <v>155</v>
      </c>
      <c r="DY35" t="s">
        <v>152</v>
      </c>
      <c r="DZ35" t="s">
        <v>152</v>
      </c>
      <c r="EA35" s="151" t="s">
        <v>149</v>
      </c>
      <c r="EB35" s="151" t="s">
        <v>149</v>
      </c>
      <c r="EC35" s="127" t="s">
        <v>216</v>
      </c>
      <c r="ED35" s="127" t="s">
        <v>216</v>
      </c>
      <c r="EE35" s="151" t="s">
        <v>149</v>
      </c>
      <c r="EF35" s="151" t="s">
        <v>149</v>
      </c>
      <c r="EG35" s="151" t="s">
        <v>149</v>
      </c>
      <c r="EH35" t="s">
        <v>217</v>
      </c>
      <c r="EI35" t="s">
        <v>218</v>
      </c>
      <c r="EJ35" t="s">
        <v>215</v>
      </c>
      <c r="EK35">
        <v>1292</v>
      </c>
      <c r="EL35" t="s">
        <v>153</v>
      </c>
      <c r="EM35">
        <v>300</v>
      </c>
      <c r="EN35">
        <v>300</v>
      </c>
      <c r="EO35" s="151" t="s">
        <v>149</v>
      </c>
      <c r="EP35" s="151" t="s">
        <v>149</v>
      </c>
      <c r="EQ35" s="151" t="s">
        <v>149</v>
      </c>
      <c r="ER35" s="151" t="s">
        <v>149</v>
      </c>
      <c r="ES35" s="151" t="s">
        <v>149</v>
      </c>
      <c r="ET35" s="151" t="s">
        <v>149</v>
      </c>
      <c r="EU35" s="151" t="s">
        <v>149</v>
      </c>
      <c r="EV35" s="151" t="s">
        <v>149</v>
      </c>
      <c r="EW35" s="154">
        <f t="shared" si="8"/>
        <v>235.94910818073456</v>
      </c>
      <c r="EX35" s="151">
        <v>25</v>
      </c>
      <c r="EY35" s="151" t="s">
        <v>236</v>
      </c>
      <c r="EZ35" s="142">
        <v>235.94910818073456</v>
      </c>
      <c r="FA35" s="142">
        <v>93.073169145591379</v>
      </c>
      <c r="FB35" s="142">
        <v>73.696694425245937</v>
      </c>
      <c r="FC35" s="151" t="s">
        <v>237</v>
      </c>
      <c r="FD35" t="s">
        <v>219</v>
      </c>
      <c r="FE35" s="151" t="s">
        <v>149</v>
      </c>
      <c r="FF35" s="151" t="s">
        <v>149</v>
      </c>
      <c r="FG35" s="151" t="s">
        <v>149</v>
      </c>
      <c r="FH35" s="151" t="s">
        <v>149</v>
      </c>
      <c r="FI35" s="151" t="s">
        <v>149</v>
      </c>
      <c r="FJ35" s="151" t="s">
        <v>149</v>
      </c>
      <c r="FK35" s="151" t="s">
        <v>149</v>
      </c>
      <c r="FL35" s="151" t="s">
        <v>149</v>
      </c>
      <c r="FM35" s="151" t="s">
        <v>149</v>
      </c>
      <c r="FN35" s="151" t="s">
        <v>149</v>
      </c>
      <c r="FO35" s="151" t="s">
        <v>149</v>
      </c>
      <c r="FP35" s="151" t="s">
        <v>149</v>
      </c>
      <c r="FQ35" s="151" t="s">
        <v>242</v>
      </c>
    </row>
    <row r="36" spans="1:173" ht="19">
      <c r="A36" s="123" t="s">
        <v>148</v>
      </c>
      <c r="B36" t="s">
        <v>163</v>
      </c>
      <c r="C36">
        <v>2014</v>
      </c>
      <c r="D36" t="s">
        <v>165</v>
      </c>
      <c r="E36" s="141">
        <f t="shared" si="9"/>
        <v>16763.685613190093</v>
      </c>
      <c r="F36" s="141" t="str">
        <f t="shared" si="11"/>
        <v>NA</v>
      </c>
      <c r="G36" s="141" t="str">
        <f t="shared" si="12"/>
        <v>NA</v>
      </c>
      <c r="H36" s="128">
        <f t="shared" si="10"/>
        <v>338.06900545686653</v>
      </c>
      <c r="I36" s="128">
        <f t="shared" si="13"/>
        <v>134.10344571986548</v>
      </c>
      <c r="J36" s="128">
        <f t="shared" si="14"/>
        <v>106.6564393779833</v>
      </c>
      <c r="K36" t="s">
        <v>220</v>
      </c>
      <c r="L36" s="153" t="s">
        <v>241</v>
      </c>
      <c r="M36" s="1" t="s">
        <v>164</v>
      </c>
      <c r="N36" t="s">
        <v>165</v>
      </c>
      <c r="O36" s="131">
        <v>761</v>
      </c>
      <c r="P36" t="s">
        <v>166</v>
      </c>
      <c r="Q36" s="132">
        <v>6</v>
      </c>
      <c r="R36" s="132">
        <v>6</v>
      </c>
      <c r="S36" s="142">
        <v>48</v>
      </c>
      <c r="T36">
        <v>50</v>
      </c>
      <c r="U36" s="151" t="s">
        <v>149</v>
      </c>
      <c r="V36" s="135">
        <v>51.08</v>
      </c>
      <c r="W36" s="136" t="s">
        <v>167</v>
      </c>
      <c r="X36" t="s">
        <v>168</v>
      </c>
      <c r="Y36" s="136">
        <v>-16.739722220000001</v>
      </c>
      <c r="Z36" s="127">
        <v>115.53611110999999</v>
      </c>
      <c r="AA36" s="151" t="s">
        <v>149</v>
      </c>
      <c r="AB36" s="151" t="s">
        <v>149</v>
      </c>
      <c r="AC36">
        <v>-2179</v>
      </c>
      <c r="AD36" s="151" t="s">
        <v>149</v>
      </c>
      <c r="AE36" s="151" t="s">
        <v>149</v>
      </c>
      <c r="AF36" s="151" t="s">
        <v>149</v>
      </c>
      <c r="AG36" s="139">
        <v>16763.685613190093</v>
      </c>
      <c r="AH36" s="152" t="s">
        <v>149</v>
      </c>
      <c r="AI36" s="151" t="s">
        <v>149</v>
      </c>
      <c r="AJ36" s="151" t="s">
        <v>149</v>
      </c>
      <c r="AK36" s="138" t="s">
        <v>169</v>
      </c>
      <c r="AL36" s="138" t="s">
        <v>170</v>
      </c>
      <c r="AM36" s="138" t="s">
        <v>171</v>
      </c>
      <c r="AN36" t="s">
        <v>149</v>
      </c>
      <c r="AO36" t="s">
        <v>149</v>
      </c>
      <c r="AP36" t="s">
        <v>149</v>
      </c>
      <c r="AQ36" t="s">
        <v>149</v>
      </c>
      <c r="AR36" t="s">
        <v>149</v>
      </c>
      <c r="AS36" t="s">
        <v>149</v>
      </c>
      <c r="AT36" t="s">
        <v>149</v>
      </c>
      <c r="AU36" t="s">
        <v>172</v>
      </c>
      <c r="AV36" t="s">
        <v>150</v>
      </c>
      <c r="AW36" t="s">
        <v>239</v>
      </c>
      <c r="AX36" t="s">
        <v>240</v>
      </c>
      <c r="AY36" t="s">
        <v>173</v>
      </c>
      <c r="AZ36" t="s">
        <v>174</v>
      </c>
      <c r="BA36" t="s">
        <v>175</v>
      </c>
      <c r="BB36" s="140" t="s">
        <v>205</v>
      </c>
      <c r="BC36">
        <v>2</v>
      </c>
      <c r="BD36" s="141">
        <v>0.18526081862533594</v>
      </c>
      <c r="BE36" s="133">
        <v>15.589146876517692</v>
      </c>
      <c r="BF36" t="s">
        <v>208</v>
      </c>
      <c r="BG36" s="134">
        <v>0.38285887197754526</v>
      </c>
      <c r="BH36">
        <v>0.83299999999999996</v>
      </c>
      <c r="BI36" t="s">
        <v>210</v>
      </c>
      <c r="BJ36" s="152" t="s">
        <v>149</v>
      </c>
      <c r="BK36">
        <v>2.67</v>
      </c>
      <c r="BL36" t="s">
        <v>210</v>
      </c>
      <c r="BM36" s="152" t="s">
        <v>149</v>
      </c>
      <c r="BN36" s="151" t="s">
        <v>238</v>
      </c>
      <c r="BO36" t="s">
        <v>209</v>
      </c>
      <c r="BP36" s="151" t="s">
        <v>149</v>
      </c>
      <c r="BQ36" s="151" t="s">
        <v>149</v>
      </c>
      <c r="BR36" s="151" t="s">
        <v>149</v>
      </c>
      <c r="BS36" s="151" t="s">
        <v>149</v>
      </c>
      <c r="BT36" s="151" t="s">
        <v>149</v>
      </c>
      <c r="BU36">
        <v>0</v>
      </c>
      <c r="BV36" s="151" t="s">
        <v>149</v>
      </c>
      <c r="BW36" s="151" t="s">
        <v>149</v>
      </c>
      <c r="BX36" s="133">
        <v>31.842980817280001</v>
      </c>
      <c r="BY36" t="s">
        <v>210</v>
      </c>
      <c r="BZ36">
        <v>3</v>
      </c>
      <c r="CA36">
        <v>3</v>
      </c>
      <c r="CB36" s="151" t="s">
        <v>149</v>
      </c>
      <c r="CC36" s="133">
        <v>4.406586297567074</v>
      </c>
      <c r="CD36" t="s">
        <v>210</v>
      </c>
      <c r="CE36" s="141">
        <f t="shared" si="6"/>
        <v>6.6098794463506111E-2</v>
      </c>
      <c r="CF36" s="141">
        <f t="shared" si="7"/>
        <v>6.6098794463506111E-2</v>
      </c>
      <c r="CG36" s="151" t="s">
        <v>149</v>
      </c>
      <c r="CH36" t="s">
        <v>211</v>
      </c>
      <c r="CI36" s="151">
        <v>3.43</v>
      </c>
      <c r="CJ36" t="s">
        <v>214</v>
      </c>
      <c r="CK36" s="151" t="s">
        <v>149</v>
      </c>
      <c r="CL36" s="151" t="s">
        <v>149</v>
      </c>
      <c r="CM36" s="151" t="s">
        <v>149</v>
      </c>
      <c r="CN36" t="s">
        <v>149</v>
      </c>
      <c r="CO36" t="s">
        <v>149</v>
      </c>
      <c r="CP36" t="s">
        <v>149</v>
      </c>
      <c r="CQ36" t="s">
        <v>149</v>
      </c>
      <c r="CR36" t="s">
        <v>149</v>
      </c>
      <c r="CS36" t="s">
        <v>149</v>
      </c>
      <c r="CT36" t="s">
        <v>149</v>
      </c>
      <c r="CU36">
        <v>35</v>
      </c>
      <c r="CV36" t="s">
        <v>212</v>
      </c>
      <c r="CW36">
        <v>3</v>
      </c>
      <c r="CX36" t="s">
        <v>213</v>
      </c>
      <c r="CY36">
        <v>14</v>
      </c>
      <c r="CZ36" s="151" t="s">
        <v>149</v>
      </c>
      <c r="DA36" s="151" t="s">
        <v>149</v>
      </c>
      <c r="DB36" s="144" t="s">
        <v>214</v>
      </c>
      <c r="DC36" s="144">
        <v>44</v>
      </c>
      <c r="DD36" s="151" t="s">
        <v>149</v>
      </c>
      <c r="DE36" s="151" t="s">
        <v>149</v>
      </c>
      <c r="DF36" t="s">
        <v>214</v>
      </c>
      <c r="DG36" s="151" t="s">
        <v>149</v>
      </c>
      <c r="DH36" s="151" t="s">
        <v>149</v>
      </c>
      <c r="DI36" s="151" t="s">
        <v>149</v>
      </c>
      <c r="DJ36" s="151" t="s">
        <v>149</v>
      </c>
      <c r="DK36">
        <v>432.6</v>
      </c>
      <c r="DL36" s="151" t="s">
        <v>149</v>
      </c>
      <c r="DM36" s="151" t="s">
        <v>149</v>
      </c>
      <c r="DN36" s="151" t="s">
        <v>235</v>
      </c>
      <c r="DO36" s="145">
        <v>37.82</v>
      </c>
      <c r="DP36" s="127" t="s">
        <v>210</v>
      </c>
      <c r="DQ36" s="127">
        <v>0.7</v>
      </c>
      <c r="DR36" t="s">
        <v>215</v>
      </c>
      <c r="DS36" t="s">
        <v>151</v>
      </c>
      <c r="DT36" s="151" t="s">
        <v>149</v>
      </c>
      <c r="DU36">
        <v>1.0271999999999999</v>
      </c>
      <c r="DV36" t="s">
        <v>152</v>
      </c>
      <c r="DW36" t="s">
        <v>152</v>
      </c>
      <c r="DX36" t="s">
        <v>155</v>
      </c>
      <c r="DY36" t="s">
        <v>152</v>
      </c>
      <c r="DZ36" t="s">
        <v>152</v>
      </c>
      <c r="EA36" s="151" t="s">
        <v>149</v>
      </c>
      <c r="EB36" s="151" t="s">
        <v>149</v>
      </c>
      <c r="EC36" s="127" t="s">
        <v>216</v>
      </c>
      <c r="ED36" s="127" t="s">
        <v>216</v>
      </c>
      <c r="EE36" s="151" t="s">
        <v>149</v>
      </c>
      <c r="EF36" s="151" t="s">
        <v>149</v>
      </c>
      <c r="EG36" s="151" t="s">
        <v>149</v>
      </c>
      <c r="EH36" t="s">
        <v>217</v>
      </c>
      <c r="EI36" t="s">
        <v>218</v>
      </c>
      <c r="EJ36" t="s">
        <v>215</v>
      </c>
      <c r="EK36" s="145">
        <v>1292</v>
      </c>
      <c r="EL36" t="s">
        <v>153</v>
      </c>
      <c r="EM36">
        <v>300</v>
      </c>
      <c r="EN36">
        <v>300</v>
      </c>
      <c r="EO36" s="151" t="s">
        <v>149</v>
      </c>
      <c r="EP36" s="151" t="s">
        <v>149</v>
      </c>
      <c r="EQ36" s="151" t="s">
        <v>149</v>
      </c>
      <c r="ER36" s="151" t="s">
        <v>149</v>
      </c>
      <c r="ES36" s="151" t="s">
        <v>149</v>
      </c>
      <c r="ET36" s="151" t="s">
        <v>149</v>
      </c>
      <c r="EU36" s="151" t="s">
        <v>149</v>
      </c>
      <c r="EV36" s="151" t="s">
        <v>149</v>
      </c>
      <c r="EW36" s="154">
        <f t="shared" si="8"/>
        <v>338.06900545686653</v>
      </c>
      <c r="EX36" s="151">
        <v>25</v>
      </c>
      <c r="EY36" s="151" t="s">
        <v>236</v>
      </c>
      <c r="EZ36" s="142">
        <v>338.06900545686653</v>
      </c>
      <c r="FA36" s="142">
        <v>134.10344571986548</v>
      </c>
      <c r="FB36" s="142">
        <v>106.6564393779833</v>
      </c>
      <c r="FC36" s="151" t="s">
        <v>237</v>
      </c>
      <c r="FD36" t="s">
        <v>219</v>
      </c>
      <c r="FE36" s="151" t="s">
        <v>149</v>
      </c>
      <c r="FF36" s="151" t="s">
        <v>149</v>
      </c>
      <c r="FG36" s="151" t="s">
        <v>149</v>
      </c>
      <c r="FH36" s="151" t="s">
        <v>149</v>
      </c>
      <c r="FI36" s="151" t="s">
        <v>149</v>
      </c>
      <c r="FJ36" s="151" t="s">
        <v>149</v>
      </c>
      <c r="FK36" s="151" t="s">
        <v>149</v>
      </c>
      <c r="FL36" s="151" t="s">
        <v>149</v>
      </c>
      <c r="FM36" s="151" t="s">
        <v>149</v>
      </c>
      <c r="FN36" s="151" t="s">
        <v>149</v>
      </c>
      <c r="FO36" s="151" t="s">
        <v>149</v>
      </c>
      <c r="FP36" s="151" t="s">
        <v>149</v>
      </c>
      <c r="FQ36" s="151" t="s">
        <v>242</v>
      </c>
    </row>
    <row r="37" spans="1:173" ht="19">
      <c r="A37" s="123" t="s">
        <v>148</v>
      </c>
      <c r="B37" t="s">
        <v>163</v>
      </c>
      <c r="C37">
        <v>2014</v>
      </c>
      <c r="D37" t="s">
        <v>165</v>
      </c>
      <c r="E37" s="141">
        <f t="shared" si="9"/>
        <v>16975.210864105749</v>
      </c>
      <c r="F37" s="141" t="str">
        <f t="shared" si="11"/>
        <v>NA</v>
      </c>
      <c r="G37" s="141" t="str">
        <f t="shared" si="12"/>
        <v>NA</v>
      </c>
      <c r="H37" s="128">
        <f t="shared" si="10"/>
        <v>206.54111279947304</v>
      </c>
      <c r="I37" s="128">
        <f t="shared" si="13"/>
        <v>86.747414051182233</v>
      </c>
      <c r="J37" s="128">
        <f t="shared" si="14"/>
        <v>68.25897362924502</v>
      </c>
      <c r="K37" t="s">
        <v>220</v>
      </c>
      <c r="L37" s="153" t="s">
        <v>241</v>
      </c>
      <c r="M37" s="1" t="s">
        <v>164</v>
      </c>
      <c r="N37" t="s">
        <v>165</v>
      </c>
      <c r="O37" s="131">
        <v>761</v>
      </c>
      <c r="P37" t="s">
        <v>166</v>
      </c>
      <c r="Q37" s="132">
        <v>6</v>
      </c>
      <c r="R37" s="132">
        <v>6</v>
      </c>
      <c r="S37" s="142">
        <v>98</v>
      </c>
      <c r="T37">
        <v>100</v>
      </c>
      <c r="U37" s="151" t="s">
        <v>149</v>
      </c>
      <c r="V37" s="135">
        <v>51.58</v>
      </c>
      <c r="W37" s="136" t="s">
        <v>167</v>
      </c>
      <c r="X37" t="s">
        <v>168</v>
      </c>
      <c r="Y37" s="136">
        <v>-16.739722220000001</v>
      </c>
      <c r="Z37" s="127">
        <v>115.53611110999999</v>
      </c>
      <c r="AA37" s="151" t="s">
        <v>149</v>
      </c>
      <c r="AB37" s="151" t="s">
        <v>149</v>
      </c>
      <c r="AC37">
        <v>-2179</v>
      </c>
      <c r="AD37" s="151" t="s">
        <v>149</v>
      </c>
      <c r="AE37" s="151" t="s">
        <v>149</v>
      </c>
      <c r="AF37" s="151" t="s">
        <v>149</v>
      </c>
      <c r="AG37" s="139">
        <v>16975.210864105749</v>
      </c>
      <c r="AH37" s="152" t="s">
        <v>149</v>
      </c>
      <c r="AI37" s="151" t="s">
        <v>149</v>
      </c>
      <c r="AJ37" s="151" t="s">
        <v>149</v>
      </c>
      <c r="AK37" s="138" t="s">
        <v>169</v>
      </c>
      <c r="AL37" s="138" t="s">
        <v>170</v>
      </c>
      <c r="AM37" s="138" t="s">
        <v>171</v>
      </c>
      <c r="AN37" t="s">
        <v>149</v>
      </c>
      <c r="AO37" t="s">
        <v>149</v>
      </c>
      <c r="AP37" t="s">
        <v>149</v>
      </c>
      <c r="AQ37" t="s">
        <v>149</v>
      </c>
      <c r="AR37" t="s">
        <v>149</v>
      </c>
      <c r="AS37" t="s">
        <v>149</v>
      </c>
      <c r="AT37" t="s">
        <v>149</v>
      </c>
      <c r="AU37" t="s">
        <v>172</v>
      </c>
      <c r="AV37" t="s">
        <v>150</v>
      </c>
      <c r="AW37" t="s">
        <v>239</v>
      </c>
      <c r="AX37" t="s">
        <v>240</v>
      </c>
      <c r="AY37" t="s">
        <v>173</v>
      </c>
      <c r="AZ37" t="s">
        <v>174</v>
      </c>
      <c r="BA37" t="s">
        <v>175</v>
      </c>
      <c r="BB37" s="140" t="s">
        <v>206</v>
      </c>
      <c r="BC37">
        <v>2</v>
      </c>
      <c r="BD37" s="141">
        <v>0.12889026337126808</v>
      </c>
      <c r="BE37" s="133">
        <v>17.000801673249963</v>
      </c>
      <c r="BF37" t="s">
        <v>208</v>
      </c>
      <c r="BG37" s="134">
        <v>0.65551182462128443</v>
      </c>
      <c r="BH37">
        <v>0.83299999999999996</v>
      </c>
      <c r="BI37" t="s">
        <v>210</v>
      </c>
      <c r="BJ37" s="152" t="s">
        <v>149</v>
      </c>
      <c r="BK37">
        <v>2.67</v>
      </c>
      <c r="BL37" t="s">
        <v>210</v>
      </c>
      <c r="BM37" s="152" t="s">
        <v>149</v>
      </c>
      <c r="BN37" s="151" t="s">
        <v>238</v>
      </c>
      <c r="BO37" t="s">
        <v>209</v>
      </c>
      <c r="BP37" s="151" t="s">
        <v>149</v>
      </c>
      <c r="BQ37" s="151" t="s">
        <v>149</v>
      </c>
      <c r="BR37" s="151" t="s">
        <v>149</v>
      </c>
      <c r="BS37" s="151" t="s">
        <v>149</v>
      </c>
      <c r="BT37" s="151" t="s">
        <v>149</v>
      </c>
      <c r="BU37">
        <v>0</v>
      </c>
      <c r="BV37" s="151" t="s">
        <v>149</v>
      </c>
      <c r="BW37" s="151" t="s">
        <v>149</v>
      </c>
      <c r="BX37" s="133">
        <v>30.61582087609165</v>
      </c>
      <c r="BY37" t="s">
        <v>210</v>
      </c>
      <c r="BZ37">
        <v>3</v>
      </c>
      <c r="CA37">
        <v>3</v>
      </c>
      <c r="CB37" s="151" t="s">
        <v>149</v>
      </c>
      <c r="CC37" s="133">
        <v>3.9570381352808712</v>
      </c>
      <c r="CD37" t="s">
        <v>210</v>
      </c>
      <c r="CE37" s="141">
        <f t="shared" si="6"/>
        <v>5.9355572029213065E-2</v>
      </c>
      <c r="CF37" s="141">
        <f t="shared" si="7"/>
        <v>5.9355572029213065E-2</v>
      </c>
      <c r="CG37" s="151" t="s">
        <v>149</v>
      </c>
      <c r="CH37" t="s">
        <v>211</v>
      </c>
      <c r="CI37" s="151">
        <v>3.43</v>
      </c>
      <c r="CJ37" t="s">
        <v>214</v>
      </c>
      <c r="CK37" s="151" t="s">
        <v>149</v>
      </c>
      <c r="CL37" s="151" t="s">
        <v>149</v>
      </c>
      <c r="CM37" s="151" t="s">
        <v>149</v>
      </c>
      <c r="CN37" t="s">
        <v>149</v>
      </c>
      <c r="CO37" t="s">
        <v>149</v>
      </c>
      <c r="CP37" t="s">
        <v>149</v>
      </c>
      <c r="CQ37" t="s">
        <v>149</v>
      </c>
      <c r="CR37" t="s">
        <v>149</v>
      </c>
      <c r="CS37" t="s">
        <v>149</v>
      </c>
      <c r="CT37" t="s">
        <v>149</v>
      </c>
      <c r="CU37">
        <v>35</v>
      </c>
      <c r="CV37" t="s">
        <v>212</v>
      </c>
      <c r="CW37">
        <v>3</v>
      </c>
      <c r="CX37" t="s">
        <v>213</v>
      </c>
      <c r="CY37">
        <v>14</v>
      </c>
      <c r="CZ37" s="151" t="s">
        <v>149</v>
      </c>
      <c r="DA37" s="151" t="s">
        <v>149</v>
      </c>
      <c r="DB37" s="144" t="s">
        <v>214</v>
      </c>
      <c r="DC37" s="144">
        <v>44</v>
      </c>
      <c r="DD37" s="151" t="s">
        <v>149</v>
      </c>
      <c r="DE37" s="151" t="s">
        <v>149</v>
      </c>
      <c r="DF37" t="s">
        <v>214</v>
      </c>
      <c r="DG37" s="151" t="s">
        <v>149</v>
      </c>
      <c r="DH37" s="151" t="s">
        <v>149</v>
      </c>
      <c r="DI37" s="151" t="s">
        <v>149</v>
      </c>
      <c r="DJ37" s="151" t="s">
        <v>149</v>
      </c>
      <c r="DK37">
        <v>432.6</v>
      </c>
      <c r="DL37" s="151" t="s">
        <v>149</v>
      </c>
      <c r="DM37" s="151" t="s">
        <v>149</v>
      </c>
      <c r="DN37" s="151" t="s">
        <v>235</v>
      </c>
      <c r="DO37" s="145">
        <v>37.82</v>
      </c>
      <c r="DP37" s="127" t="s">
        <v>210</v>
      </c>
      <c r="DQ37" s="127">
        <v>0.7</v>
      </c>
      <c r="DR37" t="s">
        <v>215</v>
      </c>
      <c r="DS37" t="s">
        <v>151</v>
      </c>
      <c r="DT37" s="151" t="s">
        <v>149</v>
      </c>
      <c r="DU37">
        <v>1.0271999999999999</v>
      </c>
      <c r="DV37" t="s">
        <v>152</v>
      </c>
      <c r="DW37" t="s">
        <v>152</v>
      </c>
      <c r="DX37" t="s">
        <v>155</v>
      </c>
      <c r="DY37" t="s">
        <v>152</v>
      </c>
      <c r="DZ37" t="s">
        <v>152</v>
      </c>
      <c r="EA37" s="151" t="s">
        <v>149</v>
      </c>
      <c r="EB37" s="151" t="s">
        <v>149</v>
      </c>
      <c r="EC37" s="127" t="s">
        <v>216</v>
      </c>
      <c r="ED37" s="127" t="s">
        <v>216</v>
      </c>
      <c r="EE37" s="151" t="s">
        <v>149</v>
      </c>
      <c r="EF37" s="151" t="s">
        <v>149</v>
      </c>
      <c r="EG37" s="151" t="s">
        <v>149</v>
      </c>
      <c r="EH37" t="s">
        <v>217</v>
      </c>
      <c r="EI37" t="s">
        <v>218</v>
      </c>
      <c r="EJ37" t="s">
        <v>215</v>
      </c>
      <c r="EK37">
        <v>1292</v>
      </c>
      <c r="EL37" t="s">
        <v>153</v>
      </c>
      <c r="EM37">
        <v>300</v>
      </c>
      <c r="EN37">
        <v>300</v>
      </c>
      <c r="EO37" s="151" t="s">
        <v>149</v>
      </c>
      <c r="EP37" s="151" t="s">
        <v>149</v>
      </c>
      <c r="EQ37" s="151" t="s">
        <v>149</v>
      </c>
      <c r="ER37" s="151" t="s">
        <v>149</v>
      </c>
      <c r="ES37" s="151" t="s">
        <v>149</v>
      </c>
      <c r="ET37" s="151" t="s">
        <v>149</v>
      </c>
      <c r="EU37" s="151" t="s">
        <v>149</v>
      </c>
      <c r="EV37" s="151" t="s">
        <v>149</v>
      </c>
      <c r="EW37" s="154">
        <f t="shared" si="8"/>
        <v>206.54111279947304</v>
      </c>
      <c r="EX37" s="151">
        <v>25</v>
      </c>
      <c r="EY37" s="151" t="s">
        <v>236</v>
      </c>
      <c r="EZ37" s="142">
        <v>206.54111279947304</v>
      </c>
      <c r="FA37" s="142">
        <v>86.747414051182233</v>
      </c>
      <c r="FB37" s="142">
        <v>68.25897362924502</v>
      </c>
      <c r="FC37" s="151" t="s">
        <v>237</v>
      </c>
      <c r="FD37" t="s">
        <v>219</v>
      </c>
      <c r="FE37" s="151" t="s">
        <v>149</v>
      </c>
      <c r="FF37" s="151" t="s">
        <v>149</v>
      </c>
      <c r="FG37" s="151" t="s">
        <v>149</v>
      </c>
      <c r="FH37" s="151" t="s">
        <v>149</v>
      </c>
      <c r="FI37" s="151" t="s">
        <v>149</v>
      </c>
      <c r="FJ37" s="151" t="s">
        <v>149</v>
      </c>
      <c r="FK37" s="151" t="s">
        <v>149</v>
      </c>
      <c r="FL37" s="151" t="s">
        <v>149</v>
      </c>
      <c r="FM37" s="151" t="s">
        <v>149</v>
      </c>
      <c r="FN37" s="151" t="s">
        <v>149</v>
      </c>
      <c r="FO37" s="151" t="s">
        <v>149</v>
      </c>
      <c r="FP37" s="151" t="s">
        <v>149</v>
      </c>
      <c r="FQ37" s="151" t="s">
        <v>242</v>
      </c>
    </row>
    <row r="38" spans="1:173" ht="19">
      <c r="A38" s="123" t="s">
        <v>148</v>
      </c>
      <c r="B38" t="s">
        <v>163</v>
      </c>
      <c r="C38">
        <v>2014</v>
      </c>
      <c r="D38" t="s">
        <v>165</v>
      </c>
      <c r="E38" s="141">
        <f t="shared" si="9"/>
        <v>17113.587715183487</v>
      </c>
      <c r="F38" s="141" t="str">
        <f t="shared" si="11"/>
        <v>NA</v>
      </c>
      <c r="G38" s="141" t="str">
        <f t="shared" si="12"/>
        <v>NA</v>
      </c>
      <c r="H38" s="128">
        <f t="shared" si="10"/>
        <v>252.14693233047547</v>
      </c>
      <c r="I38" s="128">
        <f t="shared" si="13"/>
        <v>89.54830203853345</v>
      </c>
      <c r="J38" s="128">
        <f t="shared" si="14"/>
        <v>75.020303870998021</v>
      </c>
      <c r="K38" t="s">
        <v>220</v>
      </c>
      <c r="L38" s="153" t="s">
        <v>241</v>
      </c>
      <c r="M38" s="1" t="s">
        <v>164</v>
      </c>
      <c r="N38" t="s">
        <v>165</v>
      </c>
      <c r="O38" s="131">
        <v>761</v>
      </c>
      <c r="P38" t="s">
        <v>166</v>
      </c>
      <c r="Q38" s="132">
        <v>6</v>
      </c>
      <c r="R38" s="132">
        <v>6</v>
      </c>
      <c r="S38" s="142">
        <v>128</v>
      </c>
      <c r="T38">
        <v>130</v>
      </c>
      <c r="U38" s="151" t="s">
        <v>149</v>
      </c>
      <c r="V38" s="135">
        <v>51.88</v>
      </c>
      <c r="W38" s="136" t="s">
        <v>167</v>
      </c>
      <c r="X38" t="s">
        <v>168</v>
      </c>
      <c r="Y38" s="136">
        <v>-16.739722220000001</v>
      </c>
      <c r="Z38" s="127">
        <v>115.53611110999999</v>
      </c>
      <c r="AA38" s="151" t="s">
        <v>149</v>
      </c>
      <c r="AB38" s="151" t="s">
        <v>149</v>
      </c>
      <c r="AC38">
        <v>-2179</v>
      </c>
      <c r="AD38" s="151" t="s">
        <v>149</v>
      </c>
      <c r="AE38" s="151" t="s">
        <v>149</v>
      </c>
      <c r="AF38" s="151" t="s">
        <v>149</v>
      </c>
      <c r="AG38" s="139">
        <v>17113.587715183487</v>
      </c>
      <c r="AH38" s="152" t="s">
        <v>149</v>
      </c>
      <c r="AI38" s="151" t="s">
        <v>149</v>
      </c>
      <c r="AJ38" s="151" t="s">
        <v>149</v>
      </c>
      <c r="AK38" s="138" t="s">
        <v>169</v>
      </c>
      <c r="AL38" s="138" t="s">
        <v>170</v>
      </c>
      <c r="AM38" s="138" t="s">
        <v>171</v>
      </c>
      <c r="AN38" t="s">
        <v>149</v>
      </c>
      <c r="AO38" t="s">
        <v>149</v>
      </c>
      <c r="AP38" t="s">
        <v>149</v>
      </c>
      <c r="AQ38" t="s">
        <v>149</v>
      </c>
      <c r="AR38" t="s">
        <v>149</v>
      </c>
      <c r="AS38" t="s">
        <v>149</v>
      </c>
      <c r="AT38" t="s">
        <v>149</v>
      </c>
      <c r="AU38" t="s">
        <v>172</v>
      </c>
      <c r="AV38" t="s">
        <v>150</v>
      </c>
      <c r="AW38" t="s">
        <v>239</v>
      </c>
      <c r="AX38" t="s">
        <v>240</v>
      </c>
      <c r="AY38" t="s">
        <v>173</v>
      </c>
      <c r="AZ38" t="s">
        <v>174</v>
      </c>
      <c r="BA38" t="s">
        <v>175</v>
      </c>
      <c r="BB38" s="140" t="s">
        <v>207</v>
      </c>
      <c r="BC38">
        <v>2</v>
      </c>
      <c r="BD38" s="141">
        <v>6.2810012919324976E-2</v>
      </c>
      <c r="BE38" s="133">
        <v>16.358713779273785</v>
      </c>
      <c r="BF38" t="s">
        <v>208</v>
      </c>
      <c r="BG38" s="134">
        <v>0.3087457653101211</v>
      </c>
      <c r="BH38">
        <v>0.83299999999999996</v>
      </c>
      <c r="BI38" t="s">
        <v>210</v>
      </c>
      <c r="BJ38" s="152" t="s">
        <v>149</v>
      </c>
      <c r="BK38">
        <v>2.67</v>
      </c>
      <c r="BL38" t="s">
        <v>210</v>
      </c>
      <c r="BM38" s="152" t="s">
        <v>149</v>
      </c>
      <c r="BN38" s="151" t="s">
        <v>238</v>
      </c>
      <c r="BO38" t="s">
        <v>209</v>
      </c>
      <c r="BP38" s="151" t="s">
        <v>149</v>
      </c>
      <c r="BQ38" s="151" t="s">
        <v>149</v>
      </c>
      <c r="BR38" s="151" t="s">
        <v>149</v>
      </c>
      <c r="BS38" s="151" t="s">
        <v>149</v>
      </c>
      <c r="BT38" s="151" t="s">
        <v>149</v>
      </c>
      <c r="BU38">
        <v>0</v>
      </c>
      <c r="BV38" s="151" t="s">
        <v>149</v>
      </c>
      <c r="BW38" s="151" t="s">
        <v>149</v>
      </c>
      <c r="BX38" s="133">
        <v>30.881409345523231</v>
      </c>
      <c r="BY38" t="s">
        <v>210</v>
      </c>
      <c r="BZ38">
        <v>3</v>
      </c>
      <c r="CA38">
        <v>3</v>
      </c>
      <c r="CB38" s="151" t="s">
        <v>149</v>
      </c>
      <c r="CC38" s="133">
        <v>4.0327471484129802</v>
      </c>
      <c r="CD38" t="s">
        <v>210</v>
      </c>
      <c r="CE38" s="141">
        <f t="shared" si="6"/>
        <v>6.04912072261947E-2</v>
      </c>
      <c r="CF38" s="141">
        <f t="shared" si="7"/>
        <v>6.04912072261947E-2</v>
      </c>
      <c r="CG38" s="151" t="s">
        <v>149</v>
      </c>
      <c r="CH38" t="s">
        <v>211</v>
      </c>
      <c r="CI38" s="151">
        <v>3.43</v>
      </c>
      <c r="CJ38" t="s">
        <v>214</v>
      </c>
      <c r="CK38" s="151" t="s">
        <v>149</v>
      </c>
      <c r="CL38" s="151" t="s">
        <v>149</v>
      </c>
      <c r="CM38" s="151" t="s">
        <v>149</v>
      </c>
      <c r="CN38" t="s">
        <v>149</v>
      </c>
      <c r="CO38" t="s">
        <v>149</v>
      </c>
      <c r="CP38" t="s">
        <v>149</v>
      </c>
      <c r="CQ38" t="s">
        <v>149</v>
      </c>
      <c r="CR38" t="s">
        <v>149</v>
      </c>
      <c r="CS38" t="s">
        <v>149</v>
      </c>
      <c r="CT38" t="s">
        <v>149</v>
      </c>
      <c r="CU38">
        <v>35</v>
      </c>
      <c r="CV38" t="s">
        <v>212</v>
      </c>
      <c r="CW38">
        <v>3</v>
      </c>
      <c r="CX38" t="s">
        <v>213</v>
      </c>
      <c r="CY38">
        <v>14</v>
      </c>
      <c r="CZ38" s="151" t="s">
        <v>149</v>
      </c>
      <c r="DA38" s="151" t="s">
        <v>149</v>
      </c>
      <c r="DB38" s="144" t="s">
        <v>214</v>
      </c>
      <c r="DC38" s="144">
        <v>44</v>
      </c>
      <c r="DD38" s="151" t="s">
        <v>149</v>
      </c>
      <c r="DE38" s="151" t="s">
        <v>149</v>
      </c>
      <c r="DF38" t="s">
        <v>214</v>
      </c>
      <c r="DG38" s="151" t="s">
        <v>149</v>
      </c>
      <c r="DH38" s="151" t="s">
        <v>149</v>
      </c>
      <c r="DI38" s="151" t="s">
        <v>149</v>
      </c>
      <c r="DJ38" s="151" t="s">
        <v>149</v>
      </c>
      <c r="DK38">
        <v>432.6</v>
      </c>
      <c r="DL38" s="151" t="s">
        <v>149</v>
      </c>
      <c r="DM38" s="151" t="s">
        <v>149</v>
      </c>
      <c r="DN38" s="151" t="s">
        <v>235</v>
      </c>
      <c r="DO38" s="145">
        <v>37.82</v>
      </c>
      <c r="DP38" s="127" t="s">
        <v>210</v>
      </c>
      <c r="DQ38" s="127">
        <v>0.7</v>
      </c>
      <c r="DR38" t="s">
        <v>215</v>
      </c>
      <c r="DS38" t="s">
        <v>151</v>
      </c>
      <c r="DT38" s="151" t="s">
        <v>149</v>
      </c>
      <c r="DU38">
        <v>1.0271999999999999</v>
      </c>
      <c r="DV38" t="s">
        <v>152</v>
      </c>
      <c r="DW38" t="s">
        <v>152</v>
      </c>
      <c r="DX38" t="s">
        <v>155</v>
      </c>
      <c r="DY38" t="s">
        <v>152</v>
      </c>
      <c r="DZ38" t="s">
        <v>152</v>
      </c>
      <c r="EA38" s="151" t="s">
        <v>149</v>
      </c>
      <c r="EB38" s="151" t="s">
        <v>149</v>
      </c>
      <c r="EC38" s="127" t="s">
        <v>216</v>
      </c>
      <c r="ED38" s="127" t="s">
        <v>216</v>
      </c>
      <c r="EE38" s="151" t="s">
        <v>149</v>
      </c>
      <c r="EF38" s="151" t="s">
        <v>149</v>
      </c>
      <c r="EG38" s="151" t="s">
        <v>149</v>
      </c>
      <c r="EH38" t="s">
        <v>217</v>
      </c>
      <c r="EI38" t="s">
        <v>218</v>
      </c>
      <c r="EJ38" t="s">
        <v>215</v>
      </c>
      <c r="EK38" s="145">
        <v>1292</v>
      </c>
      <c r="EL38" t="s">
        <v>153</v>
      </c>
      <c r="EM38">
        <v>300</v>
      </c>
      <c r="EN38">
        <v>300</v>
      </c>
      <c r="EO38" s="151" t="s">
        <v>149</v>
      </c>
      <c r="EP38" s="151" t="s">
        <v>149</v>
      </c>
      <c r="EQ38" s="151" t="s">
        <v>149</v>
      </c>
      <c r="ER38" s="151" t="s">
        <v>149</v>
      </c>
      <c r="ES38" s="151" t="s">
        <v>149</v>
      </c>
      <c r="ET38" s="151" t="s">
        <v>149</v>
      </c>
      <c r="EU38" s="151" t="s">
        <v>149</v>
      </c>
      <c r="EV38" s="151" t="s">
        <v>149</v>
      </c>
      <c r="EW38" s="154">
        <f t="shared" si="8"/>
        <v>252.14693233047547</v>
      </c>
      <c r="EX38" s="151">
        <v>25</v>
      </c>
      <c r="EY38" s="151" t="s">
        <v>236</v>
      </c>
      <c r="EZ38" s="142">
        <v>252.14693233047547</v>
      </c>
      <c r="FA38" s="142">
        <v>89.54830203853345</v>
      </c>
      <c r="FB38" s="142">
        <v>75.020303870998021</v>
      </c>
      <c r="FC38" s="151" t="s">
        <v>237</v>
      </c>
      <c r="FD38" t="s">
        <v>219</v>
      </c>
      <c r="FE38" s="151" t="s">
        <v>149</v>
      </c>
      <c r="FF38" s="151" t="s">
        <v>149</v>
      </c>
      <c r="FG38" s="151" t="s">
        <v>149</v>
      </c>
      <c r="FH38" s="151" t="s">
        <v>149</v>
      </c>
      <c r="FI38" s="151" t="s">
        <v>149</v>
      </c>
      <c r="FJ38" s="151" t="s">
        <v>149</v>
      </c>
      <c r="FK38" s="151" t="s">
        <v>149</v>
      </c>
      <c r="FL38" s="151" t="s">
        <v>149</v>
      </c>
      <c r="FM38" s="151" t="s">
        <v>149</v>
      </c>
      <c r="FN38" s="151" t="s">
        <v>149</v>
      </c>
      <c r="FO38" s="151" t="s">
        <v>149</v>
      </c>
      <c r="FP38" s="151" t="s">
        <v>149</v>
      </c>
      <c r="FQ38" s="151" t="s">
        <v>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3EC03-40D9-4243-BD9D-10F4AC99AC1D}">
  <dimension ref="A1:A3"/>
  <sheetViews>
    <sheetView workbookViewId="0">
      <selection sqref="A1:A3"/>
    </sheetView>
  </sheetViews>
  <sheetFormatPr baseColWidth="10" defaultRowHeight="16"/>
  <sheetData>
    <row r="1" spans="1:1">
      <c r="A1" t="s">
        <v>0</v>
      </c>
    </row>
    <row r="2" spans="1:1">
      <c r="A2" t="s">
        <v>232</v>
      </c>
    </row>
    <row r="3" spans="1:1">
      <c r="A3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boron isotopes</vt:lpstr>
      <vt:lpstr>Column specifications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Bärbel Hönisch</dc:creator>
  <cp:lastModifiedBy>Bärbel Hönisch</cp:lastModifiedBy>
  <dcterms:created xsi:type="dcterms:W3CDTF">2017-12-08T17:15:47Z</dcterms:created>
  <dcterms:modified xsi:type="dcterms:W3CDTF">2020-07-01T19:47:37Z</dcterms:modified>
</cp:coreProperties>
</file>