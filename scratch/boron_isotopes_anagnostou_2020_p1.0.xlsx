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FBD9192E-15A3-CC4A-8CD3-F505028668F0}" xr6:coauthVersionLast="47" xr6:coauthVersionMax="47" xr10:uidLastSave="{00000000-0000-0000-0000-000000000000}"/>
  <bookViews>
    <workbookView xWindow="3000" yWindow="110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166" i="1" l="1"/>
  <c r="I166" i="1"/>
  <c r="H167" i="1"/>
  <c r="I167" i="1"/>
  <c r="H168" i="1"/>
  <c r="I168" i="1"/>
  <c r="H169" i="1"/>
  <c r="I169" i="1"/>
  <c r="H170" i="1"/>
  <c r="I170" i="1"/>
  <c r="H171" i="1"/>
  <c r="I171" i="1"/>
  <c r="H172" i="1"/>
  <c r="I172" i="1"/>
  <c r="H173" i="1"/>
  <c r="I173" i="1"/>
  <c r="H174" i="1"/>
  <c r="I174" i="1"/>
  <c r="H175" i="1"/>
  <c r="I175" i="1"/>
  <c r="H176" i="1"/>
  <c r="I176" i="1"/>
  <c r="H177" i="1"/>
  <c r="I177" i="1"/>
  <c r="H178" i="1"/>
  <c r="I178" i="1"/>
  <c r="H179" i="1"/>
  <c r="I179" i="1"/>
  <c r="H180" i="1"/>
  <c r="I180" i="1"/>
  <c r="H181" i="1"/>
  <c r="I181" i="1"/>
  <c r="H182" i="1"/>
  <c r="I182" i="1"/>
  <c r="H183" i="1"/>
  <c r="I183" i="1"/>
  <c r="H184" i="1"/>
  <c r="I184" i="1"/>
  <c r="H185" i="1"/>
  <c r="I185" i="1"/>
  <c r="H186" i="1"/>
  <c r="I186" i="1"/>
  <c r="H187" i="1"/>
  <c r="I187" i="1"/>
  <c r="H188" i="1"/>
  <c r="I188" i="1"/>
  <c r="H189" i="1"/>
  <c r="I189" i="1"/>
  <c r="H190" i="1"/>
  <c r="I190" i="1"/>
  <c r="H191" i="1"/>
  <c r="I191" i="1"/>
  <c r="H192" i="1"/>
  <c r="I192" i="1"/>
  <c r="H193" i="1"/>
  <c r="I193" i="1"/>
  <c r="H194" i="1"/>
  <c r="I194" i="1"/>
  <c r="H195" i="1"/>
  <c r="I195" i="1"/>
  <c r="H196" i="1"/>
  <c r="I196" i="1"/>
  <c r="H197" i="1"/>
  <c r="I197" i="1"/>
  <c r="H198" i="1"/>
  <c r="I198" i="1"/>
  <c r="H199" i="1"/>
  <c r="I199" i="1"/>
  <c r="H200" i="1"/>
  <c r="I200" i="1"/>
  <c r="H201" i="1"/>
  <c r="I201" i="1"/>
  <c r="H202" i="1"/>
  <c r="I202" i="1"/>
  <c r="H203" i="1"/>
  <c r="I203" i="1"/>
  <c r="H204" i="1"/>
  <c r="I204" i="1"/>
  <c r="H205" i="1"/>
  <c r="I205" i="1"/>
  <c r="H206" i="1"/>
  <c r="I206" i="1"/>
  <c r="H207" i="1"/>
  <c r="I207" i="1"/>
  <c r="H208" i="1"/>
  <c r="I208" i="1"/>
  <c r="H209" i="1"/>
  <c r="I209" i="1"/>
  <c r="H210" i="1"/>
  <c r="I210" i="1"/>
  <c r="H211" i="1"/>
  <c r="I211" i="1"/>
  <c r="H212" i="1"/>
  <c r="I212" i="1"/>
  <c r="H213" i="1"/>
  <c r="I213" i="1"/>
  <c r="H214" i="1"/>
  <c r="I214" i="1"/>
  <c r="H215" i="1"/>
  <c r="I215" i="1"/>
  <c r="H216" i="1"/>
  <c r="I216" i="1"/>
  <c r="H217" i="1"/>
  <c r="I217" i="1"/>
  <c r="H218" i="1"/>
  <c r="I218" i="1"/>
  <c r="H219" i="1"/>
  <c r="I219" i="1"/>
  <c r="H220" i="1"/>
  <c r="I220" i="1"/>
  <c r="H221" i="1"/>
  <c r="I221" i="1"/>
  <c r="H222" i="1"/>
  <c r="I222" i="1"/>
  <c r="H223" i="1"/>
  <c r="I223" i="1"/>
  <c r="H224" i="1"/>
  <c r="I224" i="1"/>
  <c r="H225" i="1"/>
  <c r="I225" i="1"/>
  <c r="H226" i="1"/>
  <c r="I226" i="1"/>
  <c r="H227" i="1"/>
  <c r="I227" i="1"/>
  <c r="H228" i="1"/>
  <c r="I228" i="1"/>
  <c r="H229" i="1"/>
  <c r="I229" i="1"/>
  <c r="H230" i="1"/>
  <c r="I230" i="1"/>
  <c r="H231" i="1"/>
  <c r="I231" i="1"/>
  <c r="H232" i="1"/>
  <c r="I232" i="1"/>
  <c r="H233" i="1"/>
  <c r="I233" i="1"/>
  <c r="H234" i="1"/>
  <c r="I234" i="1"/>
  <c r="H235" i="1"/>
  <c r="I235" i="1"/>
  <c r="H236" i="1"/>
  <c r="I236" i="1"/>
  <c r="H237" i="1"/>
  <c r="I237" i="1"/>
  <c r="H238" i="1"/>
  <c r="I238" i="1"/>
  <c r="H239" i="1"/>
  <c r="I239" i="1"/>
  <c r="H240" i="1"/>
  <c r="I240" i="1"/>
  <c r="H241" i="1"/>
  <c r="I241" i="1"/>
  <c r="H242" i="1"/>
  <c r="I242" i="1"/>
  <c r="H243" i="1"/>
  <c r="I243" i="1"/>
  <c r="I165" i="1"/>
  <c r="H165" i="1"/>
  <c r="I164" i="1"/>
  <c r="H16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4" i="1"/>
  <c r="FL271" i="1"/>
  <c r="CD271" i="1"/>
  <c r="CB271" i="1"/>
  <c r="FL270" i="1"/>
  <c r="CD270" i="1"/>
  <c r="CB270" i="1"/>
  <c r="FL269" i="1"/>
  <c r="CD269" i="1"/>
  <c r="CB269" i="1"/>
  <c r="FL268" i="1"/>
  <c r="CD268" i="1"/>
  <c r="CB268" i="1"/>
  <c r="FL267" i="1"/>
  <c r="CD267" i="1"/>
  <c r="CB267" i="1"/>
  <c r="FL266" i="1"/>
  <c r="CD266" i="1"/>
  <c r="CB266" i="1"/>
  <c r="FL265" i="1"/>
  <c r="CD265" i="1"/>
  <c r="CB265" i="1"/>
  <c r="AF265" i="1"/>
  <c r="FL264" i="1"/>
  <c r="CD264" i="1"/>
  <c r="CB264" i="1"/>
  <c r="FL263" i="1"/>
  <c r="CD263" i="1"/>
  <c r="CB263" i="1"/>
  <c r="FL262" i="1"/>
  <c r="CD262" i="1"/>
  <c r="CB262" i="1"/>
  <c r="AF262" i="1"/>
  <c r="FL261" i="1"/>
  <c r="CD261" i="1"/>
  <c r="CB261" i="1"/>
  <c r="FL260" i="1"/>
  <c r="CD260" i="1"/>
  <c r="CB260" i="1"/>
  <c r="FL259" i="1"/>
  <c r="CD259" i="1"/>
  <c r="CB259" i="1"/>
  <c r="FL258" i="1"/>
  <c r="CD258" i="1"/>
  <c r="CB258" i="1"/>
  <c r="FL257" i="1"/>
  <c r="CD257" i="1"/>
  <c r="CB257" i="1"/>
  <c r="FL256" i="1"/>
  <c r="CD256" i="1"/>
  <c r="CB256" i="1"/>
  <c r="FL255" i="1"/>
  <c r="CD255" i="1"/>
  <c r="CB255" i="1"/>
  <c r="FL254" i="1"/>
  <c r="CD254" i="1"/>
  <c r="CB254" i="1"/>
  <c r="FL253" i="1"/>
  <c r="CD253" i="1"/>
  <c r="CB253" i="1"/>
  <c r="FL252" i="1"/>
  <c r="CD252" i="1"/>
  <c r="CB252" i="1"/>
  <c r="FL251" i="1"/>
  <c r="CD251" i="1"/>
  <c r="CB251" i="1"/>
  <c r="FL250" i="1"/>
  <c r="CD250" i="1"/>
  <c r="CB250" i="1"/>
  <c r="FL249" i="1"/>
  <c r="CD249" i="1"/>
  <c r="CB249" i="1"/>
  <c r="FL248" i="1"/>
  <c r="CD248" i="1"/>
  <c r="CB248" i="1"/>
  <c r="FL247" i="1"/>
  <c r="CD247" i="1"/>
  <c r="CB247" i="1"/>
  <c r="FL246" i="1"/>
  <c r="CD246" i="1"/>
  <c r="CB246" i="1"/>
  <c r="FL245" i="1"/>
  <c r="CD245" i="1"/>
  <c r="CB245" i="1"/>
  <c r="FL244" i="1"/>
  <c r="CD244" i="1"/>
  <c r="CB244" i="1"/>
  <c r="FL243" i="1"/>
  <c r="CD243" i="1"/>
  <c r="CB243" i="1"/>
  <c r="FL242" i="1"/>
  <c r="CD242" i="1"/>
  <c r="CB242" i="1"/>
  <c r="FL241" i="1"/>
  <c r="CD241" i="1"/>
  <c r="CB241" i="1"/>
  <c r="FL240" i="1"/>
  <c r="CD240" i="1"/>
  <c r="CB240" i="1"/>
  <c r="FL239" i="1"/>
  <c r="CD239" i="1"/>
  <c r="CB239" i="1"/>
  <c r="FL238" i="1"/>
  <c r="CD238" i="1"/>
  <c r="CB238" i="1"/>
  <c r="FL237" i="1"/>
  <c r="CD237" i="1"/>
  <c r="CB237" i="1"/>
  <c r="FL236" i="1"/>
  <c r="CD236" i="1"/>
  <c r="CB236" i="1"/>
  <c r="FL235" i="1"/>
  <c r="CD235" i="1"/>
  <c r="CB235" i="1"/>
  <c r="FL234" i="1"/>
  <c r="CD234" i="1"/>
  <c r="CB234" i="1"/>
  <c r="FL233" i="1"/>
  <c r="CD233" i="1"/>
  <c r="CB233" i="1"/>
  <c r="FL232" i="1"/>
  <c r="CD232" i="1"/>
  <c r="CB232" i="1"/>
  <c r="FL231" i="1"/>
  <c r="CD231" i="1"/>
  <c r="CB231" i="1"/>
  <c r="FL230" i="1"/>
  <c r="CD230" i="1"/>
  <c r="CB230" i="1"/>
  <c r="FL229" i="1"/>
  <c r="CD229" i="1"/>
  <c r="CB229" i="1"/>
  <c r="FL228" i="1"/>
  <c r="CD228" i="1"/>
  <c r="CB228" i="1"/>
  <c r="FL227" i="1"/>
  <c r="CD227" i="1"/>
  <c r="CB227" i="1"/>
  <c r="FL226" i="1"/>
  <c r="CD226" i="1"/>
  <c r="CB226" i="1"/>
  <c r="FL225" i="1"/>
  <c r="CD225" i="1"/>
  <c r="CB225" i="1"/>
  <c r="FL224" i="1"/>
  <c r="CD224" i="1"/>
  <c r="CB224" i="1"/>
  <c r="FL223" i="1"/>
  <c r="CD223" i="1"/>
  <c r="CB223" i="1"/>
  <c r="FL222" i="1"/>
  <c r="CD222" i="1"/>
  <c r="CB222" i="1"/>
  <c r="FL221" i="1"/>
  <c r="CD221" i="1"/>
  <c r="CB221" i="1"/>
  <c r="FL220" i="1"/>
  <c r="CD220" i="1"/>
  <c r="CB220" i="1"/>
  <c r="FL219" i="1"/>
  <c r="CD219" i="1"/>
  <c r="CB219" i="1"/>
  <c r="FL218" i="1"/>
  <c r="CD218" i="1"/>
  <c r="CB218" i="1"/>
  <c r="FL217" i="1"/>
  <c r="CD217" i="1"/>
  <c r="CB217" i="1"/>
  <c r="FL216" i="1"/>
  <c r="CD216" i="1"/>
  <c r="CB216" i="1"/>
  <c r="FL215" i="1"/>
  <c r="CD215" i="1"/>
  <c r="CB215" i="1"/>
  <c r="FL214" i="1"/>
  <c r="CD214" i="1"/>
  <c r="CB214" i="1"/>
  <c r="FL213" i="1"/>
  <c r="CD213" i="1"/>
  <c r="CB213" i="1"/>
  <c r="FL212" i="1"/>
  <c r="CD212" i="1"/>
  <c r="CB212" i="1"/>
  <c r="FL211" i="1"/>
  <c r="CD211" i="1"/>
  <c r="CB211" i="1"/>
  <c r="FL210" i="1"/>
  <c r="CD210" i="1"/>
  <c r="CB210" i="1"/>
  <c r="FL209" i="1"/>
  <c r="CD209" i="1"/>
  <c r="CB209" i="1"/>
  <c r="FL208" i="1"/>
  <c r="CD208" i="1"/>
  <c r="CB208" i="1"/>
  <c r="FL207" i="1"/>
  <c r="CD207" i="1"/>
  <c r="CB207" i="1"/>
  <c r="FL206" i="1"/>
  <c r="CD206" i="1"/>
  <c r="CB206" i="1"/>
  <c r="FL205" i="1"/>
  <c r="CD205" i="1"/>
  <c r="CB205" i="1"/>
  <c r="FL204" i="1"/>
  <c r="CD204" i="1"/>
  <c r="CB204" i="1"/>
  <c r="AF204" i="1"/>
  <c r="FL203" i="1"/>
  <c r="CD203" i="1"/>
  <c r="CB203" i="1"/>
  <c r="FL202" i="1"/>
  <c r="CD202" i="1"/>
  <c r="CB202" i="1"/>
  <c r="FL201" i="1"/>
  <c r="CD201" i="1"/>
  <c r="CB201" i="1"/>
  <c r="FL200" i="1"/>
  <c r="CD200" i="1"/>
  <c r="CB200" i="1"/>
  <c r="FL199" i="1"/>
  <c r="CD199" i="1"/>
  <c r="CB199" i="1"/>
  <c r="FL198" i="1"/>
  <c r="CD198" i="1"/>
  <c r="CB198" i="1"/>
  <c r="AF198" i="1"/>
  <c r="FL197" i="1"/>
  <c r="CD197" i="1"/>
  <c r="CB197" i="1"/>
  <c r="FL196" i="1"/>
  <c r="CD196" i="1"/>
  <c r="CB196" i="1"/>
  <c r="FL195" i="1"/>
  <c r="CD195" i="1"/>
  <c r="CB195" i="1"/>
  <c r="AF195" i="1"/>
  <c r="FL194" i="1"/>
  <c r="CD194" i="1"/>
  <c r="CB194" i="1"/>
  <c r="AF194" i="1"/>
  <c r="FL193" i="1"/>
  <c r="CD193" i="1"/>
  <c r="CB193" i="1"/>
  <c r="FL192" i="1"/>
  <c r="CD192" i="1"/>
  <c r="CB192" i="1"/>
  <c r="AF192" i="1"/>
  <c r="FL191" i="1"/>
  <c r="CD191" i="1"/>
  <c r="CB191" i="1"/>
  <c r="AF191" i="1"/>
  <c r="FL190" i="1"/>
  <c r="CD190" i="1"/>
  <c r="CB190" i="1"/>
  <c r="AF190" i="1"/>
  <c r="FL189" i="1"/>
  <c r="CD189" i="1"/>
  <c r="CB189" i="1"/>
  <c r="AF189" i="1"/>
  <c r="FL188" i="1"/>
  <c r="CD188" i="1"/>
  <c r="CB188" i="1"/>
  <c r="AF188" i="1"/>
  <c r="FL187" i="1"/>
  <c r="CD187" i="1"/>
  <c r="CB187" i="1"/>
  <c r="AF187" i="1"/>
  <c r="FL186" i="1"/>
  <c r="CD186" i="1"/>
  <c r="CB186" i="1"/>
  <c r="AF186" i="1"/>
  <c r="FL185" i="1"/>
  <c r="CD185" i="1"/>
  <c r="CB185" i="1"/>
  <c r="AF185" i="1"/>
  <c r="FL184" i="1"/>
  <c r="CD184" i="1"/>
  <c r="CB184" i="1"/>
  <c r="AF184" i="1"/>
  <c r="FL183" i="1"/>
  <c r="CD183" i="1"/>
  <c r="CB183" i="1"/>
  <c r="AF183" i="1"/>
  <c r="FL182" i="1"/>
  <c r="CD182" i="1"/>
  <c r="CB182" i="1"/>
  <c r="FL181" i="1"/>
  <c r="CD181" i="1"/>
  <c r="CB181" i="1"/>
  <c r="AF181" i="1"/>
  <c r="FL180" i="1"/>
  <c r="CD180" i="1"/>
  <c r="CB180" i="1"/>
  <c r="AF180" i="1"/>
  <c r="FL179" i="1"/>
  <c r="CD179" i="1"/>
  <c r="CB179" i="1"/>
  <c r="AF179" i="1"/>
  <c r="FL178" i="1"/>
  <c r="CD178" i="1"/>
  <c r="CB178" i="1"/>
  <c r="AF178" i="1"/>
  <c r="FL177" i="1"/>
  <c r="CD177" i="1"/>
  <c r="CB177" i="1"/>
  <c r="AF177" i="1"/>
  <c r="FL176" i="1"/>
  <c r="CD176" i="1"/>
  <c r="CB176" i="1"/>
  <c r="AF176" i="1"/>
  <c r="FL175" i="1"/>
  <c r="CD175" i="1"/>
  <c r="CB175" i="1"/>
  <c r="AF175" i="1"/>
  <c r="FL174" i="1"/>
  <c r="CD174" i="1"/>
  <c r="CB174" i="1"/>
  <c r="AF174" i="1"/>
  <c r="FL173" i="1"/>
  <c r="CD173" i="1"/>
  <c r="CB173" i="1"/>
  <c r="AF173" i="1"/>
  <c r="FL172" i="1"/>
  <c r="CD172" i="1"/>
  <c r="CB172" i="1"/>
  <c r="AF172" i="1"/>
  <c r="FL171" i="1"/>
  <c r="CD171" i="1"/>
  <c r="CB171" i="1"/>
  <c r="AF171" i="1"/>
  <c r="FL170" i="1"/>
  <c r="CD170" i="1"/>
  <c r="CB170" i="1"/>
  <c r="AF170" i="1"/>
  <c r="FL169" i="1"/>
  <c r="CD169" i="1"/>
  <c r="CB169" i="1"/>
  <c r="AF169" i="1"/>
  <c r="FL168" i="1"/>
  <c r="CD168" i="1"/>
  <c r="CB168" i="1"/>
  <c r="FL167" i="1"/>
  <c r="CD167" i="1"/>
  <c r="CB167" i="1"/>
  <c r="AF167" i="1"/>
  <c r="FL166" i="1"/>
  <c r="CD166" i="1"/>
  <c r="CB166" i="1"/>
  <c r="FL165" i="1"/>
  <c r="CD165" i="1"/>
  <c r="CB165" i="1"/>
  <c r="FL164" i="1"/>
  <c r="CD164" i="1"/>
  <c r="CB164" i="1"/>
  <c r="FL163" i="1"/>
  <c r="CD163" i="1"/>
  <c r="CB163" i="1"/>
  <c r="FL162" i="1"/>
  <c r="CD162" i="1"/>
  <c r="CB162" i="1"/>
  <c r="FL161" i="1"/>
  <c r="CD161" i="1"/>
  <c r="CB161" i="1"/>
  <c r="FL160" i="1"/>
  <c r="CD160" i="1"/>
  <c r="CB160" i="1"/>
  <c r="FL159" i="1"/>
  <c r="CD159" i="1"/>
  <c r="CB159" i="1"/>
  <c r="FL158" i="1"/>
  <c r="CD158" i="1"/>
  <c r="CB158" i="1"/>
  <c r="FL157" i="1"/>
  <c r="CD157" i="1"/>
  <c r="CB157" i="1"/>
  <c r="FL156" i="1"/>
  <c r="CD156" i="1"/>
  <c r="CB156" i="1"/>
  <c r="FL155" i="1"/>
  <c r="CD155" i="1"/>
  <c r="CB155" i="1"/>
  <c r="FL154" i="1"/>
  <c r="CD154" i="1"/>
  <c r="CB154" i="1"/>
  <c r="FL153" i="1"/>
  <c r="CD153" i="1"/>
  <c r="CB153" i="1"/>
  <c r="FL152" i="1"/>
  <c r="CD152" i="1"/>
  <c r="CB152" i="1"/>
  <c r="FL151" i="1"/>
  <c r="CD151" i="1"/>
  <c r="CB151" i="1"/>
  <c r="FL150" i="1"/>
  <c r="CD150" i="1"/>
  <c r="CB150" i="1"/>
  <c r="FL149" i="1"/>
  <c r="CB149" i="1"/>
  <c r="FL148" i="1"/>
  <c r="CB148" i="1"/>
  <c r="FL147" i="1"/>
  <c r="CB147" i="1"/>
  <c r="FL146" i="1"/>
  <c r="CB146" i="1"/>
  <c r="FL145" i="1"/>
  <c r="CB145" i="1"/>
  <c r="FL144" i="1"/>
  <c r="CB144" i="1"/>
  <c r="FL143" i="1"/>
  <c r="CB143" i="1"/>
  <c r="FL142" i="1"/>
  <c r="CB142" i="1"/>
  <c r="FL141" i="1"/>
  <c r="CB141" i="1"/>
  <c r="FL140" i="1"/>
  <c r="CB140" i="1"/>
  <c r="FL139" i="1"/>
  <c r="CB139" i="1"/>
  <c r="FL138" i="1"/>
  <c r="CB138" i="1"/>
  <c r="FL137" i="1"/>
  <c r="CB137" i="1"/>
  <c r="FL136" i="1"/>
  <c r="CB136" i="1"/>
  <c r="FL135" i="1"/>
  <c r="CB135" i="1"/>
  <c r="FL134" i="1"/>
  <c r="CB134" i="1"/>
  <c r="FL133" i="1"/>
  <c r="CB133" i="1"/>
  <c r="FL132" i="1"/>
  <c r="CB132" i="1"/>
  <c r="FL131" i="1"/>
  <c r="CB131" i="1"/>
  <c r="FL130" i="1"/>
  <c r="CB130" i="1"/>
  <c r="FL129" i="1"/>
  <c r="CB129" i="1"/>
  <c r="FL128" i="1"/>
  <c r="CB128" i="1"/>
  <c r="FL127" i="1"/>
  <c r="CB127" i="1"/>
  <c r="FL126" i="1"/>
  <c r="CB126" i="1"/>
  <c r="FL125" i="1"/>
  <c r="CB125" i="1"/>
  <c r="FL124" i="1"/>
  <c r="CB124" i="1"/>
  <c r="FL123" i="1"/>
  <c r="CB123" i="1"/>
  <c r="FL122" i="1"/>
  <c r="CB122" i="1"/>
  <c r="FL121" i="1"/>
  <c r="CB121" i="1"/>
  <c r="FL120" i="1"/>
  <c r="CB120" i="1"/>
  <c r="FL119" i="1"/>
  <c r="CB119" i="1"/>
  <c r="FL118" i="1"/>
  <c r="CB118" i="1"/>
  <c r="FL117" i="1"/>
  <c r="CB117" i="1"/>
  <c r="FL116" i="1"/>
  <c r="CB116" i="1"/>
  <c r="FL115" i="1"/>
  <c r="CB115" i="1"/>
  <c r="FL114" i="1"/>
  <c r="CB114" i="1"/>
  <c r="FL113" i="1"/>
  <c r="CB113" i="1"/>
  <c r="FL112" i="1"/>
  <c r="CB112" i="1"/>
  <c r="FL111" i="1"/>
  <c r="CB111" i="1"/>
  <c r="FL110" i="1"/>
  <c r="CB110" i="1"/>
  <c r="FL109" i="1"/>
  <c r="CB109" i="1"/>
  <c r="FL108" i="1"/>
  <c r="CB108" i="1"/>
  <c r="FL107" i="1"/>
  <c r="CB107" i="1"/>
  <c r="FL106" i="1"/>
  <c r="CB106" i="1"/>
  <c r="FL105" i="1"/>
  <c r="CB105" i="1"/>
  <c r="FL104" i="1"/>
  <c r="CB104" i="1"/>
  <c r="FL103" i="1"/>
  <c r="CB103" i="1"/>
  <c r="FL102" i="1"/>
  <c r="CB102" i="1"/>
  <c r="FL101" i="1"/>
  <c r="CB101" i="1"/>
  <c r="FL100" i="1"/>
  <c r="CB100" i="1"/>
  <c r="FL99" i="1"/>
  <c r="CB99" i="1"/>
  <c r="FL98" i="1"/>
  <c r="CB98" i="1"/>
  <c r="FL97" i="1"/>
  <c r="CB97" i="1"/>
  <c r="FL96" i="1"/>
  <c r="CB96" i="1"/>
  <c r="FL95" i="1"/>
  <c r="CB95" i="1"/>
  <c r="FL94" i="1"/>
  <c r="CB94" i="1"/>
  <c r="FL93" i="1"/>
  <c r="CB93" i="1"/>
  <c r="FL92" i="1"/>
  <c r="CB92" i="1"/>
  <c r="FL91" i="1"/>
  <c r="CB91" i="1"/>
  <c r="FL90" i="1"/>
  <c r="CB90" i="1"/>
  <c r="FL89" i="1"/>
  <c r="CB89" i="1"/>
  <c r="FL88" i="1"/>
  <c r="CB88" i="1"/>
  <c r="FL87" i="1"/>
  <c r="CB87" i="1"/>
  <c r="FL86" i="1"/>
  <c r="CB86" i="1"/>
  <c r="FL85" i="1"/>
  <c r="CB85" i="1"/>
  <c r="FL84" i="1"/>
  <c r="CB84" i="1"/>
  <c r="FL83" i="1"/>
  <c r="CB83" i="1"/>
  <c r="FL82" i="1"/>
  <c r="CB82" i="1"/>
  <c r="FL81" i="1"/>
  <c r="CB81" i="1"/>
  <c r="FL80" i="1"/>
  <c r="CB80" i="1"/>
  <c r="FL79" i="1"/>
  <c r="CB79" i="1"/>
  <c r="FL78" i="1"/>
  <c r="CB78" i="1"/>
  <c r="FL77" i="1"/>
  <c r="CB77" i="1"/>
  <c r="FL76" i="1"/>
  <c r="FL75" i="1"/>
  <c r="FL74" i="1"/>
  <c r="FL73" i="1"/>
  <c r="FL72" i="1"/>
  <c r="FL71" i="1"/>
  <c r="FL70" i="1"/>
  <c r="FL69" i="1"/>
  <c r="FL68" i="1"/>
  <c r="FL67" i="1"/>
  <c r="FL66" i="1"/>
  <c r="FL65" i="1"/>
  <c r="FL64" i="1"/>
  <c r="FL63" i="1"/>
  <c r="FL62" i="1"/>
  <c r="FL61" i="1"/>
  <c r="FL60" i="1"/>
  <c r="FL59" i="1"/>
  <c r="FL58" i="1"/>
  <c r="FL57" i="1"/>
  <c r="FL56" i="1"/>
  <c r="FL55" i="1"/>
  <c r="FL54" i="1"/>
  <c r="FL53" i="1"/>
  <c r="FL52" i="1"/>
  <c r="FL51" i="1"/>
  <c r="FL50" i="1"/>
  <c r="FL49" i="1"/>
  <c r="FL48" i="1"/>
  <c r="FL47" i="1"/>
  <c r="FL46" i="1"/>
  <c r="FL45" i="1"/>
  <c r="FL44" i="1"/>
  <c r="FL43" i="1"/>
  <c r="FL42" i="1"/>
  <c r="FL41" i="1"/>
  <c r="FL40" i="1"/>
  <c r="FL39" i="1"/>
  <c r="FL38" i="1"/>
  <c r="FL37" i="1"/>
  <c r="FL36" i="1"/>
  <c r="FL35" i="1"/>
  <c r="FL34" i="1"/>
  <c r="FL33" i="1"/>
  <c r="FL32" i="1"/>
  <c r="FL31" i="1"/>
  <c r="FL30" i="1"/>
  <c r="FL29" i="1"/>
  <c r="FL28" i="1"/>
  <c r="FL27" i="1"/>
  <c r="FL26" i="1"/>
  <c r="FL25" i="1"/>
  <c r="FL24" i="1"/>
  <c r="FL23" i="1"/>
  <c r="FL22" i="1"/>
  <c r="FL21" i="1"/>
  <c r="FL20" i="1"/>
  <c r="FL19" i="1"/>
  <c r="FL18" i="1"/>
  <c r="FL17" i="1"/>
  <c r="FL16" i="1"/>
  <c r="FL15" i="1"/>
  <c r="FL14" i="1"/>
  <c r="FL13" i="1"/>
  <c r="FL12" i="1"/>
  <c r="FL11" i="1"/>
  <c r="FL10" i="1"/>
  <c r="FL9" i="1"/>
  <c r="FL8" i="1"/>
  <c r="FL7" i="1"/>
  <c r="FL6" i="1"/>
  <c r="FL5" i="1"/>
  <c r="FL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henehan</author>
    <author>tc={89DD5497-B642-D547-B52C-783561403D58}</author>
    <author>tc={D6558125-C3AE-D340-97D3-0DBCDB574361}</author>
    <author>tc={54593DA7-9019-334A-8411-968B887CD1C5}</author>
    <author>tc={D9500F76-BDC2-A149-94F5-2552FDB76618}</author>
    <author>Bärbel Hönisch</author>
  </authors>
  <commentList>
    <comment ref="AD8" authorId="0" shapeId="0" xr:uid="{ACDBA08E-2770-124F-97DC-B51840A3159D}">
      <text>
        <r>
          <rPr>
            <b/>
            <sz val="10"/>
            <color rgb="FF000000"/>
            <rFont val="Tahoma"/>
            <family val="2"/>
          </rPr>
          <t>michael henehan:</t>
        </r>
        <r>
          <rPr>
            <sz val="10"/>
            <color rgb="FF000000"/>
            <rFont val="Tahoma"/>
            <family val="2"/>
          </rPr>
          <t xml:space="preserve">
</t>
        </r>
        <r>
          <rPr>
            <sz val="10"/>
            <color rgb="FF000000"/>
            <rFont val="Tahoma"/>
            <family val="2"/>
          </rPr>
          <t>Note- the IODP LIMS system says this should be section 3, not 4, as was here before- not sure if the mistake is in the paper, or just a transcription error.</t>
        </r>
      </text>
    </comment>
    <comment ref="AG20" authorId="0" shapeId="0" xr:uid="{30060F87-098F-7745-B2F7-957826991541}">
      <text>
        <r>
          <rPr>
            <b/>
            <sz val="10"/>
            <color rgb="FF000000"/>
            <rFont val="Tahoma"/>
            <family val="2"/>
          </rPr>
          <t>michael henehan:</t>
        </r>
        <r>
          <rPr>
            <sz val="10"/>
            <color rgb="FF000000"/>
            <rFont val="Tahoma"/>
            <family val="2"/>
          </rPr>
          <t xml:space="preserve">
</t>
        </r>
        <r>
          <rPr>
            <sz val="10"/>
            <color rgb="FF000000"/>
            <rFont val="Tahoma"/>
            <family val="2"/>
          </rPr>
          <t xml:space="preserve">LIMS system on the IODP system says this is 156.34, and 24-24cm.. But this said 156.3775.. maybe the sample data is wrong in LIMS, because all of the samples on this sample request are technically 0cm thick.. which seems ridiculous. There are no other samples taken along the core near this that could combine to give this average depth, therefore I can only assume it's a LIMS data error. 
</t>
        </r>
      </text>
    </comment>
    <comment ref="AG21" authorId="0" shapeId="0" xr:uid="{8E713E99-661B-2E42-BF19-4AE121E662F3}">
      <text>
        <r>
          <rPr>
            <b/>
            <sz val="10"/>
            <color rgb="FF000000"/>
            <rFont val="Tahoma"/>
            <family val="2"/>
          </rPr>
          <t>michael henehan:</t>
        </r>
        <r>
          <rPr>
            <sz val="10"/>
            <color rgb="FF000000"/>
            <rFont val="Tahoma"/>
            <family val="2"/>
          </rPr>
          <t xml:space="preserve">
</t>
        </r>
        <r>
          <rPr>
            <sz val="10"/>
            <color rgb="FF000000"/>
            <rFont val="Tahoma"/>
            <family val="2"/>
          </rPr>
          <t xml:space="preserve">See the comment on that other sample above.. similar issue. Lims says this should be 160.48 and from 28-28 cm.. 
</t>
        </r>
      </text>
    </comment>
    <comment ref="BQ46" authorId="1" shapeId="0" xr:uid="{A75A3291-CCA7-3548-8E0C-8E50714B2CD5}">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All turborotalias corrected for site specific offset to mixed layer (red color)</t>
        </r>
      </text>
    </comment>
    <comment ref="BS46" authorId="2" shapeId="0" xr:uid="{B8748AFB-EB5D-824E-B9A8-43095356BC71}">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uncertainty contains uncertainty in correction to mixed layer species (for all turborotalias, red color)</t>
        </r>
      </text>
    </comment>
    <comment ref="AD81" authorId="0" shapeId="0" xr:uid="{73D57F05-EAC9-0E45-A640-41A9B2D3F7EA}">
      <text>
        <r>
          <rPr>
            <b/>
            <sz val="10"/>
            <color rgb="FF000000"/>
            <rFont val="Tahoma"/>
            <family val="2"/>
          </rPr>
          <t>michael henehan:</t>
        </r>
        <r>
          <rPr>
            <sz val="10"/>
            <color rgb="FF000000"/>
            <rFont val="Tahoma"/>
            <family val="2"/>
          </rPr>
          <t xml:space="preserve">
</t>
        </r>
        <r>
          <rPr>
            <sz val="10"/>
            <color rgb="FF000000"/>
            <rFont val="Tahoma"/>
            <family val="2"/>
          </rPr>
          <t>Note- the IODP LIMS system says this should be section 3, not 4, as was here before- not sure if the mistake is in the paper, or just a transcription error.</t>
        </r>
      </text>
    </comment>
    <comment ref="AG93" authorId="0" shapeId="0" xr:uid="{7BD71B2B-DB11-C447-B0D6-45E178556662}">
      <text>
        <r>
          <rPr>
            <b/>
            <sz val="10"/>
            <color rgb="FF000000"/>
            <rFont val="Tahoma"/>
            <family val="2"/>
          </rPr>
          <t>michael henehan:</t>
        </r>
        <r>
          <rPr>
            <sz val="10"/>
            <color rgb="FF000000"/>
            <rFont val="Tahoma"/>
            <family val="2"/>
          </rPr>
          <t xml:space="preserve">
</t>
        </r>
        <r>
          <rPr>
            <sz val="10"/>
            <color rgb="FF000000"/>
            <rFont val="Tahoma"/>
            <family val="2"/>
          </rPr>
          <t xml:space="preserve">LIMS system on the IODP system says this is 156.34, and 24-24cm.. But this said 156.3775.. maybe the sample data is wrong in LIMS, because all of the samples on this sample request are technically 0cm thick.. which seems ridiculous. There are no other samples taken along the core near this that could combine to give this average depth, therefore I can only assume it's a LIMS data error. 
</t>
        </r>
      </text>
    </comment>
    <comment ref="AG94" authorId="0" shapeId="0" xr:uid="{06BAB77C-21EF-6943-8B0A-51F7CF447280}">
      <text>
        <r>
          <rPr>
            <b/>
            <sz val="10"/>
            <color rgb="FF000000"/>
            <rFont val="Tahoma"/>
            <family val="2"/>
          </rPr>
          <t>michael henehan:</t>
        </r>
        <r>
          <rPr>
            <sz val="10"/>
            <color rgb="FF000000"/>
            <rFont val="Tahoma"/>
            <family val="2"/>
          </rPr>
          <t xml:space="preserve">
</t>
        </r>
        <r>
          <rPr>
            <sz val="10"/>
            <color rgb="FF000000"/>
            <rFont val="Tahoma"/>
            <family val="2"/>
          </rPr>
          <t xml:space="preserve">See the comment on that other sample above.. similar issue. Lims says this should be 160.48 and from 28-28 cm.. 
</t>
        </r>
      </text>
    </comment>
    <comment ref="BQ119" authorId="3" shapeId="0" xr:uid="{3F45FABD-BB98-C34A-9831-536F4FD89AD9}">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All turborotalias corrected for site specific offset to mixed layer (red color)</t>
        </r>
      </text>
    </comment>
    <comment ref="BS119" authorId="4" shapeId="0" xr:uid="{12956CFF-2EC6-334D-AD80-A77FAC2674D6}">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uncertainty contains uncertainty in correction to mixed layer species (for all turborotalias, red color)</t>
        </r>
      </text>
    </comment>
    <comment ref="CG150" authorId="5" shapeId="0" xr:uid="{64543CC5-9F31-4847-8FB0-895AE33E5DD7}">
      <text>
        <r>
          <rPr>
            <b/>
            <sz val="10"/>
            <color rgb="FF000000"/>
            <rFont val="Tahoma"/>
            <family val="2"/>
          </rPr>
          <t>Bärbel Hönisch:</t>
        </r>
        <r>
          <rPr>
            <sz val="10"/>
            <color rgb="FF000000"/>
            <rFont val="Tahoma"/>
            <family val="2"/>
          </rPr>
          <t xml:space="preserve">
</t>
        </r>
        <r>
          <rPr>
            <sz val="10"/>
            <color rgb="FF000000"/>
            <rFont val="Tahoma"/>
            <family val="2"/>
          </rPr>
          <t>what does this mean? should the second part of this be in the previous column?</t>
        </r>
      </text>
    </comment>
  </commentList>
</comments>
</file>

<file path=xl/sharedStrings.xml><?xml version="1.0" encoding="utf-8"?>
<sst xmlns="http://schemas.openxmlformats.org/spreadsheetml/2006/main" count="34421" uniqueCount="584">
  <si>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</si>
  <si>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</si>
  <si>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</si>
  <si>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</si>
  <si>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</si>
  <si>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</si>
  <si>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</si>
  <si>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</si>
  <si>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</si>
  <si>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</si>
  <si>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</si>
  <si>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</si>
  <si>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</si>
  <si>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</si>
  <si>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</si>
  <si>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</si>
  <si>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</si>
  <si>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</si>
  <si>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</si>
  <si>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</si>
  <si>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</si>
  <si>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</si>
  <si>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</si>
  <si>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</si>
  <si>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</si>
  <si>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</si>
  <si>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</si>
  <si>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</si>
  <si>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</si>
  <si>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</si>
  <si>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</si>
  <si>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</si>
  <si>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</si>
  <si>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</si>
  <si>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</si>
  <si>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</si>
  <si>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</si>
  <si>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</si>
  <si>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</si>
  <si>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</si>
  <si>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</si>
  <si>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</si>
  <si>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</si>
  <si>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</si>
  <si>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</si>
  <si>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</si>
  <si>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</si>
  <si>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</si>
  <si>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</si>
  <si>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</si>
  <si>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</si>
  <si>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</si>
  <si>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</si>
  <si>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</si>
  <si>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</si>
  <si>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</si>
  <si>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</si>
  <si>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</si>
  <si>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</si>
  <si>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</si>
  <si>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</si>
  <si>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</si>
  <si>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</si>
  <si>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</si>
  <si>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</si>
  <si>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</si>
  <si>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</si>
  <si>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</si>
  <si>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</si>
  <si>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</si>
  <si>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</si>
  <si>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</si>
  <si>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</si>
  <si>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</si>
  <si>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</si>
  <si>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</si>
  <si>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</si>
  <si>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</si>
  <si>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</si>
  <si>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</si>
  <si>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</si>
  <si>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</si>
  <si>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</si>
  <si>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</si>
  <si>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</si>
  <si>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</si>
  <si>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</si>
  <si>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</si>
  <si>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</si>
  <si>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</si>
  <si>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</si>
  <si>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</si>
  <si>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</si>
  <si>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</si>
  <si>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</si>
  <si>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</si>
  <si>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</si>
  <si>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</si>
  <si>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</si>
  <si>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</si>
  <si>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</si>
  <si>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</si>
  <si>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</si>
  <si>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</si>
  <si>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</si>
  <si>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</si>
  <si>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</si>
  <si>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</si>
  <si>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</si>
  <si>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</si>
  <si>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</si>
  <si>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</si>
  <si>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</si>
  <si>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</si>
  <si>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</si>
  <si>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</si>
  <si>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</si>
  <si>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</si>
  <si>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</si>
  <si>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</si>
  <si>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</si>
  <si>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</si>
  <si>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</si>
  <si>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</si>
  <si>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</si>
  <si>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</si>
  <si>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</si>
  <si>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</si>
  <si>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</si>
  <si>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</si>
  <si>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</si>
  <si>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</si>
  <si>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</si>
  <si>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</si>
  <si>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</si>
  <si>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</si>
  <si>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</si>
  <si>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</si>
  <si>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</si>
  <si>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</si>
  <si>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</si>
  <si>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</si>
  <si>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</si>
  <si>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</si>
  <si>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</si>
  <si>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</si>
  <si>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</si>
  <si>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</si>
  <si>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</si>
  <si>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</si>
  <si>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</si>
  <si>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</si>
  <si>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</si>
  <si>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</si>
  <si>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</si>
  <si>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</si>
  <si>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</si>
  <si>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</si>
  <si>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</si>
  <si>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</si>
  <si>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</si>
  <si>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</si>
  <si>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t>Eleni Anagnostou</t>
  </si>
  <si>
    <t>eanagnostou@geomar.de</t>
  </si>
  <si>
    <t>boron isotopes</t>
  </si>
  <si>
    <t>Anagnostou</t>
  </si>
  <si>
    <t>NA</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</si>
  <si>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</si>
  <si>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</si>
  <si>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</si>
  <si>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</si>
  <si>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</si>
  <si>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notes about uncertainty estimate: e.g., included calibration slope and intercept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</si>
  <si>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</si>
  <si>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</si>
  <si>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</si>
  <si>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</si>
  <si>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</si>
  <si>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</si>
  <si>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</si>
  <si>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</si>
  <si>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</si>
  <si>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</si>
  <si>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</si>
  <si>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10.1038/s41467-020-17887-x</t>
  </si>
  <si>
    <t>all other estimates in this data set omit vital effect correction; difference between vital correction and no vital correction is small; selected the no-vital correction estimates for the sake of simplicity (this may be revised in future revisions)</t>
  </si>
  <si>
    <t xml:space="preserve">Anagnostou, E., John, E.H., Babila, T.L. et al. Proxy evidence for state-dependence of climate sensitivity in the Eocene greenhouse. Nat Commun 11, 4436 (2020). </t>
  </si>
  <si>
    <t>A</t>
  </si>
  <si>
    <t>Tropical Atlantic</t>
  </si>
  <si>
    <t>Palaeolat interpolated from palaeolatitude.org, Paleodepth from Sexton et al. 2006</t>
  </si>
  <si>
    <t>Westerhold 2017</t>
  </si>
  <si>
    <t>A. rohri</t>
  </si>
  <si>
    <t>250-300</t>
  </si>
  <si>
    <t>Barker et al. 2003, Rae et al. 2011</t>
  </si>
  <si>
    <t>column chemistry</t>
  </si>
  <si>
    <t>MC-ICP-MS (Neptune)</t>
  </si>
  <si>
    <t>2sd</t>
  </si>
  <si>
    <t>not applied</t>
  </si>
  <si>
    <t>Calibration was not applied</t>
  </si>
  <si>
    <t>includes only uncertainty in d11B</t>
  </si>
  <si>
    <t>5 m (mixed layer or corrected to ML)</t>
  </si>
  <si>
    <t>set value</t>
  </si>
  <si>
    <r>
      <t>Mg/Ca</t>
    </r>
    <r>
      <rPr>
        <sz val="8"/>
        <color theme="1"/>
        <rFont val="Times"/>
        <family val="1"/>
      </rPr>
      <t xml:space="preserve">foraminifera </t>
    </r>
    <r>
      <rPr>
        <sz val="12"/>
        <color theme="1"/>
        <rFont val="Times"/>
        <family val="1"/>
      </rPr>
      <t xml:space="preserve">= </t>
    </r>
    <r>
      <rPr>
        <i/>
        <sz val="12"/>
        <color theme="1"/>
        <rFont val="Times"/>
        <family val="1"/>
      </rPr>
      <t>B</t>
    </r>
    <r>
      <rPr>
        <sz val="12"/>
        <color theme="1"/>
        <rFont val="Times"/>
        <family val="1"/>
      </rPr>
      <t>exp</t>
    </r>
    <r>
      <rPr>
        <i/>
        <sz val="8"/>
        <color theme="1"/>
        <rFont val="Times"/>
        <family val="1"/>
      </rPr>
      <t xml:space="preserve">AT, </t>
    </r>
    <r>
      <rPr>
        <sz val="12"/>
        <color theme="1"/>
        <rFont val="Times"/>
        <family val="1"/>
      </rPr>
      <t>A=−0.0029×Mg/Ca2sw+0.032×Mg/Casw, B=0.019×Mg/Ca2sw−0.16×Mg/Casw+0.804</t>
    </r>
  </si>
  <si>
    <t>Evans 2016</t>
  </si>
  <si>
    <t>Refs in Anagnostou 2016</t>
  </si>
  <si>
    <t>yes</t>
  </si>
  <si>
    <t>arbitrary</t>
  </si>
  <si>
    <t>Average: Coggon2010, Horita2002, Dickson2002, Lowenstein2001, Lear2000</t>
  </si>
  <si>
    <t>normal distrib</t>
  </si>
  <si>
    <t>Horita 2002</t>
  </si>
  <si>
    <t>Lee et al. (2010)</t>
  </si>
  <si>
    <t>38.2-38.7</t>
  </si>
  <si>
    <t>flat probability</t>
  </si>
  <si>
    <t>Anagnostou 2016</t>
  </si>
  <si>
    <t>Hain 2015; 2018,  https://github.com/MathisHain/MyAMI</t>
  </si>
  <si>
    <t>Not applied</t>
  </si>
  <si>
    <t>Klochko et al. (2006)</t>
  </si>
  <si>
    <t>offline, Matlab</t>
  </si>
  <si>
    <t>Omega calcite, depends on latitude</t>
  </si>
  <si>
    <t>GENIE</t>
  </si>
  <si>
    <t>range</t>
  </si>
  <si>
    <t>total scale</t>
  </si>
  <si>
    <t>monte carlo</t>
  </si>
  <si>
    <t>d11Bsw, T, S, Omega, Mg/Ca, d11B</t>
  </si>
  <si>
    <t>data collected for this study; no vital effect correction applied to d11B</t>
  </si>
  <si>
    <t>Westerhold, T; Röhl, U (2013): Orbital pacing of Eocene climate during the Middle Eocene Climate Optimum and the chron C19r event: Missing link found in the tropical western Atlantic. Geochemistry, Geophysics, Geosystems, 14(11), 4811-4825, https://doi.org/10.1002/ggge.20293</t>
  </si>
  <si>
    <t>Barker et al. 2003, Rae et al. 2012</t>
  </si>
  <si>
    <t>Barker et al. 2003, Rae et al. 2013</t>
  </si>
  <si>
    <t>Barker et al. 2003, Rae et al. 2014</t>
  </si>
  <si>
    <t>A. praetopilensis</t>
  </si>
  <si>
    <t>Barker et al. 2003, Rae et al. 2015</t>
  </si>
  <si>
    <t>Barker et al. 2003, Rae et al. 2016</t>
  </si>
  <si>
    <t>Barker et al. 2003, Rae et al. 2017</t>
  </si>
  <si>
    <t>B</t>
  </si>
  <si>
    <t>Westerhold, Thomas; Marwan, Norbert; Drury, Anna Joy; Liebrand, Diederik; Agnini, Claudia; Anagnostou, Eleni; Barnet, James S K; Bohaty, Steven M; De Vleeschouwer, David; Florindo, Fabio; Frederichs, Thomas; Hodell, David A; Holbourn, Ann; Kroon, Dick; Lauretano, Vittoria; Littler, Kate; Lourens, Lucas Joost; Lyle, Mitchell W; Pälike, Heiko; Röhl, Ursula; Tian, Jun; Wilkens, Roy H; Wilson, Paul A; Zachos, James C (2020): An astronomically dated record of Earth's climate and its predictability over the last 66 million years. Science, 369, 1383-1387, https://doi.org/10.1126/science.aba6853</t>
  </si>
  <si>
    <t>M. aragonensis</t>
  </si>
  <si>
    <t>250-355</t>
  </si>
  <si>
    <t>Barker et al. 2003, Rae et al. 2018</t>
  </si>
  <si>
    <t>A. soldadoensis</t>
  </si>
  <si>
    <t>Barker et al. 2003, Rae et al. 2019</t>
  </si>
  <si>
    <t>estimated from neighboring sample</t>
  </si>
  <si>
    <t>Barker et al. 2003, Rae et al. 2020</t>
  </si>
  <si>
    <t>A. soldadoensis/angulosa</t>
  </si>
  <si>
    <t>Barker et al. 2003, Rae et al. 2021</t>
  </si>
  <si>
    <t>Barker et al. 2003, Rae et al. 2022</t>
  </si>
  <si>
    <t>Barker et al. 2003, Rae et al. 2023</t>
  </si>
  <si>
    <t>Barker et al. 2003, Rae et al. 2024</t>
  </si>
  <si>
    <t>Barker et al. 2003, Rae et al. 2025</t>
  </si>
  <si>
    <t>M. subbotinae</t>
  </si>
  <si>
    <t>Barker et al. 2003, Rae et al. 2026</t>
  </si>
  <si>
    <t>C</t>
  </si>
  <si>
    <t>Barker et al. 2003, Rae et al. 2027</t>
  </si>
  <si>
    <t>Barker et al. 2003, Rae et al. 2028</t>
  </si>
  <si>
    <t>Tropical Pacific</t>
  </si>
  <si>
    <t>Palaeolat interpolated from palaeolatitude.org, paleodepth from Bralower et al. 1995</t>
  </si>
  <si>
    <t>GTS2012</t>
  </si>
  <si>
    <t>biostrat</t>
  </si>
  <si>
    <t>T. ampliapertura</t>
  </si>
  <si>
    <t>Barker et al. 2003, Rae et al. 2029</t>
  </si>
  <si>
    <t>includes uncertainty in d11B and uncertainty in correction to mixed layer species (for all turborotalias)</t>
  </si>
  <si>
    <t>propagation of uncertainty of two additive values (e.g. sqrt(d11Bunc)^2+(d11Boffset uncer)^2)/sqrt(2))</t>
  </si>
  <si>
    <t>data collected for this study; no vital effect correction applied to d11B; Turborotalia δ11B  are corrected to mixed layer δ11B, following the approach described in the methods (+1.02‰ ± 0.04‰ )</t>
  </si>
  <si>
    <t>Barker et al. 2003, Rae et al. 2030</t>
  </si>
  <si>
    <t>300-355</t>
  </si>
  <si>
    <t>Barker et al. 2003, Rae et al. 2031</t>
  </si>
  <si>
    <t>Barker et al. 2003, Rae et al. 2032</t>
  </si>
  <si>
    <t>Barker et al. 2003, Rae et al. 2033</t>
  </si>
  <si>
    <t>A. topilensis</t>
  </si>
  <si>
    <t>Barker et al. 2003, Rae et al. 2034</t>
  </si>
  <si>
    <t>Barker et al. 2003, Rae et al. 2035</t>
  </si>
  <si>
    <t>Barker et al. 2003, Rae et al. 2036</t>
  </si>
  <si>
    <t>A.rohri</t>
  </si>
  <si>
    <t>Barker et al. 2003, Rae et al. 2037</t>
  </si>
  <si>
    <t>T.cerroazulensis</t>
  </si>
  <si>
    <t>Barker et al. 2003, Rae et al. 2038</t>
  </si>
  <si>
    <t>Barker et al. 2003, Rae et al. 2039</t>
  </si>
  <si>
    <t>Barker et al. 2003, Rae et al. 2040</t>
  </si>
  <si>
    <t>Barker et al. 2003, Rae et al. 2041</t>
  </si>
  <si>
    <t>Barker et al. 2003, Rae et al. 2042</t>
  </si>
  <si>
    <t>Barker et al. 2003, Rae et al. 2043</t>
  </si>
  <si>
    <t>Barker et al. 2003, Rae et al. 2044</t>
  </si>
  <si>
    <t>A.praetopilensis</t>
  </si>
  <si>
    <t>Barker et al. 2003, Rae et al. 2045</t>
  </si>
  <si>
    <t>Barker et al. 2003, Rae et al. 2046</t>
  </si>
  <si>
    <t>Barker et al. 2003, Rae et al. 2047</t>
  </si>
  <si>
    <t>Barker et al. 2003, Rae et al. 2048</t>
  </si>
  <si>
    <t>Barker et al. 2003, Rae et al. 2049</t>
  </si>
  <si>
    <t>Barker et al. 2003, Rae et al. 2050</t>
  </si>
  <si>
    <t>A. mcgowrani</t>
  </si>
  <si>
    <t>Barker et al. 2003, Rae et al. 2051</t>
  </si>
  <si>
    <t>Barker et al. 2003, Rae et al. 2052</t>
  </si>
  <si>
    <t>T. frontosa</t>
  </si>
  <si>
    <t>Barker et al. 2003, Rae et al. 2053</t>
  </si>
  <si>
    <t>Barker et al. 2003, Rae et al. 2054</t>
  </si>
  <si>
    <t>Barker et al. 2003, Rae et al. 2055</t>
  </si>
  <si>
    <t>Barker et al. 2003, Rae et al. 2056</t>
  </si>
  <si>
    <t>A. pseudotopilensis</t>
  </si>
  <si>
    <t>Barker et al. 2003, Rae et al. 2057</t>
  </si>
  <si>
    <t>Barker et al. 2003, Rae et al. 2058</t>
  </si>
  <si>
    <t>Barker et al. 2003, Rae et al. 2059</t>
  </si>
  <si>
    <t>A. pentacamerata</t>
  </si>
  <si>
    <t>Barker et al. 2003, Rae et al. 2060</t>
  </si>
  <si>
    <t>G. nuttalli/Gk. Transition</t>
  </si>
  <si>
    <t>Barker et al. 2003, Rae et al. 2061</t>
  </si>
  <si>
    <t>A. quetra</t>
  </si>
  <si>
    <t>Barker et al. 2003, Rae et al. 2062</t>
  </si>
  <si>
    <t xml:space="preserve">A. quetra </t>
  </si>
  <si>
    <t>Barker et al. 2003, Rae et al. 2063</t>
  </si>
  <si>
    <t xml:space="preserve">A </t>
  </si>
  <si>
    <t>CC</t>
  </si>
  <si>
    <t xml:space="preserve"> North Atlantic </t>
  </si>
  <si>
    <t xml:space="preserve">Palaeolat interpolated from palaeolatitude.org, Paleodepth from Tucholke and Vogt, 1979 </t>
  </si>
  <si>
    <t>Barker et al. 2003, Rae et al. 2064</t>
  </si>
  <si>
    <t>Palaeolat interpolated from palaeolatitude.org, Paleodepth from Tucholke and Vogt, 1980</t>
  </si>
  <si>
    <t>M. crater</t>
  </si>
  <si>
    <t>355-400</t>
  </si>
  <si>
    <t>Barker et al. 2003, Rae et al. 2065</t>
  </si>
  <si>
    <t>Palaeolat interpolated from palaeolatitude.org, Paleodepth from Tucholke and Vogt, 1981</t>
  </si>
  <si>
    <t>P. broedermanni</t>
  </si>
  <si>
    <t>Barker et al. 2003, Rae et al. 2066</t>
  </si>
  <si>
    <t>Palaeolat interpolated from palaeolatitude.org, Paleodepth from Tucholke and Vogt, 1982</t>
  </si>
  <si>
    <t>A. cuneicamerata</t>
  </si>
  <si>
    <t>Barker et al. 2003, Rae et al. 2067</t>
  </si>
  <si>
    <t>Palaeolat interpolated from palaeolatitude.org, Paleodepth from Tucholke and Vogt, 1983</t>
  </si>
  <si>
    <t>Barker et al. 2003, Rae et al. 2068</t>
  </si>
  <si>
    <t>Palaeolat interpolated from palaeolatitude.org, Paleodepth from Tucholke and Vogt, 1984</t>
  </si>
  <si>
    <t>Barker et al. 2003, Rae et al. 2069</t>
  </si>
  <si>
    <t>Palaeolat interpolated from palaeolatitude.org, Paleodepth from Tucholke and Vogt, 1985</t>
  </si>
  <si>
    <t>212-250</t>
  </si>
  <si>
    <t>Barker et al. 2003, Rae et al. 2070</t>
  </si>
  <si>
    <t>Palaeolat interpolated from palaeolatitude.org, Paleodepth from Tucholke and Vogt, 1986</t>
  </si>
  <si>
    <t>Barker et al. 2003, Rae et al. 2071</t>
  </si>
  <si>
    <t>Palaeolat interpolated from palaeolatitude.org, Paleodepth from Tucholke and Vogt, 1987</t>
  </si>
  <si>
    <t>Barker et al. 2003, Rae et al. 2072</t>
  </si>
  <si>
    <t>Palaeolat interpolated from palaeolatitude.org, Paleodepth from Tucholke and Vogt, 1988</t>
  </si>
  <si>
    <t>Barker et al. 2003, Rae et al. 2073</t>
  </si>
  <si>
    <t>Palaeolat interpolated from palaeolatitude.org, Paleodepth from Tucholke and Vogt, 1989</t>
  </si>
  <si>
    <t>A. pseudosubsphaerica</t>
  </si>
  <si>
    <t>Barker et al. 2003, Rae et al. 2074</t>
  </si>
  <si>
    <t>Palaeolat interpolated from palaeolatitude.org, Paleodepth from Tucholke and Vogt, 1990</t>
  </si>
  <si>
    <t>Barker et al. 2003, Rae et al. 2075</t>
  </si>
  <si>
    <t>Palaeolat interpolated from palaeolatitude.org, Paleodepth from Tucholke and Vogt, 1991</t>
  </si>
  <si>
    <t>212-300</t>
  </si>
  <si>
    <t>Barker et al. 2003, Rae et al. 2076</t>
  </si>
  <si>
    <t>Palaeolat interpolated from palaeolatitude.org, Paleodepth from Tucholke and Vogt, 1992</t>
  </si>
  <si>
    <t>Barker et al. 2003, Rae et al. 2077</t>
  </si>
  <si>
    <t>Palaeolat interpolated from palaeolatitude.org, Paleodepth from Tucholke and Vogt, 1993</t>
  </si>
  <si>
    <t>Barker et al. 2003, Rae et al. 2078</t>
  </si>
  <si>
    <t>Palaeolat interpolated from palaeolatitude.org, Paleodepth from Tucholke and Vogt, 1994</t>
  </si>
  <si>
    <t>Barker et al. 2003, Rae et al. 2079</t>
  </si>
  <si>
    <t>Palaeolat interpolated from palaeolatitude.org, Paleodepth from Tucholke and Vogt, 1995</t>
  </si>
  <si>
    <t>Barker et al. 2003, Rae et al. 2080</t>
  </si>
  <si>
    <t xml:space="preserve">B </t>
  </si>
  <si>
    <t>Palaeolat interpolated from palaeolatitude.org, Paleodepth from Tucholke and Vogt, 1996</t>
  </si>
  <si>
    <t>Barker et al. 2003, Rae et al. 2081</t>
  </si>
  <si>
    <t>Palaeolat interpolated from palaeolatitude.org, Paleodepth from Tucholke and Vogt, 1997</t>
  </si>
  <si>
    <t>Barker et al. 2003, Rae et al. 2082</t>
  </si>
  <si>
    <t>Palaeolat interpolated from palaeolatitude.org, Paleodepth from Tucholke and Vogt, 1998</t>
  </si>
  <si>
    <t>Barker et al. 2003, Rae et al. 2083</t>
  </si>
  <si>
    <t>T. sacculifer modified for d11Bsw = 38.75‰, 300-355um size fraction, Foster et al. 2012 &amp; Greenop et al. 2019</t>
  </si>
  <si>
    <t>300-355um</t>
  </si>
  <si>
    <t>38.6-38.9</t>
  </si>
  <si>
    <t>data collected for this study; applied T. sacculifer slope and intercept and correspondingly adjusted d11Bsw</t>
  </si>
  <si>
    <t>T. sacculifer modified for d11Bsw = 38.75‰, 300-355um size fraction, Foster et al. 2012 &amp; Greenop et al. 2020</t>
  </si>
  <si>
    <t>T. sacculifer modified for d11Bsw = 38.75‰, 300-355um size fraction, Foster et al. 2012 &amp; Greenop et al. 2021</t>
  </si>
  <si>
    <t>T. sacculifer modified for d11Bsw = 38.75‰, 300-355um size fraction, Foster et al. 2012 &amp; Greenop et al. 2022</t>
  </si>
  <si>
    <t>T. sacculifer modified for d11Bsw = 38.75‰, 300-355um size fraction, Foster et al. 2012 &amp; Greenop et al. 2023</t>
  </si>
  <si>
    <t>T. sacculifer modified for d11Bsw = 38.75‰, 300-355um size fraction, Foster et al. 2012 &amp; Greenop et al. 2024</t>
  </si>
  <si>
    <t>T. sacculifer modified for d11Bsw = 38.75‰, 300-355um size fraction, Foster et al. 2012 &amp; Greenop et al. 2025</t>
  </si>
  <si>
    <t>T. sacculifer modified for d11Bsw = 38.75‰, 300-355um size fraction, Foster et al. 2012 &amp; Greenop et al. 2026</t>
  </si>
  <si>
    <t>T. sacculifer modified for d11Bsw = 38.75‰, 300-355um size fraction, Foster et al. 2012 &amp; Greenop et al. 2027</t>
  </si>
  <si>
    <t>estimated from neighbor sample</t>
  </si>
  <si>
    <t>T. sacculifer modified for d11Bsw = 38.75‰, 300-355um size fraction, Foster et al. 2012 &amp; Greenop et al. 2028</t>
  </si>
  <si>
    <t>T. sacculifer modified for d11Bsw = 38.75‰, 300-355um size fraction, Foster et al. 2012 &amp; Greenop et al. 2029</t>
  </si>
  <si>
    <t>T. sacculifer modified for d11Bsw = 38.75‰, 300-355um size fraction, Foster et al. 2012 &amp; Greenop et al. 2030</t>
  </si>
  <si>
    <t>T. sacculifer modified for d11Bsw = 38.75‰, 300-355um size fraction, Foster et al. 2012 &amp; Greenop et al. 2031</t>
  </si>
  <si>
    <t>T. sacculifer modified for d11Bsw = 38.75‰, 300-355um size fraction, Foster et al. 2012 &amp; Greenop et al. 2032</t>
  </si>
  <si>
    <t>T. sacculifer modified for d11Bsw = 38.75‰, 300-355um size fraction, Foster et al. 2012 &amp; Greenop et al. 2033</t>
  </si>
  <si>
    <t>T. sacculifer modified for d11Bsw = 38.75‰, 300-355um size fraction, Foster et al. 2012 &amp; Greenop et al. 2034</t>
  </si>
  <si>
    <t>T. sacculifer modified for d11Bsw = 38.75‰, 300-355um size fraction, Foster et al. 2012 &amp; Greenop et al. 2035</t>
  </si>
  <si>
    <t>T. sacculifer modified for d11Bsw = 38.75‰, 300-355um size fraction, Foster et al. 2012 &amp; Greenop et al. 2036</t>
  </si>
  <si>
    <t>T. sacculifer modified for d11Bsw = 38.75‰, 300-355um size fraction, Foster et al. 2012 &amp; Greenop et al. 2037</t>
  </si>
  <si>
    <t>data collected for this study; applied T. sacculifer slope and intercept and correspondingly adjusted d11Bsw; Turborotalia δ11B  are corrected to mixed layer δ11B, following the approach described in the methods (+1.02‰ ± 0.04‰ )</t>
  </si>
  <si>
    <t>T. sacculifer modified for d11Bsw = 38.75‰, 300-355um size fraction, Foster et al. 2012 &amp; Greenop et al. 2038</t>
  </si>
  <si>
    <t>T. sacculifer modified for d11Bsw = 38.75‰, 300-355um size fraction, Foster et al. 2012 &amp; Greenop et al. 2039</t>
  </si>
  <si>
    <t>T. sacculifer modified for d11Bsw = 38.75‰, 300-355um size fraction, Foster et al. 2012 &amp; Greenop et al. 2040</t>
  </si>
  <si>
    <t>T. sacculifer modified for d11Bsw = 38.75‰, 300-355um size fraction, Foster et al. 2012 &amp; Greenop et al. 2041</t>
  </si>
  <si>
    <t>T. sacculifer modified for d11Bsw = 38.75‰, 300-355um size fraction, Foster et al. 2012 &amp; Greenop et al. 2042</t>
  </si>
  <si>
    <t>T. sacculifer modified for d11Bsw = 38.75‰, 300-355um size fraction, Foster et al. 2012 &amp; Greenop et al. 2043</t>
  </si>
  <si>
    <t>T. sacculifer modified for d11Bsw = 38.75‰, 300-355um size fraction, Foster et al. 2012 &amp; Greenop et al. 2044</t>
  </si>
  <si>
    <t>T. sacculifer modified for d11Bsw = 38.75‰, 300-355um size fraction, Foster et al. 2012 &amp; Greenop et al. 2045</t>
  </si>
  <si>
    <t>T. sacculifer modified for d11Bsw = 38.75‰, 300-355um size fraction, Foster et al. 2012 &amp; Greenop et al. 2046</t>
  </si>
  <si>
    <t>T. sacculifer modified for d11Bsw = 38.75‰, 300-355um size fraction, Foster et al. 2012 &amp; Greenop et al. 2047</t>
  </si>
  <si>
    <t>T. sacculifer modified for d11Bsw = 38.75‰, 300-355um size fraction, Foster et al. 2012 &amp; Greenop et al. 2048</t>
  </si>
  <si>
    <t>T. sacculifer modified for d11Bsw = 38.75‰, 300-355um size fraction, Foster et al. 2012 &amp; Greenop et al. 2049</t>
  </si>
  <si>
    <t>T. sacculifer modified for d11Bsw = 38.75‰, 300-355um size fraction, Foster et al. 2012 &amp; Greenop et al. 2050</t>
  </si>
  <si>
    <t>T. sacculifer modified for d11Bsw = 38.75‰, 300-355um size fraction, Foster et al. 2012 &amp; Greenop et al. 2051</t>
  </si>
  <si>
    <t>T. sacculifer modified for d11Bsw = 38.75‰, 300-355um size fraction, Foster et al. 2012 &amp; Greenop et al. 2052</t>
  </si>
  <si>
    <t>T. sacculifer modified for d11Bsw = 38.75‰, 300-355um size fraction, Foster et al. 2012 &amp; Greenop et al. 2053</t>
  </si>
  <si>
    <t>T. sacculifer modified for d11Bsw = 38.75‰, 300-355um size fraction, Foster et al. 2012 &amp; Greenop et al. 2054</t>
  </si>
  <si>
    <t>T. sacculifer modified for d11Bsw = 38.75‰, 300-355um size fraction, Foster et al. 2012 &amp; Greenop et al. 2055</t>
  </si>
  <si>
    <t>T. sacculifer modified for d11Bsw = 38.75‰, 300-355um size fraction, Foster et al. 2012 &amp; Greenop et al. 2056</t>
  </si>
  <si>
    <t>T. sacculifer modified for d11Bsw = 38.75‰, 300-355um size fraction, Foster et al. 2012 &amp; Greenop et al. 2057</t>
  </si>
  <si>
    <t>T. sacculifer modified for d11Bsw = 38.75‰, 300-355um size fraction, Foster et al. 2012 &amp; Greenop et al. 2058</t>
  </si>
  <si>
    <t>T. sacculifer modified for d11Bsw = 38.75‰, 300-355um size fraction, Foster et al. 2012 &amp; Greenop et al. 2059</t>
  </si>
  <si>
    <t>T. sacculifer modified for d11Bsw = 38.75‰, 300-355um size fraction, Foster et al. 2012 &amp; Greenop et al. 2060</t>
  </si>
  <si>
    <t>T. sacculifer modified for d11Bsw = 38.75‰, 300-355um size fraction, Foster et al. 2012 &amp; Greenop et al. 2061</t>
  </si>
  <si>
    <t>T. sacculifer modified for d11Bsw = 38.75‰, 300-355um size fraction, Foster et al. 2012 &amp; Greenop et al. 2062</t>
  </si>
  <si>
    <t>T. sacculifer modified for d11Bsw = 38.75‰, 300-355um size fraction, Foster et al. 2012 &amp; Greenop et al. 2063</t>
  </si>
  <si>
    <t>T. sacculifer modified for d11Bsw = 38.75‰, 300-355um size fraction, Foster et al. 2012 &amp; Greenop et al. 2064</t>
  </si>
  <si>
    <t>T. sacculifer modified for d11Bsw = 38.75‰, 300-355um size fraction, Foster et al. 2012 &amp; Greenop et al. 2065</t>
  </si>
  <si>
    <t>T. sacculifer modified for d11Bsw = 38.75‰, 300-355um size fraction, Foster et al. 2012 &amp; Greenop et al. 2066</t>
  </si>
  <si>
    <t>T. sacculifer modified for d11Bsw = 38.75‰, 300-355um size fraction, Foster et al. 2012 &amp; Greenop et al. 2067</t>
  </si>
  <si>
    <t>T. sacculifer modified for d11Bsw = 38.75‰, 300-355um size fraction, Foster et al. 2012 &amp; Greenop et al. 2068</t>
  </si>
  <si>
    <t>T. sacculifer modified for d11Bsw = 38.75‰, 300-355um size fraction, Foster et al. 2012 &amp; Greenop et al. 2069</t>
  </si>
  <si>
    <t>T. sacculifer modified for d11Bsw = 38.75‰, 300-355um size fraction, Foster et al. 2012 &amp; Greenop et al. 2070</t>
  </si>
  <si>
    <t>T. sacculifer modified for d11Bsw = 38.75‰, 300-355um size fraction, Foster et al. 2012 &amp; Greenop et al. 2071</t>
  </si>
  <si>
    <t>T. sacculifer modified for d11Bsw = 38.75‰, 300-355um size fraction, Foster et al. 2012 &amp; Greenop et al. 2072</t>
  </si>
  <si>
    <t>T. sacculifer modified for d11Bsw = 38.75‰, 300-355um size fraction, Foster et al. 2012 &amp; Greenop et al. 2073</t>
  </si>
  <si>
    <t>T. sacculifer modified for d11Bsw = 38.75‰, 300-355um size fraction, Foster et al. 2012 &amp; Greenop et al. 2074</t>
  </si>
  <si>
    <t>T. sacculifer modified for d11Bsw = 38.75‰, 300-355um size fraction, Foster et al. 2012 &amp; Greenop et al. 2075</t>
  </si>
  <si>
    <t>T. sacculifer modified for d11Bsw = 38.75‰, 300-355um size fraction, Foster et al. 2012 &amp; Greenop et al. 2076</t>
  </si>
  <si>
    <t>T. sacculifer modified for d11Bsw = 38.75‰, 300-355um size fraction, Foster et al. 2012 &amp; Greenop et al. 2077</t>
  </si>
  <si>
    <t>T. sacculifer modified for d11Bsw = 38.75‰, 300-355um size fraction, Foster et al. 2012 &amp; Greenop et al. 2078</t>
  </si>
  <si>
    <t>T. sacculifer modified for d11Bsw = 38.75‰, 300-355um size fraction, Foster et al. 2012 &amp; Greenop et al. 2079</t>
  </si>
  <si>
    <t>T. sacculifer modified for d11Bsw = 38.75‰, 300-355um size fraction, Foster et al. 2012 &amp; Greenop et al. 2080</t>
  </si>
  <si>
    <t>T. sacculifer modified for d11Bsw = 38.75‰, 300-355um size fraction, Foster et al. 2012 &amp; Greenop et al. 2081</t>
  </si>
  <si>
    <t>T. sacculifer modified for d11Bsw = 38.75‰, 300-355um size fraction, Foster et al. 2012 &amp; Greenop et al. 2082</t>
  </si>
  <si>
    <t>T. sacculifer modified for d11Bsw = 38.75‰, 300-355um size fraction, Foster et al. 2012 &amp; Greenop et al. 2083</t>
  </si>
  <si>
    <t>T. sacculifer modified for d11Bsw = 38.75‰, 300-355um size fraction, Foster et al. 2012 &amp; Greenop et al. 2084</t>
  </si>
  <si>
    <t>T. sacculifer modified for d11Bsw = 38.75‰, 300-355um size fraction, Foster et al. 2012 &amp; Greenop et al. 2085</t>
  </si>
  <si>
    <t>T. sacculifer modified for d11Bsw = 38.75‰, 300-355um size fraction, Foster et al. 2012 &amp; Greenop et al. 2086</t>
  </si>
  <si>
    <t>T. sacculifer modified for d11Bsw = 38.75‰, 300-355um size fraction, Foster et al. 2012 &amp; Greenop et al. 2087</t>
  </si>
  <si>
    <t>T. sacculifer modified for d11Bsw = 38.75‰, 300-355um size fraction, Foster et al. 2012 &amp; Greenop et al. 2088</t>
  </si>
  <si>
    <t>T. sacculifer modified for d11Bsw = 38.75‰, 300-355um size fraction, Foster et al. 2012 &amp; Greenop et al. 2089</t>
  </si>
  <si>
    <t>T. sacculifer modified for d11Bsw = 38.75‰, 300-355um size fraction, Foster et al. 2012 &amp; Greenop et al. 2090</t>
  </si>
  <si>
    <t>T. sacculifer modified for d11Bsw = 38.75‰, 300-355um size fraction, Foster et al. 2012 &amp; Greenop et al. 2091</t>
  </si>
  <si>
    <t>TDP17</t>
  </si>
  <si>
    <t>Tanzania</t>
  </si>
  <si>
    <t>-300 to -500</t>
  </si>
  <si>
    <t>Nicholas et al. 2006</t>
  </si>
  <si>
    <t>Cande &amp; Kent 1995</t>
  </si>
  <si>
    <t xml:space="preserve">Pearson, P. N. et al. Extinction and environmental change across the Eocene–Oligocene boundary in Tanzania. Geology 36, 179–182 (2008). </t>
  </si>
  <si>
    <t>Turborotalia ampliapertura offseted to mixed layer</t>
  </si>
  <si>
    <t xml:space="preserve">300-1000 </t>
  </si>
  <si>
    <t>14.7,14.73</t>
  </si>
  <si>
    <t>5 m (corrected to ML, for both Temp (2C) and d11B)</t>
  </si>
  <si>
    <t>Anand 2003</t>
  </si>
  <si>
    <t>original publication Pearson et al. 2009, corrected to mixed layer in Anagnostou et al. 2016, processed with MyAMI here. Temperature not reprocessed as it has a 2C correction. Overkill</t>
  </si>
  <si>
    <t>14.47,14.09</t>
  </si>
  <si>
    <t>13.94,13.86</t>
  </si>
  <si>
    <t>TDP12</t>
  </si>
  <si>
    <t>13.78,13.78</t>
  </si>
  <si>
    <t>300-1000</t>
  </si>
  <si>
    <t>14.33,14.31</t>
  </si>
  <si>
    <t>13.73,14.03</t>
  </si>
  <si>
    <t>13.83,13.69</t>
  </si>
  <si>
    <t>13.95,13.59</t>
  </si>
  <si>
    <t>14.14,13.92</t>
  </si>
  <si>
    <t>TDP3</t>
  </si>
  <si>
    <t>&gt;-300</t>
  </si>
  <si>
    <t>Wade et al. 2011</t>
  </si>
  <si>
    <r>
      <t xml:space="preserve">Turborotalia cerroazulensis-offset (-1.79 ± 0.26 ‰ and -2.89 </t>
    </r>
    <r>
      <rPr>
        <i/>
        <vertAlign val="superscript"/>
        <sz val="10"/>
        <color theme="1"/>
        <rFont val="Helvetica"/>
        <family val="2"/>
      </rPr>
      <t>o</t>
    </r>
    <r>
      <rPr>
        <i/>
        <sz val="10"/>
        <color theme="1"/>
        <rFont val="Helvetica"/>
        <family val="2"/>
      </rPr>
      <t>C)</t>
    </r>
  </si>
  <si>
    <t>&gt;355</t>
  </si>
  <si>
    <t>~300</t>
  </si>
  <si>
    <t>3-4</t>
  </si>
  <si>
    <t>not reported</t>
  </si>
  <si>
    <t>-2.79 ‰  corrected to mixed layer</t>
  </si>
  <si>
    <t>Kim &amp; O'Neil 1997, Pearson 2012</t>
  </si>
  <si>
    <t>Kim &amp; O'Neil 1997, Cramer et al. 2011, Zachos et al. 1994</t>
  </si>
  <si>
    <t>original publication Anagnostou et al. 2016, processed with MyAMI here</t>
  </si>
  <si>
    <t>TDP2</t>
  </si>
  <si>
    <t>Cande &amp; Kent 1996</t>
  </si>
  <si>
    <t>Morozovelloides lehneri</t>
  </si>
  <si>
    <t>5 m (ML)</t>
  </si>
  <si>
    <t xml:space="preserve">-3.429 ‰ </t>
  </si>
  <si>
    <t>Kim &amp; O'Neil 1997, Pearson 2013</t>
  </si>
  <si>
    <t>Kim &amp; O'Neil 1997, Cramer et al. 2011, Zachos et al. 1995</t>
  </si>
  <si>
    <t>Cande &amp; Kent 1997</t>
  </si>
  <si>
    <t>Guembelitrioides nuttalli/ Globigerinatheka transition</t>
  </si>
  <si>
    <t xml:space="preserve">-3.03 ‰ </t>
  </si>
  <si>
    <t>Kim &amp; O'Neil 1997, Pearson 2014</t>
  </si>
  <si>
    <t>Kim &amp; O'Neil 1997, Cramer et al. 2011, Zachos et al. 1996</t>
  </si>
  <si>
    <t xml:space="preserve">PP98L-2 </t>
  </si>
  <si>
    <t>Kitunda Shore sample</t>
  </si>
  <si>
    <t>Cande &amp; Kent 1998</t>
  </si>
  <si>
    <r>
      <t xml:space="preserve">Pearsonites </t>
    </r>
    <r>
      <rPr>
        <sz val="10"/>
        <color theme="1"/>
        <rFont val="Helvetica"/>
        <family val="2"/>
      </rPr>
      <t>sp.</t>
    </r>
  </si>
  <si>
    <t xml:space="preserve">-3.46 ‰ </t>
  </si>
  <si>
    <t>Kim &amp; O'Neil 1997, Pearson 2015</t>
  </si>
  <si>
    <t>Kim &amp; O'Neil 1997, Cramer et al. 2011, Zachos et al. 1997</t>
  </si>
  <si>
    <t>TDP18</t>
  </si>
  <si>
    <t>44, 62, 78</t>
  </si>
  <si>
    <t>54, 70, 81</t>
  </si>
  <si>
    <t>Cande &amp; Kent 1999</t>
  </si>
  <si>
    <t>Acarinina wilcoxensis</t>
  </si>
  <si>
    <t xml:space="preserve">-3.598 ‰ </t>
  </si>
  <si>
    <t>Kim &amp; O'Neil 1997, Pearson 2016</t>
  </si>
  <si>
    <t>Kim &amp; O'Neil 1997, Cramer et al. 2011, Zachos et al. 1998</t>
  </si>
  <si>
    <t>Nunes and Norris (2006) Nature</t>
  </si>
  <si>
    <t>North Atlantic</t>
  </si>
  <si>
    <t>Pardo et al. (1997) Marine Micropal.</t>
  </si>
  <si>
    <t>peak CIE PETM adjusted to  55.9 Ma</t>
  </si>
  <si>
    <t>Westerhold 2008;2009</t>
  </si>
  <si>
    <t>extraterrestrial 3He age model</t>
  </si>
  <si>
    <t>Farley and Eltgroth (2004) EPSL</t>
  </si>
  <si>
    <t>Morozovella subottinae</t>
  </si>
  <si>
    <t>~2</t>
  </si>
  <si>
    <t>Original publication Gutjahr 2017 processed here for pH and CO2</t>
  </si>
  <si>
    <t>Bralower et al. (2002) ODP Initial Report; doi:10.2973/odp.proc.ir.198.2002</t>
  </si>
  <si>
    <t>subtropical North Pacific</t>
  </si>
  <si>
    <t>paleolat: van Hinsbergen et al. (2015) does not include paleolong; paleodepth: Takeda and Kaiho (2007) via backtracking thermal subs.</t>
  </si>
  <si>
    <t>none</t>
  </si>
  <si>
    <t>cyclostrat using XRF or isotopes, magneto- and bio-strat informed</t>
  </si>
  <si>
    <t>Acarinina soldadoensis</t>
  </si>
  <si>
    <t>~150</t>
  </si>
  <si>
    <t>Barker et al. 2003</t>
  </si>
  <si>
    <t>not applicable</t>
  </si>
  <si>
    <t>N-TIMS (Triton)</t>
  </si>
  <si>
    <t>2se</t>
  </si>
  <si>
    <t>set percentage based on standard reproducibility (3%)</t>
  </si>
  <si>
    <t>no, samples picked and processed separately</t>
  </si>
  <si>
    <t>original publication Harper 2020, processed without vitals only using species calibrated here and in Anagnostou 2016, MyAMI, and no pH on Mg/Ca</t>
  </si>
  <si>
    <t>Zachos et al. (2004) ODP Intial Report</t>
  </si>
  <si>
    <t>South Atlantic</t>
  </si>
  <si>
    <t>paleolat: van Hinsbergen et al. (2015) does not include paleolong; paleodepth: Zachos et al. (2004) via marine micropal.</t>
  </si>
  <si>
    <t>neighboring sample (4.18)</t>
  </si>
  <si>
    <t>neighboring sample (4.13)</t>
  </si>
  <si>
    <t>neighboring sample (4.1)</t>
  </si>
  <si>
    <t>neighboring sample (4.21)</t>
  </si>
  <si>
    <t>neighboring sample (4.28)</t>
  </si>
  <si>
    <t>neighboring sample (4.44)</t>
  </si>
  <si>
    <t>Westerhold and Rohl (2006) adjusted rmcd</t>
  </si>
  <si>
    <t>Rohl et al. (2007); Westerhold 2018</t>
  </si>
  <si>
    <t>Westerhold and Rohl (2013); rmcd</t>
  </si>
  <si>
    <t>tropical Atlantic</t>
  </si>
  <si>
    <t>http://www.paleolatitude.org; paleolongitude not given. Paleodepth= Sexton, Wilson, &amp; Norris, 2006; Shipboard Scientific Party, 2004a</t>
  </si>
  <si>
    <t>set value, derived from the amount of time combined within the thickness of the sample interval</t>
  </si>
  <si>
    <t>Correlating magnetostratigraphic tie points from ODP 702 with features in isotope records, also site specific magnetostrat and biostrat</t>
  </si>
  <si>
    <t>Henehan et al. 2020</t>
  </si>
  <si>
    <t>Cyclostratigraphy</t>
  </si>
  <si>
    <t>Westerhold et al. (2013)</t>
  </si>
  <si>
    <t>M. crassatus</t>
  </si>
  <si>
    <t>not known</t>
  </si>
  <si>
    <t>1-4</t>
  </si>
  <si>
    <t>Henehan et al. 2016, EPSL (based on Barker et al. 2003)
2006PA001337.</t>
  </si>
  <si>
    <t>14.66750115, 14.90847553</t>
  </si>
  <si>
    <t>set percentage (3%)</t>
  </si>
  <si>
    <r>
      <t>Mg/Ca</t>
    </r>
    <r>
      <rPr>
        <sz val="8"/>
        <color rgb="FF000000"/>
        <rFont val="Times"/>
        <family val="1"/>
      </rPr>
      <t xml:space="preserve">foraminifera </t>
    </r>
    <r>
      <rPr>
        <sz val="12"/>
        <color rgb="FF000000"/>
        <rFont val="Times"/>
        <family val="1"/>
      </rPr>
      <t xml:space="preserve">= </t>
    </r>
    <r>
      <rPr>
        <i/>
        <sz val="12"/>
        <color rgb="FF000000"/>
        <rFont val="Times"/>
        <family val="1"/>
      </rPr>
      <t>B</t>
    </r>
    <r>
      <rPr>
        <sz val="12"/>
        <color rgb="FF000000"/>
        <rFont val="Times"/>
        <family val="1"/>
      </rPr>
      <t>exp</t>
    </r>
    <r>
      <rPr>
        <i/>
        <sz val="8"/>
        <color rgb="FF000000"/>
        <rFont val="Times"/>
        <family val="1"/>
      </rPr>
      <t xml:space="preserve">AT, </t>
    </r>
    <r>
      <rPr>
        <sz val="12"/>
        <color rgb="FF000000"/>
        <rFont val="Times"/>
        <family val="1"/>
      </rPr>
      <t>A=−0.0029×Mg/Ca2sw+0.032×Mg/Casw, B=0.019×Mg/Ca2sw−0.16×Mg/Casw+0.804</t>
    </r>
  </si>
  <si>
    <t>Original publication Henehan 2020, processed without vitals for calibrated species only, MyAMI updated python script, no pH Mg/Ca</t>
  </si>
  <si>
    <t>15.09600064, 15.06736474</t>
  </si>
  <si>
    <t>15.07759998, 15.08881841</t>
  </si>
  <si>
    <t>14.55559926, 14.57357561</t>
  </si>
  <si>
    <t>14.6152073, 14.75497786</t>
  </si>
  <si>
    <t>14.95384115, 15.02138117</t>
  </si>
  <si>
    <t>15.01270122, 15.13946401</t>
  </si>
  <si>
    <t>15.05857707, 15.0078036</t>
  </si>
  <si>
    <t>14.89788303, 15.26191018</t>
  </si>
  <si>
    <t>14.62124205, 14.8070375</t>
  </si>
  <si>
    <t>Edgar et al. (in review, 10.31223/osf.io/m64gk); amcd</t>
  </si>
  <si>
    <t>tropical Pacific</t>
  </si>
  <si>
    <t>http://www.paleolatitude.org; paleolongitude not given; Palaeodepth= Bralower et al., 1995</t>
  </si>
  <si>
    <t>Edgar et al. (in review; 10.31223/osf.io/m64gk)</t>
  </si>
  <si>
    <t>15.33208014, 15.39914219</t>
  </si>
  <si>
    <t>M crassatus</t>
  </si>
  <si>
    <t>15.12372266, 15.00327498</t>
  </si>
  <si>
    <t>15.20404725, 15.02423879</t>
  </si>
  <si>
    <t>15.19688354, 15.17109222</t>
  </si>
  <si>
    <t>14.88224391, 14.92500794</t>
  </si>
  <si>
    <t>14.56853397, 14.43621244</t>
  </si>
  <si>
    <t>14.45084688, 14.51371373</t>
  </si>
  <si>
    <t>14.48032768, 14.56449192</t>
  </si>
  <si>
    <t>14.04765836, 14.16931472</t>
  </si>
  <si>
    <t>15.11421454, 15.01028045</t>
  </si>
  <si>
    <t>15.01371026, 15.00209998</t>
  </si>
  <si>
    <t>14.91567857, 15.29682387</t>
  </si>
  <si>
    <t>14.87501497, 14.93824526</t>
  </si>
  <si>
    <t>14.76628408, 14.70721225</t>
  </si>
  <si>
    <t>15.11244433, 14.53355169</t>
  </si>
  <si>
    <t>14.93292557, 15.17116288</t>
  </si>
  <si>
    <t>15.40763142, 14.97259704</t>
  </si>
  <si>
    <t>added age uncertainties based on power fit on LR04 uncertainties</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</si>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</sst>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61">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u/>
      <sz val="12"/>
      <color theme="1"/>
      <name val="Calibri"/>
      <family val="2"/>
      <scheme val="minor"/>
    </font>
    <font>
      <sz val="10"/>
      <color theme="1"/>
      <name val="Helvetica"/>
      <family val="2"/>
    </font>
    <font>
      <sz val="11"/>
      <color rgb="FF000000"/>
      <name val="Calibri"/>
      <family val="2"/>
      <charset val="1"/>
    </font>
    <font>
      <sz val="11"/>
      <color rgb="FF000000"/>
      <name val="Calibri"/>
      <family val="2"/>
      <scheme val="minor"/>
    </font>
    <font>
      <sz val="12"/>
      <color theme="1"/>
      <name val="Calibri"/>
      <family val="2"/>
    </font>
    <font>
      <sz val="10"/>
      <color rgb="FF000000"/>
      <name val="Helvetica"/>
      <family val="2"/>
    </font>
    <font>
      <sz val="11"/>
      <name val="Calibri"/>
      <family val="2"/>
    </font>
    <font>
      <i/>
      <sz val="10"/>
      <color theme="1"/>
      <name val="Helvetica"/>
      <family val="2"/>
    </font>
    <font>
      <sz val="12"/>
      <color theme="1"/>
      <name val="Times"/>
      <family val="1"/>
    </font>
    <font>
      <sz val="8"/>
      <color theme="1"/>
      <name val="Times"/>
      <family val="1"/>
    </font>
    <font>
      <i/>
      <sz val="12"/>
      <color theme="1"/>
      <name val="Times"/>
      <family val="1"/>
    </font>
    <font>
      <i/>
      <sz val="8"/>
      <color theme="1"/>
      <name val="Times"/>
      <family val="1"/>
    </font>
    <font>
      <sz val="12"/>
      <name val="Calibri"/>
      <family val="2"/>
      <scheme val="minor"/>
    </font>
    <font>
      <sz val="10"/>
      <name val="Verdana"/>
      <family val="2"/>
    </font>
    <font>
      <sz val="10"/>
      <name val="Arial"/>
      <family val="2"/>
    </font>
    <font>
      <sz val="10"/>
      <name val="Helvetica"/>
      <family val="2"/>
    </font>
    <font>
      <sz val="10"/>
      <color theme="1"/>
      <name val="AdvTT5843c571"/>
    </font>
    <font>
      <sz val="10"/>
      <color theme="1"/>
      <name val="MS Sans Serif"/>
    </font>
    <font>
      <sz val="10"/>
      <color theme="1"/>
      <name val="Calibri"/>
      <family val="2"/>
      <scheme val="minor"/>
    </font>
    <font>
      <i/>
      <vertAlign val="superscript"/>
      <sz val="10"/>
      <color theme="1"/>
      <name val="Helvetica"/>
      <family val="2"/>
    </font>
    <font>
      <sz val="12"/>
      <color theme="1"/>
      <name val="Calibri"/>
      <family val="2"/>
      <charset val="129"/>
      <scheme val="minor"/>
    </font>
    <font>
      <sz val="13"/>
      <color theme="1"/>
      <name val="Calibri"/>
      <family val="2"/>
      <scheme val="minor"/>
    </font>
    <font>
      <sz val="10"/>
      <color rgb="FF000000"/>
      <name val="Verdana"/>
      <family val="2"/>
    </font>
    <font>
      <sz val="12"/>
      <color theme="1"/>
      <name val="ArialMT"/>
    </font>
    <font>
      <sz val="12"/>
      <color theme="1"/>
      <name val="Arial"/>
      <family val="2"/>
    </font>
    <font>
      <sz val="10"/>
      <color theme="1"/>
      <name val="Verdana"/>
      <family val="2"/>
    </font>
    <font>
      <sz val="12"/>
      <color rgb="FF000000"/>
      <name val="Times"/>
      <family val="1"/>
    </font>
    <font>
      <sz val="8"/>
      <color rgb="FF000000"/>
      <name val="Times"/>
      <family val="1"/>
    </font>
    <font>
      <i/>
      <sz val="12"/>
      <color rgb="FF000000"/>
      <name val="Times"/>
      <family val="1"/>
    </font>
    <font>
      <i/>
      <sz val="8"/>
      <color rgb="FF000000"/>
      <name val="Times"/>
      <family val="1"/>
    </font>
    <font>
      <sz val="10"/>
      <color theme="1"/>
      <name val="Arial"/>
      <family val="2"/>
    </font>
    <font>
      <b/>
      <sz val="10"/>
      <color rgb="FF000000"/>
      <name val="Tahoma"/>
      <family val="2"/>
    </font>
    <font>
      <sz val="10"/>
      <color rgb="FF000000"/>
      <name val="Tahoma"/>
      <family val="2"/>
    </font>
    <font>
      <sz val="13"/>
      <color rgb="FF000000"/>
      <name val="Helvetica"/>
      <family val="2"/>
    </font>
  </fonts>
  <fills count="18">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
      <patternFill patternType="solid">
        <fgColor rgb="FFEA908D"/>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right/>
      <top style="medium">
        <color rgb="FF7F7F7F"/>
      </top>
      <bottom/>
      <diagonal/>
    </border>
  </borders>
  <cellStyleXfs count="7">
    <xf numFmtId="0" fontId="0" fillId="0" borderId="0"/>
    <xf numFmtId="0" fontId="26" fillId="0" borderId="0" applyNumberFormat="0" applyFill="0" applyBorder="0" applyAlignment="0" applyProtection="0"/>
    <xf numFmtId="0" fontId="29" fillId="0" borderId="0"/>
    <xf numFmtId="0" fontId="41" fillId="0" borderId="0"/>
    <xf numFmtId="0" fontId="40" fillId="0" borderId="0"/>
    <xf numFmtId="0" fontId="47" fillId="0" borderId="0"/>
    <xf numFmtId="0" fontId="41" fillId="0" borderId="0"/>
  </cellStyleXfs>
  <cellXfs count="304">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27" fillId="0" borderId="0" xfId="1" applyFont="1"/>
    <xf numFmtId="164" fontId="28" fillId="0" borderId="0" xfId="0" applyNumberFormat="1" applyFont="1" applyAlignment="1">
      <alignment horizontal="center"/>
    </xf>
    <xf numFmtId="0" fontId="0" fillId="0" borderId="0" xfId="0" applyFill="1"/>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27" fillId="0" borderId="0" xfId="1" applyFont="1" applyFill="1"/>
    <xf numFmtId="1" fontId="28" fillId="0" borderId="0" xfId="0" applyNumberFormat="1" applyFont="1" applyAlignment="1">
      <alignment horizontal="center"/>
    </xf>
    <xf numFmtId="164" fontId="30" fillId="10" borderId="0" xfId="0" applyNumberFormat="1" applyFont="1" applyFill="1" applyAlignment="1">
      <alignment horizontal="center"/>
    </xf>
    <xf numFmtId="1" fontId="31" fillId="10" borderId="0" xfId="0" applyNumberFormat="1" applyFont="1" applyFill="1" applyAlignment="1">
      <alignment horizontal="center"/>
    </xf>
    <xf numFmtId="1" fontId="0" fillId="0" borderId="0" xfId="0" applyNumberFormat="1"/>
    <xf numFmtId="0" fontId="0" fillId="0" borderId="0" xfId="0" applyAlignment="1">
      <alignment vertical="top"/>
    </xf>
    <xf numFmtId="0" fontId="28" fillId="0" borderId="0" xfId="0" applyFont="1" applyAlignment="1">
      <alignment horizontal="center"/>
    </xf>
    <xf numFmtId="2" fontId="28" fillId="0" borderId="0" xfId="0" applyNumberFormat="1" applyFont="1" applyAlignment="1">
      <alignment horizontal="center"/>
    </xf>
    <xf numFmtId="0" fontId="34" fillId="0" borderId="0" xfId="0" applyFont="1" applyAlignment="1">
      <alignment horizontal="left"/>
    </xf>
    <xf numFmtId="0" fontId="0" fillId="0" borderId="0" xfId="0" quotePrefix="1"/>
    <xf numFmtId="0" fontId="35" fillId="0" borderId="0" xfId="0" applyFont="1"/>
    <xf numFmtId="2" fontId="28" fillId="0" borderId="0" xfId="0" quotePrefix="1" applyNumberFormat="1" applyFont="1" applyAlignment="1">
      <alignment horizontal="center"/>
    </xf>
    <xf numFmtId="0" fontId="0" fillId="0" borderId="7" xfId="0" applyBorder="1" applyAlignment="1">
      <alignment horizontal="left"/>
    </xf>
    <xf numFmtId="0" fontId="0" fillId="0" borderId="7" xfId="0" applyBorder="1"/>
    <xf numFmtId="0" fontId="39" fillId="0" borderId="0" xfId="0" applyFont="1"/>
    <xf numFmtId="1" fontId="28" fillId="0" borderId="0" xfId="0" applyNumberFormat="1" applyFont="1" applyAlignment="1">
      <alignment horizontal="left"/>
    </xf>
    <xf numFmtId="2" fontId="0" fillId="0" borderId="0" xfId="0" applyNumberFormat="1"/>
    <xf numFmtId="0" fontId="28" fillId="17" borderId="0" xfId="0" applyFont="1" applyFill="1" applyAlignment="1">
      <alignment horizontal="center"/>
    </xf>
    <xf numFmtId="164" fontId="28" fillId="0" borderId="0" xfId="0" applyNumberFormat="1" applyFont="1" applyAlignment="1">
      <alignment horizontal="left"/>
    </xf>
    <xf numFmtId="0" fontId="1" fillId="0" borderId="0" xfId="0" applyFont="1"/>
    <xf numFmtId="0" fontId="40" fillId="0" borderId="0" xfId="0" applyFont="1" applyAlignment="1">
      <alignment horizontal="center"/>
    </xf>
    <xf numFmtId="2" fontId="42" fillId="0" borderId="0" xfId="3" applyNumberFormat="1" applyFont="1" applyAlignment="1">
      <alignment horizontal="center"/>
    </xf>
    <xf numFmtId="0" fontId="0" fillId="0" borderId="4" xfId="0" applyBorder="1"/>
    <xf numFmtId="0" fontId="28" fillId="0" borderId="4" xfId="0" applyFont="1" applyBorder="1" applyAlignment="1">
      <alignment horizontal="center"/>
    </xf>
    <xf numFmtId="2" fontId="28" fillId="0" borderId="4" xfId="0" applyNumberFormat="1" applyFont="1" applyBorder="1" applyAlignment="1">
      <alignment horizontal="center"/>
    </xf>
    <xf numFmtId="0" fontId="34" fillId="0" borderId="4" xfId="0" applyFont="1" applyBorder="1" applyAlignment="1">
      <alignment horizontal="left"/>
    </xf>
    <xf numFmtId="0" fontId="0" fillId="0" borderId="4" xfId="0" quotePrefix="1" applyBorder="1"/>
    <xf numFmtId="164" fontId="28" fillId="0" borderId="4" xfId="0" applyNumberFormat="1" applyFont="1" applyBorder="1" applyAlignment="1">
      <alignment horizontal="center"/>
    </xf>
    <xf numFmtId="0" fontId="35" fillId="0" borderId="4" xfId="0" applyFont="1" applyBorder="1"/>
    <xf numFmtId="2" fontId="28" fillId="0" borderId="4" xfId="0" quotePrefix="1" applyNumberFormat="1" applyFont="1" applyBorder="1" applyAlignment="1">
      <alignment horizontal="center"/>
    </xf>
    <xf numFmtId="0" fontId="0" fillId="0" borderId="2" xfId="0" applyBorder="1" applyAlignment="1">
      <alignment horizontal="left"/>
    </xf>
    <xf numFmtId="0" fontId="39" fillId="0" borderId="4" xfId="0" applyFont="1" applyBorder="1"/>
    <xf numFmtId="1" fontId="28" fillId="0" borderId="4" xfId="0" applyNumberFormat="1" applyFont="1" applyBorder="1" applyAlignment="1">
      <alignment horizontal="center"/>
    </xf>
    <xf numFmtId="1" fontId="28" fillId="0" borderId="4" xfId="0" applyNumberFormat="1" applyFont="1" applyBorder="1" applyAlignment="1">
      <alignment horizontal="left"/>
    </xf>
    <xf numFmtId="2" fontId="28" fillId="10" borderId="0" xfId="0" applyNumberFormat="1" applyFont="1" applyFill="1" applyAlignment="1">
      <alignment horizontal="center"/>
    </xf>
    <xf numFmtId="1" fontId="28" fillId="10" borderId="0" xfId="0" applyNumberFormat="1" applyFont="1" applyFill="1" applyAlignment="1">
      <alignment horizontal="center"/>
    </xf>
    <xf numFmtId="2" fontId="42" fillId="10" borderId="0" xfId="3" applyNumberFormat="1" applyFont="1" applyFill="1" applyAlignment="1">
      <alignment horizontal="center"/>
    </xf>
    <xf numFmtId="2" fontId="28" fillId="10" borderId="4" xfId="0" applyNumberFormat="1" applyFont="1" applyFill="1" applyBorder="1" applyAlignment="1">
      <alignment horizontal="center"/>
    </xf>
    <xf numFmtId="1" fontId="28" fillId="10" borderId="4" xfId="0" applyNumberFormat="1" applyFont="1" applyFill="1" applyBorder="1" applyAlignment="1">
      <alignment horizontal="center"/>
    </xf>
    <xf numFmtId="2" fontId="0" fillId="0" borderId="0" xfId="0" applyNumberFormat="1" applyAlignment="1">
      <alignment horizontal="center"/>
    </xf>
    <xf numFmtId="0" fontId="43" fillId="0" borderId="0" xfId="0" quotePrefix="1" applyFont="1"/>
    <xf numFmtId="2" fontId="34" fillId="0" borderId="0" xfId="0" applyNumberFormat="1" applyFont="1" applyAlignment="1">
      <alignment horizontal="left" vertical="center"/>
    </xf>
    <xf numFmtId="164" fontId="0" fillId="0" borderId="0" xfId="0" applyNumberFormat="1"/>
    <xf numFmtId="2" fontId="44" fillId="0" borderId="0" xfId="0" applyNumberFormat="1" applyFont="1"/>
    <xf numFmtId="2" fontId="0" fillId="10" borderId="0" xfId="0" applyNumberFormat="1" applyFill="1" applyAlignment="1">
      <alignment horizontal="center"/>
    </xf>
    <xf numFmtId="2" fontId="41" fillId="10" borderId="0" xfId="3" applyNumberFormat="1" applyFill="1" applyAlignment="1">
      <alignment horizontal="center"/>
    </xf>
    <xf numFmtId="2" fontId="0" fillId="0" borderId="4" xfId="0" applyNumberFormat="1" applyBorder="1" applyAlignment="1">
      <alignment horizontal="center"/>
    </xf>
    <xf numFmtId="2" fontId="0" fillId="0" borderId="4" xfId="0" applyNumberFormat="1" applyBorder="1"/>
    <xf numFmtId="0" fontId="43" fillId="0" borderId="4" xfId="0" quotePrefix="1" applyFont="1" applyBorder="1"/>
    <xf numFmtId="164" fontId="30" fillId="10" borderId="4" xfId="0" applyNumberFormat="1" applyFont="1" applyFill="1" applyBorder="1" applyAlignment="1">
      <alignment horizontal="center"/>
    </xf>
    <xf numFmtId="2" fontId="34" fillId="0" borderId="4" xfId="0" applyNumberFormat="1" applyFont="1" applyBorder="1" applyAlignment="1">
      <alignment horizontal="left" vertical="center"/>
    </xf>
    <xf numFmtId="164" fontId="0" fillId="0" borderId="4" xfId="0" applyNumberFormat="1" applyBorder="1"/>
    <xf numFmtId="2" fontId="44" fillId="0" borderId="4" xfId="0" applyNumberFormat="1" applyFont="1" applyBorder="1"/>
    <xf numFmtId="2" fontId="0" fillId="10" borderId="4" xfId="0" applyNumberFormat="1" applyFill="1" applyBorder="1" applyAlignment="1">
      <alignment horizontal="center"/>
    </xf>
    <xf numFmtId="2" fontId="41" fillId="10" borderId="4" xfId="3" applyNumberFormat="1" applyFill="1" applyBorder="1" applyAlignment="1">
      <alignment horizontal="center"/>
    </xf>
    <xf numFmtId="1" fontId="31" fillId="10" borderId="4" xfId="0" applyNumberFormat="1" applyFont="1" applyFill="1" applyBorder="1" applyAlignment="1">
      <alignment horizontal="center"/>
    </xf>
    <xf numFmtId="164" fontId="30" fillId="0" borderId="0" xfId="0" applyNumberFormat="1" applyFont="1" applyFill="1" applyAlignment="1">
      <alignment horizontal="center"/>
    </xf>
    <xf numFmtId="1" fontId="32" fillId="0" borderId="0" xfId="0" applyNumberFormat="1" applyFont="1" applyFill="1" applyAlignment="1">
      <alignment horizontal="center"/>
    </xf>
    <xf numFmtId="1" fontId="31" fillId="0" borderId="0" xfId="0" applyNumberFormat="1" applyFont="1" applyFill="1" applyAlignment="1">
      <alignment horizontal="center"/>
    </xf>
    <xf numFmtId="0" fontId="0" fillId="0" borderId="0" xfId="0" applyFill="1" applyAlignment="1">
      <alignment vertical="top"/>
    </xf>
    <xf numFmtId="0" fontId="45" fillId="0" borderId="0" xfId="0" applyFont="1" applyFill="1"/>
    <xf numFmtId="2" fontId="39" fillId="0" borderId="0" xfId="0" applyNumberFormat="1" applyFont="1" applyFill="1"/>
    <xf numFmtId="0" fontId="39" fillId="0" borderId="0" xfId="0" applyFont="1" applyFill="1"/>
    <xf numFmtId="2" fontId="34" fillId="0" borderId="0" xfId="0" applyNumberFormat="1" applyFont="1" applyFill="1" applyAlignment="1">
      <alignment horizontal="left" vertical="center"/>
    </xf>
    <xf numFmtId="0" fontId="28" fillId="0" borderId="0" xfId="0" applyFont="1" applyFill="1" applyAlignment="1">
      <alignment horizontal="center"/>
    </xf>
    <xf numFmtId="0" fontId="0" fillId="0" borderId="0" xfId="0" quotePrefix="1" applyFill="1"/>
    <xf numFmtId="2" fontId="28" fillId="0" borderId="0" xfId="0" applyNumberFormat="1" applyFont="1" applyFill="1" applyAlignment="1">
      <alignment horizontal="center"/>
    </xf>
    <xf numFmtId="2" fontId="0" fillId="0" borderId="0" xfId="0" applyNumberFormat="1" applyFill="1"/>
    <xf numFmtId="164" fontId="28" fillId="0" borderId="0" xfId="0" applyNumberFormat="1" applyFont="1" applyFill="1" applyAlignment="1">
      <alignment horizontal="center"/>
    </xf>
    <xf numFmtId="2" fontId="28" fillId="0" borderId="0" xfId="0" quotePrefix="1" applyNumberFormat="1" applyFont="1" applyFill="1" applyAlignment="1">
      <alignment horizontal="left"/>
    </xf>
    <xf numFmtId="0" fontId="0" fillId="0" borderId="7" xfId="0" applyFill="1" applyBorder="1" applyAlignment="1">
      <alignment horizontal="left"/>
    </xf>
    <xf numFmtId="0" fontId="0" fillId="0" borderId="7" xfId="0" applyFill="1" applyBorder="1"/>
    <xf numFmtId="2" fontId="0" fillId="0" borderId="0" xfId="0" applyNumberFormat="1" applyFill="1" applyAlignment="1">
      <alignment horizontal="center"/>
    </xf>
    <xf numFmtId="2" fontId="41" fillId="0" borderId="0" xfId="3" quotePrefix="1" applyNumberFormat="1" applyFill="1" applyAlignment="1">
      <alignment horizontal="center"/>
    </xf>
    <xf numFmtId="1" fontId="28" fillId="0" borderId="0" xfId="0" applyNumberFormat="1" applyFont="1" applyFill="1" applyAlignment="1">
      <alignment horizontal="center"/>
    </xf>
    <xf numFmtId="2" fontId="41" fillId="0" borderId="0" xfId="3" applyNumberFormat="1" applyFill="1" applyAlignment="1">
      <alignment horizontal="center"/>
    </xf>
    <xf numFmtId="0" fontId="34" fillId="0" borderId="0" xfId="2" quotePrefix="1" applyFont="1" applyFill="1" applyAlignment="1">
      <alignment horizontal="left" vertical="center"/>
    </xf>
    <xf numFmtId="0" fontId="0" fillId="0" borderId="4" xfId="0" applyFill="1" applyBorder="1" applyAlignment="1">
      <alignment vertical="top"/>
    </xf>
    <xf numFmtId="0" fontId="0" fillId="0" borderId="4" xfId="0" applyFill="1" applyBorder="1"/>
    <xf numFmtId="0" fontId="45" fillId="0" borderId="4" xfId="0" applyFont="1" applyFill="1" applyBorder="1"/>
    <xf numFmtId="2" fontId="39" fillId="0" borderId="4" xfId="0" applyNumberFormat="1" applyFont="1" applyFill="1" applyBorder="1"/>
    <xf numFmtId="0" fontId="39" fillId="0" borderId="4" xfId="0" applyFont="1" applyFill="1" applyBorder="1"/>
    <xf numFmtId="164" fontId="30" fillId="0" borderId="4" xfId="0" applyNumberFormat="1" applyFont="1" applyFill="1" applyBorder="1" applyAlignment="1">
      <alignment horizontal="center"/>
    </xf>
    <xf numFmtId="2" fontId="34" fillId="0" borderId="4" xfId="0" applyNumberFormat="1" applyFont="1" applyFill="1" applyBorder="1" applyAlignment="1">
      <alignment horizontal="left" vertical="center"/>
    </xf>
    <xf numFmtId="0" fontId="28" fillId="0" borderId="4" xfId="0" applyFont="1" applyFill="1" applyBorder="1" applyAlignment="1">
      <alignment horizontal="center"/>
    </xf>
    <xf numFmtId="0" fontId="0" fillId="0" borderId="4" xfId="0" quotePrefix="1" applyFill="1" applyBorder="1"/>
    <xf numFmtId="2" fontId="28" fillId="0" borderId="4" xfId="0" applyNumberFormat="1" applyFont="1" applyFill="1" applyBorder="1" applyAlignment="1">
      <alignment horizontal="center"/>
    </xf>
    <xf numFmtId="2" fontId="0" fillId="0" borderId="4" xfId="0" applyNumberFormat="1" applyFill="1" applyBorder="1"/>
    <xf numFmtId="164" fontId="28" fillId="0" borderId="4" xfId="0" applyNumberFormat="1" applyFont="1" applyFill="1" applyBorder="1" applyAlignment="1">
      <alignment horizontal="center"/>
    </xf>
    <xf numFmtId="2" fontId="28" fillId="0" borderId="4" xfId="0" quotePrefix="1" applyNumberFormat="1" applyFont="1" applyFill="1" applyBorder="1" applyAlignment="1">
      <alignment horizontal="left"/>
    </xf>
    <xf numFmtId="0" fontId="0" fillId="0" borderId="2" xfId="0" applyFill="1" applyBorder="1" applyAlignment="1">
      <alignment horizontal="left"/>
    </xf>
    <xf numFmtId="0" fontId="0" fillId="0" borderId="2" xfId="0" applyFill="1" applyBorder="1"/>
    <xf numFmtId="2" fontId="0" fillId="0" borderId="4" xfId="0" applyNumberFormat="1" applyFill="1" applyBorder="1" applyAlignment="1">
      <alignment horizontal="center"/>
    </xf>
    <xf numFmtId="2" fontId="41" fillId="0" borderId="4" xfId="3" applyNumberFormat="1" applyFill="1" applyBorder="1" applyAlignment="1">
      <alignment horizontal="center"/>
    </xf>
    <xf numFmtId="1" fontId="32" fillId="0" borderId="4" xfId="0" applyNumberFormat="1" applyFont="1" applyFill="1" applyBorder="1" applyAlignment="1">
      <alignment horizontal="center"/>
    </xf>
    <xf numFmtId="1" fontId="28" fillId="0" borderId="4" xfId="0" applyNumberFormat="1" applyFont="1" applyFill="1" applyBorder="1" applyAlignment="1">
      <alignment horizontal="center"/>
    </xf>
    <xf numFmtId="1" fontId="31" fillId="0" borderId="4" xfId="0" applyNumberFormat="1" applyFont="1" applyFill="1" applyBorder="1" applyAlignment="1">
      <alignment horizontal="center"/>
    </xf>
    <xf numFmtId="2" fontId="33" fillId="0" borderId="0" xfId="2" quotePrefix="1" applyNumberFormat="1" applyFont="1" applyFill="1" applyAlignment="1">
      <alignment horizontal="center"/>
    </xf>
    <xf numFmtId="1" fontId="0" fillId="0" borderId="0" xfId="0" applyNumberFormat="1" applyFill="1"/>
    <xf numFmtId="0" fontId="31" fillId="0" borderId="0" xfId="0" applyFont="1" applyFill="1" applyAlignment="1">
      <alignment horizontal="center"/>
    </xf>
    <xf numFmtId="2" fontId="31" fillId="0" borderId="0" xfId="4" applyNumberFormat="1" applyFont="1" applyFill="1" applyAlignment="1">
      <alignment horizontal="center"/>
    </xf>
    <xf numFmtId="0" fontId="0" fillId="0" borderId="0" xfId="0" applyFill="1" applyAlignment="1">
      <alignment horizontal="center"/>
    </xf>
    <xf numFmtId="0" fontId="0" fillId="0" borderId="0" xfId="0" applyFill="1" applyAlignment="1">
      <alignment horizontal="left"/>
    </xf>
    <xf numFmtId="2" fontId="0" fillId="0" borderId="0" xfId="5" applyNumberFormat="1" applyFont="1" applyFill="1" applyAlignment="1">
      <alignment horizontal="center"/>
    </xf>
    <xf numFmtId="164" fontId="0" fillId="0" borderId="0" xfId="0" applyNumberFormat="1" applyFill="1"/>
    <xf numFmtId="2" fontId="31" fillId="0" borderId="0" xfId="6" applyNumberFormat="1" applyFont="1" applyFill="1"/>
    <xf numFmtId="0" fontId="35" fillId="0" borderId="0" xfId="0" applyFont="1" applyFill="1"/>
    <xf numFmtId="0" fontId="1" fillId="0" borderId="0" xfId="0" applyFont="1" applyFill="1"/>
    <xf numFmtId="0" fontId="1" fillId="0" borderId="7" xfId="0" applyFont="1" applyFill="1" applyBorder="1"/>
    <xf numFmtId="2" fontId="31" fillId="0" borderId="0" xfId="0" applyNumberFormat="1" applyFont="1" applyFill="1" applyAlignment="1">
      <alignment horizontal="center"/>
    </xf>
    <xf numFmtId="164" fontId="31" fillId="0" borderId="0" xfId="6" applyNumberFormat="1" applyFont="1" applyFill="1"/>
    <xf numFmtId="0" fontId="31" fillId="0" borderId="4" xfId="0" applyFont="1" applyFill="1" applyBorder="1" applyAlignment="1">
      <alignment horizontal="center"/>
    </xf>
    <xf numFmtId="2" fontId="31" fillId="0" borderId="4" xfId="4" applyNumberFormat="1" applyFont="1" applyFill="1" applyBorder="1" applyAlignment="1">
      <alignment horizontal="center"/>
    </xf>
    <xf numFmtId="0" fontId="0" fillId="0" borderId="4" xfId="0" applyFill="1" applyBorder="1" applyAlignment="1">
      <alignment horizontal="center"/>
    </xf>
    <xf numFmtId="2" fontId="33" fillId="0" borderId="4" xfId="2" quotePrefix="1" applyNumberFormat="1" applyFont="1" applyFill="1" applyBorder="1" applyAlignment="1">
      <alignment horizontal="center"/>
    </xf>
    <xf numFmtId="0" fontId="0" fillId="0" borderId="4" xfId="0" applyFill="1" applyBorder="1" applyAlignment="1">
      <alignment horizontal="left"/>
    </xf>
    <xf numFmtId="2" fontId="0" fillId="0" borderId="4" xfId="5" applyNumberFormat="1" applyFont="1" applyFill="1" applyBorder="1" applyAlignment="1">
      <alignment horizontal="center"/>
    </xf>
    <xf numFmtId="164" fontId="0" fillId="0" borderId="4" xfId="0" applyNumberFormat="1" applyFill="1" applyBorder="1"/>
    <xf numFmtId="2" fontId="31" fillId="0" borderId="4" xfId="6" applyNumberFormat="1" applyFont="1" applyFill="1" applyBorder="1"/>
    <xf numFmtId="0" fontId="35" fillId="0" borderId="4" xfId="0" applyFont="1" applyFill="1" applyBorder="1"/>
    <xf numFmtId="0" fontId="1" fillId="0" borderId="4" xfId="0" applyFont="1" applyFill="1" applyBorder="1"/>
    <xf numFmtId="0" fontId="1" fillId="0" borderId="2" xfId="0" applyFont="1" applyFill="1" applyBorder="1"/>
    <xf numFmtId="2" fontId="31" fillId="0" borderId="4" xfId="0" applyNumberFormat="1" applyFont="1" applyFill="1" applyBorder="1" applyAlignment="1">
      <alignment horizontal="center"/>
    </xf>
    <xf numFmtId="1" fontId="0" fillId="0" borderId="0" xfId="0" applyNumberFormat="1" applyFill="1" applyAlignment="1">
      <alignment horizontal="center"/>
    </xf>
    <xf numFmtId="0" fontId="32" fillId="0" borderId="0" xfId="0" applyFont="1" applyFill="1" applyAlignment="1">
      <alignment horizontal="center"/>
    </xf>
    <xf numFmtId="2" fontId="0" fillId="0" borderId="0" xfId="0" applyNumberFormat="1" applyFill="1" applyAlignment="1">
      <alignment horizontal="right"/>
    </xf>
    <xf numFmtId="0" fontId="34" fillId="0" borderId="0" xfId="0" applyFont="1" applyFill="1" applyAlignment="1">
      <alignment horizontal="left"/>
    </xf>
    <xf numFmtId="165" fontId="0" fillId="0" borderId="0" xfId="0" applyNumberFormat="1" applyFill="1"/>
    <xf numFmtId="2" fontId="28" fillId="0" borderId="0" xfId="0" quotePrefix="1" applyNumberFormat="1" applyFont="1" applyFill="1" applyAlignment="1">
      <alignment horizontal="center"/>
    </xf>
    <xf numFmtId="2" fontId="1" fillId="0" borderId="0" xfId="0" applyNumberFormat="1" applyFont="1" applyFill="1" applyAlignment="1">
      <alignment horizontal="right"/>
    </xf>
    <xf numFmtId="0" fontId="48" fillId="0" borderId="0" xfId="0" applyFont="1" applyFill="1" applyAlignment="1">
      <alignment horizontal="right"/>
    </xf>
    <xf numFmtId="0" fontId="49" fillId="0" borderId="0" xfId="0" applyFont="1" applyFill="1" applyAlignment="1">
      <alignment horizontal="center" wrapText="1"/>
    </xf>
    <xf numFmtId="0" fontId="42" fillId="0" borderId="0" xfId="0" applyFont="1" applyFill="1" applyAlignment="1">
      <alignment horizontal="center"/>
    </xf>
    <xf numFmtId="2" fontId="40" fillId="0" borderId="0" xfId="0" applyNumberFormat="1" applyFont="1" applyFill="1" applyAlignment="1">
      <alignment horizontal="right"/>
    </xf>
    <xf numFmtId="0" fontId="0" fillId="0" borderId="0" xfId="0" applyFill="1" applyAlignment="1">
      <alignment horizontal="right"/>
    </xf>
    <xf numFmtId="0" fontId="49" fillId="0" borderId="4" xfId="0" applyFont="1" applyFill="1" applyBorder="1" applyAlignment="1">
      <alignment horizontal="center" wrapText="1"/>
    </xf>
    <xf numFmtId="0" fontId="42" fillId="0" borderId="4" xfId="0" applyFont="1" applyFill="1" applyBorder="1" applyAlignment="1">
      <alignment horizontal="center"/>
    </xf>
    <xf numFmtId="0" fontId="34" fillId="0" borderId="4" xfId="0" applyFont="1" applyFill="1" applyBorder="1" applyAlignment="1">
      <alignment horizontal="left"/>
    </xf>
    <xf numFmtId="0" fontId="0" fillId="0" borderId="4" xfId="0" applyFill="1" applyBorder="1" applyAlignment="1">
      <alignment horizontal="right"/>
    </xf>
    <xf numFmtId="165" fontId="0" fillId="0" borderId="4" xfId="0" applyNumberFormat="1" applyFill="1" applyBorder="1"/>
    <xf numFmtId="1" fontId="0" fillId="0" borderId="4" xfId="0" applyNumberFormat="1" applyFill="1" applyBorder="1" applyAlignment="1">
      <alignment horizontal="center"/>
    </xf>
    <xf numFmtId="0" fontId="49" fillId="0" borderId="0" xfId="0" applyFont="1" applyFill="1" applyAlignment="1">
      <alignment horizontal="center"/>
    </xf>
    <xf numFmtId="166" fontId="0" fillId="0" borderId="0" xfId="0" applyNumberFormat="1" applyFill="1" applyAlignment="1">
      <alignment horizontal="center"/>
    </xf>
    <xf numFmtId="0" fontId="50" fillId="0" borderId="0" xfId="0" applyFont="1" applyFill="1"/>
    <xf numFmtId="0" fontId="51" fillId="0" borderId="0" xfId="0" applyFont="1" applyFill="1" applyAlignment="1">
      <alignment horizontal="center"/>
    </xf>
    <xf numFmtId="0" fontId="0" fillId="0" borderId="7" xfId="0" applyFill="1" applyBorder="1" applyAlignment="1">
      <alignment horizontal="right"/>
    </xf>
    <xf numFmtId="49" fontId="0" fillId="0" borderId="0" xfId="0" applyNumberFormat="1" applyFill="1" applyAlignment="1">
      <alignment horizontal="right"/>
    </xf>
    <xf numFmtId="2" fontId="52" fillId="0" borderId="16" xfId="0" applyNumberFormat="1" applyFont="1" applyFill="1" applyBorder="1" applyAlignment="1">
      <alignment horizontal="center"/>
    </xf>
    <xf numFmtId="0" fontId="53" fillId="0" borderId="0" xfId="0" applyFont="1" applyFill="1"/>
    <xf numFmtId="2" fontId="32" fillId="0" borderId="0" xfId="0" applyNumberFormat="1" applyFont="1" applyFill="1" applyAlignment="1">
      <alignment horizontal="center"/>
    </xf>
    <xf numFmtId="165" fontId="0" fillId="0" borderId="0" xfId="0" applyNumberFormat="1" applyFill="1" applyAlignment="1">
      <alignment horizontal="right"/>
    </xf>
    <xf numFmtId="2" fontId="52" fillId="0" borderId="0" xfId="0" applyNumberFormat="1" applyFont="1" applyFill="1" applyAlignment="1">
      <alignment horizontal="center"/>
    </xf>
    <xf numFmtId="0" fontId="50" fillId="0" borderId="7" xfId="0" applyFont="1" applyFill="1" applyBorder="1"/>
    <xf numFmtId="0" fontId="51" fillId="0" borderId="7" xfId="0" applyFont="1" applyFill="1" applyBorder="1" applyAlignment="1">
      <alignment horizontal="center"/>
    </xf>
    <xf numFmtId="165" fontId="0" fillId="0" borderId="7" xfId="0" applyNumberFormat="1" applyFill="1" applyBorder="1"/>
    <xf numFmtId="2" fontId="52" fillId="0" borderId="0" xfId="0" applyNumberFormat="1" applyFont="1" applyFill="1" applyAlignment="1">
      <alignment horizontal="center" vertical="center" wrapText="1"/>
    </xf>
    <xf numFmtId="2" fontId="52" fillId="0" borderId="0" xfId="0" applyNumberFormat="1" applyFont="1" applyFill="1" applyAlignment="1">
      <alignment horizontal="center" wrapText="1"/>
    </xf>
    <xf numFmtId="165" fontId="57" fillId="0" borderId="0" xfId="0" applyNumberFormat="1" applyFont="1" applyFill="1" applyAlignment="1">
      <alignment horizontal="right"/>
    </xf>
    <xf numFmtId="0" fontId="0" fillId="0" borderId="0" xfId="0" applyAlignment="1">
      <alignment horizontal="center"/>
    </xf>
    <xf numFmtId="0" fontId="60" fillId="0" borderId="0" xfId="0" applyFont="1"/>
    <xf numFmtId="0" fontId="0" fillId="0" borderId="2" xfId="0" applyBorder="1" applyAlignment="1">
      <alignment wrapText="1"/>
    </xf>
  </cellXfs>
  <cellStyles count="7">
    <cellStyle name="Hyperlink" xfId="1" builtinId="8"/>
    <cellStyle name="Normal" xfId="0" builtinId="0"/>
    <cellStyle name="Normal 2" xfId="3" xr:uid="{312DAFEF-08F5-374C-9F88-D21BCF12A2E0}"/>
    <cellStyle name="Normal 3" xfId="2" xr:uid="{9A5E3503-0477-FB41-8E16-8E8BB228DC8C}"/>
    <cellStyle name="Normal 4 2" xfId="5" xr:uid="{CD158CF0-F249-1640-A9D6-F03D333C29C4}"/>
    <cellStyle name="Normal 5" xfId="4" xr:uid="{46EEE6CE-E38C-504E-80FD-EB7C90E1C95E}"/>
    <cellStyle name="Normal 7" xfId="6" xr:uid="{56B2F694-4FD3-604B-B891-F5CF687CC0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eanagnostou@geomar.de" TargetMode="External"/><Relationship Id="rId21" Type="http://schemas.openxmlformats.org/officeDocument/2006/relationships/hyperlink" Target="mailto:eanagnostou@geomar.de" TargetMode="External"/><Relationship Id="rId63" Type="http://schemas.openxmlformats.org/officeDocument/2006/relationships/hyperlink" Target="mailto:eanagnostou@geomar.de" TargetMode="External"/><Relationship Id="rId159" Type="http://schemas.openxmlformats.org/officeDocument/2006/relationships/hyperlink" Target="mailto:eanagnostou@geomar.de" TargetMode="External"/><Relationship Id="rId170" Type="http://schemas.openxmlformats.org/officeDocument/2006/relationships/hyperlink" Target="mailto:eanagnostou@geomar.de" TargetMode="External"/><Relationship Id="rId226" Type="http://schemas.openxmlformats.org/officeDocument/2006/relationships/hyperlink" Target="mailto:eanagnostou@geomar.de" TargetMode="External"/><Relationship Id="rId268" Type="http://schemas.openxmlformats.org/officeDocument/2006/relationships/hyperlink" Target="mailto:eanagnostou@geomar.de" TargetMode="External"/><Relationship Id="rId11" Type="http://schemas.openxmlformats.org/officeDocument/2006/relationships/hyperlink" Target="mailto:eanagnostou@geomar.de" TargetMode="External"/><Relationship Id="rId32" Type="http://schemas.openxmlformats.org/officeDocument/2006/relationships/hyperlink" Target="mailto:eanagnostou@geomar.de" TargetMode="External"/><Relationship Id="rId53" Type="http://schemas.openxmlformats.org/officeDocument/2006/relationships/hyperlink" Target="mailto:eanagnostou@geomar.de" TargetMode="External"/><Relationship Id="rId74" Type="http://schemas.openxmlformats.org/officeDocument/2006/relationships/hyperlink" Target="mailto:eanagnostou@geomar.de" TargetMode="External"/><Relationship Id="rId128" Type="http://schemas.openxmlformats.org/officeDocument/2006/relationships/hyperlink" Target="mailto:eanagnostou@geomar.de" TargetMode="External"/><Relationship Id="rId149" Type="http://schemas.openxmlformats.org/officeDocument/2006/relationships/hyperlink" Target="mailto:eanagnostou@geomar.de" TargetMode="External"/><Relationship Id="rId5" Type="http://schemas.openxmlformats.org/officeDocument/2006/relationships/hyperlink" Target="mailto:eanagnostou@geomar.de" TargetMode="External"/><Relationship Id="rId95" Type="http://schemas.openxmlformats.org/officeDocument/2006/relationships/hyperlink" Target="mailto:eanagnostou@geomar.de" TargetMode="External"/><Relationship Id="rId160" Type="http://schemas.openxmlformats.org/officeDocument/2006/relationships/hyperlink" Target="mailto:eanagnostou@geomar.de" TargetMode="External"/><Relationship Id="rId181" Type="http://schemas.openxmlformats.org/officeDocument/2006/relationships/hyperlink" Target="mailto:eanagnostou@geomar.de" TargetMode="External"/><Relationship Id="rId216" Type="http://schemas.openxmlformats.org/officeDocument/2006/relationships/hyperlink" Target="mailto:eanagnostou@geomar.de" TargetMode="External"/><Relationship Id="rId237" Type="http://schemas.openxmlformats.org/officeDocument/2006/relationships/hyperlink" Target="mailto:eanagnostou@geomar.de" TargetMode="External"/><Relationship Id="rId258" Type="http://schemas.openxmlformats.org/officeDocument/2006/relationships/hyperlink" Target="mailto:eanagnostou@geomar.de" TargetMode="External"/><Relationship Id="rId22" Type="http://schemas.openxmlformats.org/officeDocument/2006/relationships/hyperlink" Target="mailto:eanagnostou@geomar.de" TargetMode="External"/><Relationship Id="rId43" Type="http://schemas.openxmlformats.org/officeDocument/2006/relationships/hyperlink" Target="mailto:eanagnostou@geomar.de" TargetMode="External"/><Relationship Id="rId64" Type="http://schemas.openxmlformats.org/officeDocument/2006/relationships/hyperlink" Target="mailto:eanagnostou@geomar.de" TargetMode="External"/><Relationship Id="rId118" Type="http://schemas.openxmlformats.org/officeDocument/2006/relationships/hyperlink" Target="mailto:eanagnostou@geomar.de" TargetMode="External"/><Relationship Id="rId139" Type="http://schemas.openxmlformats.org/officeDocument/2006/relationships/hyperlink" Target="mailto:eanagnostou@geomar.de" TargetMode="External"/><Relationship Id="rId85" Type="http://schemas.openxmlformats.org/officeDocument/2006/relationships/hyperlink" Target="mailto:eanagnostou@geomar.de" TargetMode="External"/><Relationship Id="rId150" Type="http://schemas.openxmlformats.org/officeDocument/2006/relationships/hyperlink" Target="mailto:eanagnostou@geomar.de" TargetMode="External"/><Relationship Id="rId171" Type="http://schemas.openxmlformats.org/officeDocument/2006/relationships/hyperlink" Target="mailto:eanagnostou@geomar.de" TargetMode="External"/><Relationship Id="rId192" Type="http://schemas.openxmlformats.org/officeDocument/2006/relationships/hyperlink" Target="mailto:eanagnostou@geomar.de" TargetMode="External"/><Relationship Id="rId206" Type="http://schemas.openxmlformats.org/officeDocument/2006/relationships/hyperlink" Target="mailto:eanagnostou@geomar.de" TargetMode="External"/><Relationship Id="rId227" Type="http://schemas.openxmlformats.org/officeDocument/2006/relationships/hyperlink" Target="mailto:eanagnostou@geomar.de" TargetMode="External"/><Relationship Id="rId248" Type="http://schemas.openxmlformats.org/officeDocument/2006/relationships/hyperlink" Target="mailto:eanagnostou@geomar.de" TargetMode="External"/><Relationship Id="rId269" Type="http://schemas.openxmlformats.org/officeDocument/2006/relationships/vmlDrawing" Target="../drawings/vmlDrawing1.vml"/><Relationship Id="rId12" Type="http://schemas.openxmlformats.org/officeDocument/2006/relationships/hyperlink" Target="mailto:eanagnostou@geomar.de" TargetMode="External"/><Relationship Id="rId33" Type="http://schemas.openxmlformats.org/officeDocument/2006/relationships/hyperlink" Target="mailto:eanagnostou@geomar.de" TargetMode="External"/><Relationship Id="rId108" Type="http://schemas.openxmlformats.org/officeDocument/2006/relationships/hyperlink" Target="mailto:eanagnostou@geomar.de" TargetMode="External"/><Relationship Id="rId129" Type="http://schemas.openxmlformats.org/officeDocument/2006/relationships/hyperlink" Target="mailto:eanagnostou@geomar.de" TargetMode="External"/><Relationship Id="rId54" Type="http://schemas.openxmlformats.org/officeDocument/2006/relationships/hyperlink" Target="mailto:eanagnostou@geomar.de" TargetMode="External"/><Relationship Id="rId75" Type="http://schemas.openxmlformats.org/officeDocument/2006/relationships/hyperlink" Target="mailto:eanagnostou@geomar.de" TargetMode="External"/><Relationship Id="rId96" Type="http://schemas.openxmlformats.org/officeDocument/2006/relationships/hyperlink" Target="mailto:eanagnostou@geomar.de" TargetMode="External"/><Relationship Id="rId140" Type="http://schemas.openxmlformats.org/officeDocument/2006/relationships/hyperlink" Target="mailto:eanagnostou@geomar.de" TargetMode="External"/><Relationship Id="rId161" Type="http://schemas.openxmlformats.org/officeDocument/2006/relationships/hyperlink" Target="mailto:eanagnostou@geomar.de" TargetMode="External"/><Relationship Id="rId182" Type="http://schemas.openxmlformats.org/officeDocument/2006/relationships/hyperlink" Target="mailto:eanagnostou@geomar.de" TargetMode="External"/><Relationship Id="rId217" Type="http://schemas.openxmlformats.org/officeDocument/2006/relationships/hyperlink" Target="mailto:eanagnostou@geomar.de" TargetMode="External"/><Relationship Id="rId6" Type="http://schemas.openxmlformats.org/officeDocument/2006/relationships/hyperlink" Target="mailto:eanagnostou@geomar.de" TargetMode="External"/><Relationship Id="rId238" Type="http://schemas.openxmlformats.org/officeDocument/2006/relationships/hyperlink" Target="mailto:eanagnostou@geomar.de" TargetMode="External"/><Relationship Id="rId259" Type="http://schemas.openxmlformats.org/officeDocument/2006/relationships/hyperlink" Target="mailto:eanagnostou@geomar.de" TargetMode="External"/><Relationship Id="rId23" Type="http://schemas.openxmlformats.org/officeDocument/2006/relationships/hyperlink" Target="mailto:eanagnostou@geomar.de" TargetMode="External"/><Relationship Id="rId119" Type="http://schemas.openxmlformats.org/officeDocument/2006/relationships/hyperlink" Target="mailto:eanagnostou@geomar.de" TargetMode="External"/><Relationship Id="rId270" Type="http://schemas.openxmlformats.org/officeDocument/2006/relationships/comments" Target="../comments1.xml"/><Relationship Id="rId44" Type="http://schemas.openxmlformats.org/officeDocument/2006/relationships/hyperlink" Target="mailto:eanagnostou@geomar.de" TargetMode="External"/><Relationship Id="rId65" Type="http://schemas.openxmlformats.org/officeDocument/2006/relationships/hyperlink" Target="mailto:eanagnostou@geomar.de" TargetMode="External"/><Relationship Id="rId86" Type="http://schemas.openxmlformats.org/officeDocument/2006/relationships/hyperlink" Target="mailto:eanagnostou@geomar.de" TargetMode="External"/><Relationship Id="rId130" Type="http://schemas.openxmlformats.org/officeDocument/2006/relationships/hyperlink" Target="mailto:eanagnostou@geomar.de" TargetMode="External"/><Relationship Id="rId151" Type="http://schemas.openxmlformats.org/officeDocument/2006/relationships/hyperlink" Target="mailto:eanagnostou@geomar.de" TargetMode="External"/><Relationship Id="rId172" Type="http://schemas.openxmlformats.org/officeDocument/2006/relationships/hyperlink" Target="mailto:eanagnostou@geomar.de" TargetMode="External"/><Relationship Id="rId193" Type="http://schemas.openxmlformats.org/officeDocument/2006/relationships/hyperlink" Target="mailto:eanagnostou@geomar.de" TargetMode="External"/><Relationship Id="rId207" Type="http://schemas.openxmlformats.org/officeDocument/2006/relationships/hyperlink" Target="mailto:eanagnostou@geomar.de" TargetMode="External"/><Relationship Id="rId228" Type="http://schemas.openxmlformats.org/officeDocument/2006/relationships/hyperlink" Target="mailto:eanagnostou@geomar.de" TargetMode="External"/><Relationship Id="rId249" Type="http://schemas.openxmlformats.org/officeDocument/2006/relationships/hyperlink" Target="mailto:eanagnostou@geomar.de" TargetMode="External"/><Relationship Id="rId13" Type="http://schemas.openxmlformats.org/officeDocument/2006/relationships/hyperlink" Target="mailto:eanagnostou@geomar.de" TargetMode="External"/><Relationship Id="rId109" Type="http://schemas.openxmlformats.org/officeDocument/2006/relationships/hyperlink" Target="mailto:eanagnostou@geomar.de" TargetMode="External"/><Relationship Id="rId260" Type="http://schemas.openxmlformats.org/officeDocument/2006/relationships/hyperlink" Target="mailto:eanagnostou@geomar.de" TargetMode="External"/><Relationship Id="rId34" Type="http://schemas.openxmlformats.org/officeDocument/2006/relationships/hyperlink" Target="mailto:eanagnostou@geomar.de" TargetMode="External"/><Relationship Id="rId55" Type="http://schemas.openxmlformats.org/officeDocument/2006/relationships/hyperlink" Target="mailto:eanagnostou@geomar.de" TargetMode="External"/><Relationship Id="rId76" Type="http://schemas.openxmlformats.org/officeDocument/2006/relationships/hyperlink" Target="mailto:eanagnostou@geomar.de" TargetMode="External"/><Relationship Id="rId97" Type="http://schemas.openxmlformats.org/officeDocument/2006/relationships/hyperlink" Target="mailto:eanagnostou@geomar.de" TargetMode="External"/><Relationship Id="rId120" Type="http://schemas.openxmlformats.org/officeDocument/2006/relationships/hyperlink" Target="mailto:eanagnostou@geomar.de" TargetMode="External"/><Relationship Id="rId141" Type="http://schemas.openxmlformats.org/officeDocument/2006/relationships/hyperlink" Target="mailto:eanagnostou@geomar.de" TargetMode="External"/><Relationship Id="rId7" Type="http://schemas.openxmlformats.org/officeDocument/2006/relationships/hyperlink" Target="mailto:eanagnostou@geomar.de" TargetMode="External"/><Relationship Id="rId162" Type="http://schemas.openxmlformats.org/officeDocument/2006/relationships/hyperlink" Target="mailto:eanagnostou@geomar.de" TargetMode="External"/><Relationship Id="rId183" Type="http://schemas.openxmlformats.org/officeDocument/2006/relationships/hyperlink" Target="mailto:eanagnostou@geomar.de" TargetMode="External"/><Relationship Id="rId218" Type="http://schemas.openxmlformats.org/officeDocument/2006/relationships/hyperlink" Target="mailto:eanagnostou@geomar.de" TargetMode="External"/><Relationship Id="rId239" Type="http://schemas.openxmlformats.org/officeDocument/2006/relationships/hyperlink" Target="mailto:eanagnostou@geomar.de" TargetMode="External"/><Relationship Id="rId250" Type="http://schemas.openxmlformats.org/officeDocument/2006/relationships/hyperlink" Target="mailto:eanagnostou@geomar.de" TargetMode="External"/><Relationship Id="rId24" Type="http://schemas.openxmlformats.org/officeDocument/2006/relationships/hyperlink" Target="mailto:eanagnostou@geomar.de" TargetMode="External"/><Relationship Id="rId45" Type="http://schemas.openxmlformats.org/officeDocument/2006/relationships/hyperlink" Target="mailto:eanagnostou@geomar.de" TargetMode="External"/><Relationship Id="rId66" Type="http://schemas.openxmlformats.org/officeDocument/2006/relationships/hyperlink" Target="mailto:eanagnostou@geomar.de" TargetMode="External"/><Relationship Id="rId87" Type="http://schemas.openxmlformats.org/officeDocument/2006/relationships/hyperlink" Target="mailto:eanagnostou@geomar.de" TargetMode="External"/><Relationship Id="rId110" Type="http://schemas.openxmlformats.org/officeDocument/2006/relationships/hyperlink" Target="mailto:eanagnostou@geomar.de" TargetMode="External"/><Relationship Id="rId131" Type="http://schemas.openxmlformats.org/officeDocument/2006/relationships/hyperlink" Target="mailto:eanagnostou@geomar.de" TargetMode="External"/><Relationship Id="rId152" Type="http://schemas.openxmlformats.org/officeDocument/2006/relationships/hyperlink" Target="mailto:eanagnostou@geomar.de" TargetMode="External"/><Relationship Id="rId173" Type="http://schemas.openxmlformats.org/officeDocument/2006/relationships/hyperlink" Target="mailto:eanagnostou@geomar.de" TargetMode="External"/><Relationship Id="rId194" Type="http://schemas.openxmlformats.org/officeDocument/2006/relationships/hyperlink" Target="mailto:eanagnostou@geomar.de" TargetMode="External"/><Relationship Id="rId208" Type="http://schemas.openxmlformats.org/officeDocument/2006/relationships/hyperlink" Target="mailto:eanagnostou@geomar.de" TargetMode="External"/><Relationship Id="rId229" Type="http://schemas.openxmlformats.org/officeDocument/2006/relationships/hyperlink" Target="mailto:eanagnostou@geomar.de" TargetMode="External"/><Relationship Id="rId240" Type="http://schemas.openxmlformats.org/officeDocument/2006/relationships/hyperlink" Target="mailto:eanagnostou@geomar.de" TargetMode="External"/><Relationship Id="rId261" Type="http://schemas.openxmlformats.org/officeDocument/2006/relationships/hyperlink" Target="mailto:eanagnostou@geomar.de" TargetMode="External"/><Relationship Id="rId14" Type="http://schemas.openxmlformats.org/officeDocument/2006/relationships/hyperlink" Target="mailto:eanagnostou@geomar.de" TargetMode="External"/><Relationship Id="rId35" Type="http://schemas.openxmlformats.org/officeDocument/2006/relationships/hyperlink" Target="mailto:eanagnostou@geomar.de" TargetMode="External"/><Relationship Id="rId56" Type="http://schemas.openxmlformats.org/officeDocument/2006/relationships/hyperlink" Target="mailto:eanagnostou@geomar.de" TargetMode="External"/><Relationship Id="rId77" Type="http://schemas.openxmlformats.org/officeDocument/2006/relationships/hyperlink" Target="mailto:eanagnostou@geomar.de" TargetMode="External"/><Relationship Id="rId100" Type="http://schemas.openxmlformats.org/officeDocument/2006/relationships/hyperlink" Target="mailto:eanagnostou@geomar.de" TargetMode="External"/><Relationship Id="rId8" Type="http://schemas.openxmlformats.org/officeDocument/2006/relationships/hyperlink" Target="mailto:eanagnostou@geomar.de" TargetMode="External"/><Relationship Id="rId98" Type="http://schemas.openxmlformats.org/officeDocument/2006/relationships/hyperlink" Target="mailto:eanagnostou@geomar.de" TargetMode="External"/><Relationship Id="rId121" Type="http://schemas.openxmlformats.org/officeDocument/2006/relationships/hyperlink" Target="mailto:eanagnostou@geomar.de" TargetMode="External"/><Relationship Id="rId142" Type="http://schemas.openxmlformats.org/officeDocument/2006/relationships/hyperlink" Target="mailto:eanagnostou@geomar.de" TargetMode="External"/><Relationship Id="rId163" Type="http://schemas.openxmlformats.org/officeDocument/2006/relationships/hyperlink" Target="mailto:eanagnostou@geomar.de" TargetMode="External"/><Relationship Id="rId184" Type="http://schemas.openxmlformats.org/officeDocument/2006/relationships/hyperlink" Target="mailto:eanagnostou@geomar.de" TargetMode="External"/><Relationship Id="rId219" Type="http://schemas.openxmlformats.org/officeDocument/2006/relationships/hyperlink" Target="mailto:eanagnostou@geomar.de" TargetMode="External"/><Relationship Id="rId230" Type="http://schemas.openxmlformats.org/officeDocument/2006/relationships/hyperlink" Target="mailto:eanagnostou@geomar.de" TargetMode="External"/><Relationship Id="rId251" Type="http://schemas.openxmlformats.org/officeDocument/2006/relationships/hyperlink" Target="mailto:eanagnostou@geomar.de" TargetMode="External"/><Relationship Id="rId25" Type="http://schemas.openxmlformats.org/officeDocument/2006/relationships/hyperlink" Target="mailto:eanagnostou@geomar.de" TargetMode="External"/><Relationship Id="rId46" Type="http://schemas.openxmlformats.org/officeDocument/2006/relationships/hyperlink" Target="mailto:eanagnostou@geomar.de" TargetMode="External"/><Relationship Id="rId67" Type="http://schemas.openxmlformats.org/officeDocument/2006/relationships/hyperlink" Target="mailto:eanagnostou@geomar.de" TargetMode="External"/><Relationship Id="rId88" Type="http://schemas.openxmlformats.org/officeDocument/2006/relationships/hyperlink" Target="mailto:eanagnostou@geomar.de" TargetMode="External"/><Relationship Id="rId111" Type="http://schemas.openxmlformats.org/officeDocument/2006/relationships/hyperlink" Target="mailto:eanagnostou@geomar.de" TargetMode="External"/><Relationship Id="rId132" Type="http://schemas.openxmlformats.org/officeDocument/2006/relationships/hyperlink" Target="mailto:eanagnostou@geomar.de" TargetMode="External"/><Relationship Id="rId153" Type="http://schemas.openxmlformats.org/officeDocument/2006/relationships/hyperlink" Target="mailto:eanagnostou@geomar.de" TargetMode="External"/><Relationship Id="rId174" Type="http://schemas.openxmlformats.org/officeDocument/2006/relationships/hyperlink" Target="mailto:eanagnostou@geomar.de" TargetMode="External"/><Relationship Id="rId195" Type="http://schemas.openxmlformats.org/officeDocument/2006/relationships/hyperlink" Target="mailto:eanagnostou@geomar.de" TargetMode="External"/><Relationship Id="rId209" Type="http://schemas.openxmlformats.org/officeDocument/2006/relationships/hyperlink" Target="mailto:eanagnostou@geomar.de" TargetMode="External"/><Relationship Id="rId220" Type="http://schemas.openxmlformats.org/officeDocument/2006/relationships/hyperlink" Target="mailto:eanagnostou@geomar.de" TargetMode="External"/><Relationship Id="rId241" Type="http://schemas.openxmlformats.org/officeDocument/2006/relationships/hyperlink" Target="mailto:eanagnostou@geomar.de" TargetMode="External"/><Relationship Id="rId15" Type="http://schemas.openxmlformats.org/officeDocument/2006/relationships/hyperlink" Target="mailto:eanagnostou@geomar.de" TargetMode="External"/><Relationship Id="rId36" Type="http://schemas.openxmlformats.org/officeDocument/2006/relationships/hyperlink" Target="mailto:eanagnostou@geomar.de" TargetMode="External"/><Relationship Id="rId57" Type="http://schemas.openxmlformats.org/officeDocument/2006/relationships/hyperlink" Target="mailto:eanagnostou@geomar.de" TargetMode="External"/><Relationship Id="rId262" Type="http://schemas.openxmlformats.org/officeDocument/2006/relationships/hyperlink" Target="mailto:eanagnostou@geomar.de" TargetMode="External"/><Relationship Id="rId78" Type="http://schemas.openxmlformats.org/officeDocument/2006/relationships/hyperlink" Target="mailto:eanagnostou@geomar.de" TargetMode="External"/><Relationship Id="rId99" Type="http://schemas.openxmlformats.org/officeDocument/2006/relationships/hyperlink" Target="mailto:eanagnostou@geomar.de" TargetMode="External"/><Relationship Id="rId101" Type="http://schemas.openxmlformats.org/officeDocument/2006/relationships/hyperlink" Target="mailto:eanagnostou@geomar.de" TargetMode="External"/><Relationship Id="rId122" Type="http://schemas.openxmlformats.org/officeDocument/2006/relationships/hyperlink" Target="mailto:eanagnostou@geomar.de" TargetMode="External"/><Relationship Id="rId143" Type="http://schemas.openxmlformats.org/officeDocument/2006/relationships/hyperlink" Target="mailto:eanagnostou@geomar.de" TargetMode="External"/><Relationship Id="rId164" Type="http://schemas.openxmlformats.org/officeDocument/2006/relationships/hyperlink" Target="mailto:eanagnostou@geomar.de" TargetMode="External"/><Relationship Id="rId185" Type="http://schemas.openxmlformats.org/officeDocument/2006/relationships/hyperlink" Target="mailto:eanagnostou@geomar.de" TargetMode="External"/><Relationship Id="rId9" Type="http://schemas.openxmlformats.org/officeDocument/2006/relationships/hyperlink" Target="mailto:eanagnostou@geomar.de" TargetMode="External"/><Relationship Id="rId210" Type="http://schemas.openxmlformats.org/officeDocument/2006/relationships/hyperlink" Target="mailto:eanagnostou@geomar.de" TargetMode="External"/><Relationship Id="rId26" Type="http://schemas.openxmlformats.org/officeDocument/2006/relationships/hyperlink" Target="mailto:eanagnostou@geomar.de" TargetMode="External"/><Relationship Id="rId231" Type="http://schemas.openxmlformats.org/officeDocument/2006/relationships/hyperlink" Target="mailto:eanagnostou@geomar.de" TargetMode="External"/><Relationship Id="rId252" Type="http://schemas.openxmlformats.org/officeDocument/2006/relationships/hyperlink" Target="mailto:eanagnostou@geomar.de" TargetMode="External"/><Relationship Id="rId47" Type="http://schemas.openxmlformats.org/officeDocument/2006/relationships/hyperlink" Target="mailto:eanagnostou@geomar.de" TargetMode="External"/><Relationship Id="rId68" Type="http://schemas.openxmlformats.org/officeDocument/2006/relationships/hyperlink" Target="mailto:eanagnostou@geomar.de" TargetMode="External"/><Relationship Id="rId89" Type="http://schemas.openxmlformats.org/officeDocument/2006/relationships/hyperlink" Target="mailto:eanagnostou@geomar.de" TargetMode="External"/><Relationship Id="rId112" Type="http://schemas.openxmlformats.org/officeDocument/2006/relationships/hyperlink" Target="mailto:eanagnostou@geomar.de" TargetMode="External"/><Relationship Id="rId133" Type="http://schemas.openxmlformats.org/officeDocument/2006/relationships/hyperlink" Target="mailto:eanagnostou@geomar.de" TargetMode="External"/><Relationship Id="rId154" Type="http://schemas.openxmlformats.org/officeDocument/2006/relationships/hyperlink" Target="mailto:eanagnostou@geomar.de" TargetMode="External"/><Relationship Id="rId175" Type="http://schemas.openxmlformats.org/officeDocument/2006/relationships/hyperlink" Target="mailto:eanagnostou@geomar.de" TargetMode="External"/><Relationship Id="rId196" Type="http://schemas.openxmlformats.org/officeDocument/2006/relationships/hyperlink" Target="mailto:eanagnostou@geomar.de" TargetMode="External"/><Relationship Id="rId200" Type="http://schemas.openxmlformats.org/officeDocument/2006/relationships/hyperlink" Target="mailto:eanagnostou@geomar.de" TargetMode="External"/><Relationship Id="rId16" Type="http://schemas.openxmlformats.org/officeDocument/2006/relationships/hyperlink" Target="mailto:eanagnostou@geomar.de" TargetMode="External"/><Relationship Id="rId221" Type="http://schemas.openxmlformats.org/officeDocument/2006/relationships/hyperlink" Target="mailto:eanagnostou@geomar.de" TargetMode="External"/><Relationship Id="rId242" Type="http://schemas.openxmlformats.org/officeDocument/2006/relationships/hyperlink" Target="mailto:eanagnostou@geomar.de" TargetMode="External"/><Relationship Id="rId263" Type="http://schemas.openxmlformats.org/officeDocument/2006/relationships/hyperlink" Target="mailto:eanagnostou@geomar.de" TargetMode="External"/><Relationship Id="rId37" Type="http://schemas.openxmlformats.org/officeDocument/2006/relationships/hyperlink" Target="mailto:eanagnostou@geomar.de" TargetMode="External"/><Relationship Id="rId58" Type="http://schemas.openxmlformats.org/officeDocument/2006/relationships/hyperlink" Target="mailto:eanagnostou@geomar.de" TargetMode="External"/><Relationship Id="rId79" Type="http://schemas.openxmlformats.org/officeDocument/2006/relationships/hyperlink" Target="mailto:eanagnostou@geomar.de" TargetMode="External"/><Relationship Id="rId102" Type="http://schemas.openxmlformats.org/officeDocument/2006/relationships/hyperlink" Target="mailto:eanagnostou@geomar.de" TargetMode="External"/><Relationship Id="rId123" Type="http://schemas.openxmlformats.org/officeDocument/2006/relationships/hyperlink" Target="mailto:eanagnostou@geomar.de" TargetMode="External"/><Relationship Id="rId144" Type="http://schemas.openxmlformats.org/officeDocument/2006/relationships/hyperlink" Target="mailto:eanagnostou@geomar.de" TargetMode="External"/><Relationship Id="rId90" Type="http://schemas.openxmlformats.org/officeDocument/2006/relationships/hyperlink" Target="mailto:eanagnostou@geomar.de" TargetMode="External"/><Relationship Id="rId165" Type="http://schemas.openxmlformats.org/officeDocument/2006/relationships/hyperlink" Target="mailto:eanagnostou@geomar.de" TargetMode="External"/><Relationship Id="rId186" Type="http://schemas.openxmlformats.org/officeDocument/2006/relationships/hyperlink" Target="mailto:eanagnostou@geomar.de" TargetMode="External"/><Relationship Id="rId211" Type="http://schemas.openxmlformats.org/officeDocument/2006/relationships/hyperlink" Target="mailto:eanagnostou@geomar.de" TargetMode="External"/><Relationship Id="rId232" Type="http://schemas.openxmlformats.org/officeDocument/2006/relationships/hyperlink" Target="mailto:eanagnostou@geomar.de" TargetMode="External"/><Relationship Id="rId253" Type="http://schemas.openxmlformats.org/officeDocument/2006/relationships/hyperlink" Target="mailto:eanagnostou@geomar.de" TargetMode="External"/><Relationship Id="rId27" Type="http://schemas.openxmlformats.org/officeDocument/2006/relationships/hyperlink" Target="mailto:eanagnostou@geomar.de" TargetMode="External"/><Relationship Id="rId48" Type="http://schemas.openxmlformats.org/officeDocument/2006/relationships/hyperlink" Target="mailto:eanagnostou@geomar.de" TargetMode="External"/><Relationship Id="rId69" Type="http://schemas.openxmlformats.org/officeDocument/2006/relationships/hyperlink" Target="mailto:eanagnostou@geomar.de" TargetMode="External"/><Relationship Id="rId113" Type="http://schemas.openxmlformats.org/officeDocument/2006/relationships/hyperlink" Target="mailto:eanagnostou@geomar.de" TargetMode="External"/><Relationship Id="rId134" Type="http://schemas.openxmlformats.org/officeDocument/2006/relationships/hyperlink" Target="mailto:eanagnostou@geomar.de" TargetMode="External"/><Relationship Id="rId80" Type="http://schemas.openxmlformats.org/officeDocument/2006/relationships/hyperlink" Target="mailto:eanagnostou@geomar.de" TargetMode="External"/><Relationship Id="rId155" Type="http://schemas.openxmlformats.org/officeDocument/2006/relationships/hyperlink" Target="mailto:eanagnostou@geomar.de" TargetMode="External"/><Relationship Id="rId176" Type="http://schemas.openxmlformats.org/officeDocument/2006/relationships/hyperlink" Target="mailto:eanagnostou@geomar.de" TargetMode="External"/><Relationship Id="rId197" Type="http://schemas.openxmlformats.org/officeDocument/2006/relationships/hyperlink" Target="mailto:eanagnostou@geomar.de" TargetMode="External"/><Relationship Id="rId201" Type="http://schemas.openxmlformats.org/officeDocument/2006/relationships/hyperlink" Target="mailto:eanagnostou@geomar.de" TargetMode="External"/><Relationship Id="rId222" Type="http://schemas.openxmlformats.org/officeDocument/2006/relationships/hyperlink" Target="mailto:eanagnostou@geomar.de" TargetMode="External"/><Relationship Id="rId243" Type="http://schemas.openxmlformats.org/officeDocument/2006/relationships/hyperlink" Target="mailto:eanagnostou@geomar.de" TargetMode="External"/><Relationship Id="rId264" Type="http://schemas.openxmlformats.org/officeDocument/2006/relationships/hyperlink" Target="mailto:eanagnostou@geomar.de" TargetMode="External"/><Relationship Id="rId17" Type="http://schemas.openxmlformats.org/officeDocument/2006/relationships/hyperlink" Target="mailto:eanagnostou@geomar.de" TargetMode="External"/><Relationship Id="rId38" Type="http://schemas.openxmlformats.org/officeDocument/2006/relationships/hyperlink" Target="mailto:eanagnostou@geomar.de" TargetMode="External"/><Relationship Id="rId59" Type="http://schemas.openxmlformats.org/officeDocument/2006/relationships/hyperlink" Target="mailto:eanagnostou@geomar.de" TargetMode="External"/><Relationship Id="rId103" Type="http://schemas.openxmlformats.org/officeDocument/2006/relationships/hyperlink" Target="mailto:eanagnostou@geomar.de" TargetMode="External"/><Relationship Id="rId124" Type="http://schemas.openxmlformats.org/officeDocument/2006/relationships/hyperlink" Target="mailto:eanagnostou@geomar.de" TargetMode="External"/><Relationship Id="rId70" Type="http://schemas.openxmlformats.org/officeDocument/2006/relationships/hyperlink" Target="mailto:eanagnostou@geomar.de" TargetMode="External"/><Relationship Id="rId91" Type="http://schemas.openxmlformats.org/officeDocument/2006/relationships/hyperlink" Target="mailto:eanagnostou@geomar.de" TargetMode="External"/><Relationship Id="rId145" Type="http://schemas.openxmlformats.org/officeDocument/2006/relationships/hyperlink" Target="mailto:eanagnostou@geomar.de" TargetMode="External"/><Relationship Id="rId166" Type="http://schemas.openxmlformats.org/officeDocument/2006/relationships/hyperlink" Target="mailto:eanagnostou@geomar.de" TargetMode="External"/><Relationship Id="rId187" Type="http://schemas.openxmlformats.org/officeDocument/2006/relationships/hyperlink" Target="mailto:eanagnostou@geomar.de" TargetMode="External"/><Relationship Id="rId1" Type="http://schemas.openxmlformats.org/officeDocument/2006/relationships/hyperlink" Target="mailto:eanagnostou@geomar.de" TargetMode="External"/><Relationship Id="rId212" Type="http://schemas.openxmlformats.org/officeDocument/2006/relationships/hyperlink" Target="mailto:eanagnostou@geomar.de" TargetMode="External"/><Relationship Id="rId233" Type="http://schemas.openxmlformats.org/officeDocument/2006/relationships/hyperlink" Target="mailto:eanagnostou@geomar.de" TargetMode="External"/><Relationship Id="rId254" Type="http://schemas.openxmlformats.org/officeDocument/2006/relationships/hyperlink" Target="mailto:eanagnostou@geomar.de" TargetMode="External"/><Relationship Id="rId28" Type="http://schemas.openxmlformats.org/officeDocument/2006/relationships/hyperlink" Target="mailto:eanagnostou@geomar.de" TargetMode="External"/><Relationship Id="rId49" Type="http://schemas.openxmlformats.org/officeDocument/2006/relationships/hyperlink" Target="mailto:eanagnostou@geomar.de" TargetMode="External"/><Relationship Id="rId114" Type="http://schemas.openxmlformats.org/officeDocument/2006/relationships/hyperlink" Target="mailto:eanagnostou@geomar.de" TargetMode="External"/><Relationship Id="rId60" Type="http://schemas.openxmlformats.org/officeDocument/2006/relationships/hyperlink" Target="mailto:eanagnostou@geomar.de" TargetMode="External"/><Relationship Id="rId81" Type="http://schemas.openxmlformats.org/officeDocument/2006/relationships/hyperlink" Target="mailto:eanagnostou@geomar.de" TargetMode="External"/><Relationship Id="rId135" Type="http://schemas.openxmlformats.org/officeDocument/2006/relationships/hyperlink" Target="mailto:eanagnostou@geomar.de" TargetMode="External"/><Relationship Id="rId156" Type="http://schemas.openxmlformats.org/officeDocument/2006/relationships/hyperlink" Target="mailto:eanagnostou@geomar.de" TargetMode="External"/><Relationship Id="rId177" Type="http://schemas.openxmlformats.org/officeDocument/2006/relationships/hyperlink" Target="mailto:eanagnostou@geomar.de" TargetMode="External"/><Relationship Id="rId198" Type="http://schemas.openxmlformats.org/officeDocument/2006/relationships/hyperlink" Target="mailto:eanagnostou@geomar.de" TargetMode="External"/><Relationship Id="rId202" Type="http://schemas.openxmlformats.org/officeDocument/2006/relationships/hyperlink" Target="mailto:eanagnostou@geomar.de" TargetMode="External"/><Relationship Id="rId223" Type="http://schemas.openxmlformats.org/officeDocument/2006/relationships/hyperlink" Target="mailto:eanagnostou@geomar.de" TargetMode="External"/><Relationship Id="rId244" Type="http://schemas.openxmlformats.org/officeDocument/2006/relationships/hyperlink" Target="mailto:eanagnostou@geomar.de" TargetMode="External"/><Relationship Id="rId18" Type="http://schemas.openxmlformats.org/officeDocument/2006/relationships/hyperlink" Target="mailto:eanagnostou@geomar.de" TargetMode="External"/><Relationship Id="rId39" Type="http://schemas.openxmlformats.org/officeDocument/2006/relationships/hyperlink" Target="mailto:eanagnostou@geomar.de" TargetMode="External"/><Relationship Id="rId265" Type="http://schemas.openxmlformats.org/officeDocument/2006/relationships/hyperlink" Target="mailto:eanagnostou@geomar.de" TargetMode="External"/><Relationship Id="rId50" Type="http://schemas.openxmlformats.org/officeDocument/2006/relationships/hyperlink" Target="mailto:eanagnostou@geomar.de" TargetMode="External"/><Relationship Id="rId104" Type="http://schemas.openxmlformats.org/officeDocument/2006/relationships/hyperlink" Target="mailto:eanagnostou@geomar.de" TargetMode="External"/><Relationship Id="rId125" Type="http://schemas.openxmlformats.org/officeDocument/2006/relationships/hyperlink" Target="mailto:eanagnostou@geomar.de" TargetMode="External"/><Relationship Id="rId146" Type="http://schemas.openxmlformats.org/officeDocument/2006/relationships/hyperlink" Target="mailto:eanagnostou@geomar.de" TargetMode="External"/><Relationship Id="rId167" Type="http://schemas.openxmlformats.org/officeDocument/2006/relationships/hyperlink" Target="mailto:eanagnostou@geomar.de" TargetMode="External"/><Relationship Id="rId188" Type="http://schemas.openxmlformats.org/officeDocument/2006/relationships/hyperlink" Target="mailto:eanagnostou@geomar.de" TargetMode="External"/><Relationship Id="rId71" Type="http://schemas.openxmlformats.org/officeDocument/2006/relationships/hyperlink" Target="mailto:eanagnostou@geomar.de" TargetMode="External"/><Relationship Id="rId92" Type="http://schemas.openxmlformats.org/officeDocument/2006/relationships/hyperlink" Target="mailto:eanagnostou@geomar.de" TargetMode="External"/><Relationship Id="rId213" Type="http://schemas.openxmlformats.org/officeDocument/2006/relationships/hyperlink" Target="mailto:eanagnostou@geomar.de" TargetMode="External"/><Relationship Id="rId234" Type="http://schemas.openxmlformats.org/officeDocument/2006/relationships/hyperlink" Target="mailto:eanagnostou@geomar.de" TargetMode="External"/><Relationship Id="rId2" Type="http://schemas.openxmlformats.org/officeDocument/2006/relationships/hyperlink" Target="mailto:eanagnostou@geomar.de" TargetMode="External"/><Relationship Id="rId29" Type="http://schemas.openxmlformats.org/officeDocument/2006/relationships/hyperlink" Target="mailto:eanagnostou@geomar.de" TargetMode="External"/><Relationship Id="rId255" Type="http://schemas.openxmlformats.org/officeDocument/2006/relationships/hyperlink" Target="mailto:eanagnostou@geomar.de" TargetMode="External"/><Relationship Id="rId40" Type="http://schemas.openxmlformats.org/officeDocument/2006/relationships/hyperlink" Target="mailto:eanagnostou@geomar.de" TargetMode="External"/><Relationship Id="rId115" Type="http://schemas.openxmlformats.org/officeDocument/2006/relationships/hyperlink" Target="mailto:eanagnostou@geomar.de" TargetMode="External"/><Relationship Id="rId136" Type="http://schemas.openxmlformats.org/officeDocument/2006/relationships/hyperlink" Target="mailto:eanagnostou@geomar.de" TargetMode="External"/><Relationship Id="rId157" Type="http://schemas.openxmlformats.org/officeDocument/2006/relationships/hyperlink" Target="mailto:eanagnostou@geomar.de" TargetMode="External"/><Relationship Id="rId178" Type="http://schemas.openxmlformats.org/officeDocument/2006/relationships/hyperlink" Target="mailto:eanagnostou@geomar.de" TargetMode="External"/><Relationship Id="rId61" Type="http://schemas.openxmlformats.org/officeDocument/2006/relationships/hyperlink" Target="mailto:eanagnostou@geomar.de" TargetMode="External"/><Relationship Id="rId82" Type="http://schemas.openxmlformats.org/officeDocument/2006/relationships/hyperlink" Target="mailto:eanagnostou@geomar.de" TargetMode="External"/><Relationship Id="rId199" Type="http://schemas.openxmlformats.org/officeDocument/2006/relationships/hyperlink" Target="mailto:eanagnostou@geomar.de" TargetMode="External"/><Relationship Id="rId203" Type="http://schemas.openxmlformats.org/officeDocument/2006/relationships/hyperlink" Target="mailto:eanagnostou@geomar.de" TargetMode="External"/><Relationship Id="rId19" Type="http://schemas.openxmlformats.org/officeDocument/2006/relationships/hyperlink" Target="mailto:eanagnostou@geomar.de" TargetMode="External"/><Relationship Id="rId224" Type="http://schemas.openxmlformats.org/officeDocument/2006/relationships/hyperlink" Target="mailto:eanagnostou@geomar.de" TargetMode="External"/><Relationship Id="rId245" Type="http://schemas.openxmlformats.org/officeDocument/2006/relationships/hyperlink" Target="mailto:eanagnostou@geomar.de" TargetMode="External"/><Relationship Id="rId266" Type="http://schemas.openxmlformats.org/officeDocument/2006/relationships/hyperlink" Target="mailto:eanagnostou@geomar.de" TargetMode="External"/><Relationship Id="rId30" Type="http://schemas.openxmlformats.org/officeDocument/2006/relationships/hyperlink" Target="mailto:eanagnostou@geomar.de" TargetMode="External"/><Relationship Id="rId105" Type="http://schemas.openxmlformats.org/officeDocument/2006/relationships/hyperlink" Target="mailto:eanagnostou@geomar.de" TargetMode="External"/><Relationship Id="rId126" Type="http://schemas.openxmlformats.org/officeDocument/2006/relationships/hyperlink" Target="mailto:eanagnostou@geomar.de" TargetMode="External"/><Relationship Id="rId147" Type="http://schemas.openxmlformats.org/officeDocument/2006/relationships/hyperlink" Target="mailto:eanagnostou@geomar.de" TargetMode="External"/><Relationship Id="rId168" Type="http://schemas.openxmlformats.org/officeDocument/2006/relationships/hyperlink" Target="mailto:eanagnostou@geomar.de" TargetMode="External"/><Relationship Id="rId51" Type="http://schemas.openxmlformats.org/officeDocument/2006/relationships/hyperlink" Target="mailto:eanagnostou@geomar.de" TargetMode="External"/><Relationship Id="rId72" Type="http://schemas.openxmlformats.org/officeDocument/2006/relationships/hyperlink" Target="mailto:eanagnostou@geomar.de" TargetMode="External"/><Relationship Id="rId93" Type="http://schemas.openxmlformats.org/officeDocument/2006/relationships/hyperlink" Target="mailto:eanagnostou@geomar.de" TargetMode="External"/><Relationship Id="rId189" Type="http://schemas.openxmlformats.org/officeDocument/2006/relationships/hyperlink" Target="mailto:eanagnostou@geomar.de" TargetMode="External"/><Relationship Id="rId3" Type="http://schemas.openxmlformats.org/officeDocument/2006/relationships/hyperlink" Target="mailto:eanagnostou@geomar.de" TargetMode="External"/><Relationship Id="rId214" Type="http://schemas.openxmlformats.org/officeDocument/2006/relationships/hyperlink" Target="mailto:eanagnostou@geomar.de" TargetMode="External"/><Relationship Id="rId235" Type="http://schemas.openxmlformats.org/officeDocument/2006/relationships/hyperlink" Target="mailto:eanagnostou@geomar.de" TargetMode="External"/><Relationship Id="rId256" Type="http://schemas.openxmlformats.org/officeDocument/2006/relationships/hyperlink" Target="mailto:eanagnostou@geomar.de" TargetMode="External"/><Relationship Id="rId116" Type="http://schemas.openxmlformats.org/officeDocument/2006/relationships/hyperlink" Target="mailto:eanagnostou@geomar.de" TargetMode="External"/><Relationship Id="rId137" Type="http://schemas.openxmlformats.org/officeDocument/2006/relationships/hyperlink" Target="mailto:eanagnostou@geomar.de" TargetMode="External"/><Relationship Id="rId158" Type="http://schemas.openxmlformats.org/officeDocument/2006/relationships/hyperlink" Target="mailto:eanagnostou@geomar.de" TargetMode="External"/><Relationship Id="rId20" Type="http://schemas.openxmlformats.org/officeDocument/2006/relationships/hyperlink" Target="mailto:eanagnostou@geomar.de" TargetMode="External"/><Relationship Id="rId41" Type="http://schemas.openxmlformats.org/officeDocument/2006/relationships/hyperlink" Target="mailto:eanagnostou@geomar.de" TargetMode="External"/><Relationship Id="rId62" Type="http://schemas.openxmlformats.org/officeDocument/2006/relationships/hyperlink" Target="mailto:eanagnostou@geomar.de" TargetMode="External"/><Relationship Id="rId83" Type="http://schemas.openxmlformats.org/officeDocument/2006/relationships/hyperlink" Target="mailto:eanagnostou@geomar.de" TargetMode="External"/><Relationship Id="rId179" Type="http://schemas.openxmlformats.org/officeDocument/2006/relationships/hyperlink" Target="mailto:eanagnostou@geomar.de" TargetMode="External"/><Relationship Id="rId190" Type="http://schemas.openxmlformats.org/officeDocument/2006/relationships/hyperlink" Target="mailto:eanagnostou@geomar.de" TargetMode="External"/><Relationship Id="rId204" Type="http://schemas.openxmlformats.org/officeDocument/2006/relationships/hyperlink" Target="mailto:eanagnostou@geomar.de" TargetMode="External"/><Relationship Id="rId225" Type="http://schemas.openxmlformats.org/officeDocument/2006/relationships/hyperlink" Target="mailto:eanagnostou@geomar.de" TargetMode="External"/><Relationship Id="rId246" Type="http://schemas.openxmlformats.org/officeDocument/2006/relationships/hyperlink" Target="mailto:eanagnostou@geomar.de" TargetMode="External"/><Relationship Id="rId267" Type="http://schemas.openxmlformats.org/officeDocument/2006/relationships/hyperlink" Target="mailto:eanagnostou@geomar.de" TargetMode="External"/><Relationship Id="rId106" Type="http://schemas.openxmlformats.org/officeDocument/2006/relationships/hyperlink" Target="mailto:eanagnostou@geomar.de" TargetMode="External"/><Relationship Id="rId127" Type="http://schemas.openxmlformats.org/officeDocument/2006/relationships/hyperlink" Target="mailto:eanagnostou@geomar.de" TargetMode="External"/><Relationship Id="rId10" Type="http://schemas.openxmlformats.org/officeDocument/2006/relationships/hyperlink" Target="mailto:eanagnostou@geomar.de" TargetMode="External"/><Relationship Id="rId31" Type="http://schemas.openxmlformats.org/officeDocument/2006/relationships/hyperlink" Target="mailto:eanagnostou@geomar.de" TargetMode="External"/><Relationship Id="rId52" Type="http://schemas.openxmlformats.org/officeDocument/2006/relationships/hyperlink" Target="mailto:eanagnostou@geomar.de" TargetMode="External"/><Relationship Id="rId73" Type="http://schemas.openxmlformats.org/officeDocument/2006/relationships/hyperlink" Target="mailto:eanagnostou@geomar.de" TargetMode="External"/><Relationship Id="rId94" Type="http://schemas.openxmlformats.org/officeDocument/2006/relationships/hyperlink" Target="mailto:eanagnostou@geomar.de" TargetMode="External"/><Relationship Id="rId148" Type="http://schemas.openxmlformats.org/officeDocument/2006/relationships/hyperlink" Target="mailto:eanagnostou@geomar.de" TargetMode="External"/><Relationship Id="rId169" Type="http://schemas.openxmlformats.org/officeDocument/2006/relationships/hyperlink" Target="mailto:eanagnostou@geomar.de" TargetMode="External"/><Relationship Id="rId4" Type="http://schemas.openxmlformats.org/officeDocument/2006/relationships/hyperlink" Target="mailto:eanagnostou@geomar.de" TargetMode="External"/><Relationship Id="rId180" Type="http://schemas.openxmlformats.org/officeDocument/2006/relationships/hyperlink" Target="mailto:eanagnostou@geomar.de" TargetMode="External"/><Relationship Id="rId215" Type="http://schemas.openxmlformats.org/officeDocument/2006/relationships/hyperlink" Target="mailto:eanagnostou@geomar.de" TargetMode="External"/><Relationship Id="rId236" Type="http://schemas.openxmlformats.org/officeDocument/2006/relationships/hyperlink" Target="mailto:eanagnostou@geomar.de" TargetMode="External"/><Relationship Id="rId257" Type="http://schemas.openxmlformats.org/officeDocument/2006/relationships/hyperlink" Target="mailto:eanagnostou@geomar.de" TargetMode="External"/><Relationship Id="rId42" Type="http://schemas.openxmlformats.org/officeDocument/2006/relationships/hyperlink" Target="mailto:eanagnostou@geomar.de" TargetMode="External"/><Relationship Id="rId84" Type="http://schemas.openxmlformats.org/officeDocument/2006/relationships/hyperlink" Target="mailto:eanagnostou@geomar.de" TargetMode="External"/><Relationship Id="rId138" Type="http://schemas.openxmlformats.org/officeDocument/2006/relationships/hyperlink" Target="mailto:eanagnostou@geomar.de" TargetMode="External"/><Relationship Id="rId191" Type="http://schemas.openxmlformats.org/officeDocument/2006/relationships/hyperlink" Target="mailto:eanagnostou@geomar.de" TargetMode="External"/><Relationship Id="rId205" Type="http://schemas.openxmlformats.org/officeDocument/2006/relationships/hyperlink" Target="mailto:eanagnostou@geomar.de" TargetMode="External"/><Relationship Id="rId247" Type="http://schemas.openxmlformats.org/officeDocument/2006/relationships/hyperlink" Target="mailto:eanagnostou@geomar.de" TargetMode="External"/><Relationship Id="rId107" Type="http://schemas.openxmlformats.org/officeDocument/2006/relationships/hyperlink" Target="mailto:eanagnostou@geomar.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L271"/>
  <sheetViews>
    <sheetView tabSelected="1" topLeftCell="E1" workbookViewId="0">
      <selection activeCell="N3" sqref="N3:O3"/>
    </sheetView>
  </sheetViews>
  <sheetFormatPr baseColWidth="10" defaultColWidth="8.83203125" defaultRowHeight="15"/>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94"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94" ht="20">
      <c r="A2" s="1"/>
      <c r="B2" s="2"/>
      <c r="C2" s="2"/>
      <c r="D2" s="2"/>
      <c r="E2" s="2"/>
      <c r="F2" s="2"/>
      <c r="G2" s="2"/>
      <c r="H2" s="2"/>
      <c r="I2" s="2"/>
      <c r="J2" s="2"/>
      <c r="K2" s="2"/>
      <c r="L2" s="3"/>
      <c r="M2" s="4"/>
      <c r="N2" s="4"/>
      <c r="O2" s="4"/>
      <c r="P2" s="4"/>
      <c r="R2" s="5"/>
      <c r="S2" s="301"/>
      <c r="T2" s="301"/>
      <c r="U2" s="301"/>
      <c r="V2" s="301"/>
      <c r="W2" s="301"/>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94" ht="409.6">
      <c r="A3" s="6" t="s">
        <v>0</v>
      </c>
      <c r="B3" s="7" t="s">
        <v>1</v>
      </c>
      <c r="C3" s="8" t="s">
        <v>2</v>
      </c>
      <c r="D3" s="9" t="s">
        <v>3</v>
      </c>
      <c r="E3" s="9" t="s">
        <v>4</v>
      </c>
      <c r="F3" s="10" t="s">
        <v>5</v>
      </c>
      <c r="G3" s="10" t="s">
        <v>6</v>
      </c>
      <c r="H3" s="11" t="s">
        <v>7</v>
      </c>
      <c r="I3" s="11" t="s">
        <v>8</v>
      </c>
      <c r="J3" s="9" t="s">
        <v>173</v>
      </c>
      <c r="K3" s="11" t="s">
        <v>174</v>
      </c>
      <c r="L3" s="12" t="s">
        <v>183</v>
      </c>
      <c r="M3" s="13" t="s">
        <v>175</v>
      </c>
      <c r="N3" s="303" t="s">
        <v>582</v>
      </c>
      <c r="O3" s="303" t="s">
        <v>583</v>
      </c>
      <c r="P3" s="13" t="s">
        <v>176</v>
      </c>
      <c r="Q3" s="14" t="s">
        <v>177</v>
      </c>
      <c r="R3" s="15" t="s">
        <v>178</v>
      </c>
      <c r="S3" s="16" t="s">
        <v>179</v>
      </c>
      <c r="T3" s="13" t="s">
        <v>180</v>
      </c>
      <c r="U3" s="13" t="s">
        <v>9</v>
      </c>
      <c r="V3" s="13" t="s">
        <v>181</v>
      </c>
      <c r="W3" s="17" t="s">
        <v>182</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172</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169</v>
      </c>
      <c r="CV3" s="121" t="s">
        <v>170</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41" t="s">
        <v>133</v>
      </c>
      <c r="EU3" s="142" t="s">
        <v>134</v>
      </c>
      <c r="EV3" s="142" t="s">
        <v>135</v>
      </c>
      <c r="EW3" s="128" t="s">
        <v>136</v>
      </c>
      <c r="EX3" s="129" t="s">
        <v>62</v>
      </c>
      <c r="EY3" s="130" t="s">
        <v>167</v>
      </c>
      <c r="EZ3" s="131" t="s">
        <v>168</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171</v>
      </c>
      <c r="GC3" s="137" t="s">
        <v>161</v>
      </c>
    </row>
    <row r="4" spans="1:194" s="140" customFormat="1" ht="17">
      <c r="A4" s="140" t="s">
        <v>162</v>
      </c>
      <c r="B4" s="143" t="s">
        <v>163</v>
      </c>
      <c r="C4" s="140" t="s">
        <v>164</v>
      </c>
      <c r="D4" s="140" t="s">
        <v>165</v>
      </c>
      <c r="E4" s="140">
        <v>2020</v>
      </c>
      <c r="F4" t="s">
        <v>184</v>
      </c>
      <c r="G4" s="139">
        <v>40338</v>
      </c>
      <c r="H4" s="147">
        <f>0.0083*G4^(0.9482)</f>
        <v>193.29314398347202</v>
      </c>
      <c r="I4" s="147">
        <f>0.0083*G4^(0.9482)</f>
        <v>193.29314398347202</v>
      </c>
      <c r="J4" s="144">
        <v>1001.93186869551</v>
      </c>
      <c r="K4" s="144">
        <v>185.12128133669989</v>
      </c>
      <c r="L4" s="144">
        <v>162.55245806224309</v>
      </c>
      <c r="M4" s="140" t="b">
        <v>1</v>
      </c>
      <c r="N4" s="140">
        <v>1</v>
      </c>
      <c r="O4" s="302" t="s">
        <v>581</v>
      </c>
      <c r="P4" s="140" t="s">
        <v>166</v>
      </c>
      <c r="Q4" s="140" t="s">
        <v>166</v>
      </c>
      <c r="R4" s="140" t="s">
        <v>166</v>
      </c>
      <c r="S4" s="140" t="b">
        <v>1</v>
      </c>
      <c r="T4" s="140" t="b">
        <v>0</v>
      </c>
      <c r="U4" s="140" t="s">
        <v>166</v>
      </c>
      <c r="V4" s="140" t="b">
        <v>0</v>
      </c>
      <c r="W4" s="140" t="b">
        <v>0</v>
      </c>
      <c r="X4" s="140" t="s">
        <v>580</v>
      </c>
      <c r="Y4" s="148" t="s">
        <v>186</v>
      </c>
      <c r="Z4" t="s">
        <v>184</v>
      </c>
      <c r="AA4" s="149">
        <v>1260</v>
      </c>
      <c r="AB4" s="149" t="s">
        <v>187</v>
      </c>
      <c r="AC4" s="149">
        <v>6</v>
      </c>
      <c r="AD4" s="149">
        <v>6</v>
      </c>
      <c r="AE4">
        <v>45.5</v>
      </c>
      <c r="AF4">
        <v>49</v>
      </c>
      <c r="AG4" s="150">
        <v>45.655000000000001</v>
      </c>
      <c r="AH4" t="s">
        <v>166</v>
      </c>
      <c r="AI4" t="s">
        <v>166</v>
      </c>
      <c r="AJ4" t="s">
        <v>188</v>
      </c>
      <c r="AK4">
        <v>9.2658000000000005</v>
      </c>
      <c r="AL4">
        <v>-54.543900000000001</v>
      </c>
      <c r="AM4">
        <v>0.77570450305938721</v>
      </c>
      <c r="AN4" t="s">
        <v>166</v>
      </c>
      <c r="AO4">
        <v>-2549</v>
      </c>
      <c r="AP4">
        <v>-2500</v>
      </c>
      <c r="AQ4" t="s">
        <v>189</v>
      </c>
      <c r="AR4" t="s">
        <v>166</v>
      </c>
      <c r="AS4" s="150">
        <v>40.338000000000001</v>
      </c>
      <c r="AT4" t="s">
        <v>166</v>
      </c>
      <c r="AU4" t="s">
        <v>166</v>
      </c>
      <c r="AV4" t="s">
        <v>166</v>
      </c>
      <c r="AW4" t="s">
        <v>166</v>
      </c>
      <c r="AX4" t="s">
        <v>166</v>
      </c>
      <c r="AY4" t="s">
        <v>190</v>
      </c>
      <c r="AZ4" t="s">
        <v>166</v>
      </c>
      <c r="BA4" t="s">
        <v>166</v>
      </c>
      <c r="BB4" t="s">
        <v>166</v>
      </c>
      <c r="BC4" t="s">
        <v>166</v>
      </c>
      <c r="BD4" t="s">
        <v>166</v>
      </c>
      <c r="BE4" t="s">
        <v>166</v>
      </c>
      <c r="BF4" t="s">
        <v>166</v>
      </c>
      <c r="BG4" s="151" t="s">
        <v>191</v>
      </c>
      <c r="BH4" s="149" t="s">
        <v>192</v>
      </c>
      <c r="BI4" t="s">
        <v>166</v>
      </c>
      <c r="BJ4" s="152" t="s">
        <v>166</v>
      </c>
      <c r="BK4" t="s">
        <v>193</v>
      </c>
      <c r="BL4" t="s">
        <v>194</v>
      </c>
      <c r="BM4" t="s">
        <v>195</v>
      </c>
      <c r="BN4" t="s">
        <v>166</v>
      </c>
      <c r="BO4" t="s">
        <v>166</v>
      </c>
      <c r="BP4" t="s">
        <v>166</v>
      </c>
      <c r="BQ4" s="150">
        <v>14.952972660962072</v>
      </c>
      <c r="BR4" t="s">
        <v>196</v>
      </c>
      <c r="BS4" s="150">
        <v>0.22670421452514466</v>
      </c>
      <c r="BT4">
        <v>1</v>
      </c>
      <c r="BU4" t="s">
        <v>197</v>
      </c>
      <c r="BV4" t="s">
        <v>166</v>
      </c>
      <c r="BW4">
        <v>0</v>
      </c>
      <c r="BX4" t="s">
        <v>197</v>
      </c>
      <c r="BY4" t="s">
        <v>166</v>
      </c>
      <c r="BZ4" t="s">
        <v>198</v>
      </c>
      <c r="CA4" t="s">
        <v>166</v>
      </c>
      <c r="CB4" s="150">
        <v>14.952972660962072</v>
      </c>
      <c r="CC4" t="s">
        <v>196</v>
      </c>
      <c r="CD4" s="150">
        <v>0.22670421452514466</v>
      </c>
      <c r="CE4" t="s">
        <v>199</v>
      </c>
      <c r="CF4" t="s">
        <v>166</v>
      </c>
      <c r="CG4" t="s">
        <v>200</v>
      </c>
      <c r="CH4" t="s">
        <v>166</v>
      </c>
      <c r="CI4" t="s">
        <v>166</v>
      </c>
      <c r="CJ4" s="139">
        <v>35.729069323294929</v>
      </c>
      <c r="CK4" t="s">
        <v>201</v>
      </c>
      <c r="CL4">
        <v>2</v>
      </c>
      <c r="CM4">
        <v>2</v>
      </c>
      <c r="CN4" t="s">
        <v>166</v>
      </c>
      <c r="CO4" s="139">
        <v>4.0753380450668928</v>
      </c>
      <c r="CP4" t="s">
        <v>166</v>
      </c>
      <c r="CQ4" t="s">
        <v>166</v>
      </c>
      <c r="CR4" t="s">
        <v>166</v>
      </c>
      <c r="CS4" s="153" t="s">
        <v>202</v>
      </c>
      <c r="CT4" t="s">
        <v>203</v>
      </c>
      <c r="CU4">
        <v>2.2000000000000002</v>
      </c>
      <c r="CV4" t="s">
        <v>204</v>
      </c>
      <c r="CW4" t="s">
        <v>166</v>
      </c>
      <c r="CX4" t="s">
        <v>166</v>
      </c>
      <c r="CY4" t="s">
        <v>166</v>
      </c>
      <c r="CZ4" t="s">
        <v>166</v>
      </c>
      <c r="DA4" s="154" t="s">
        <v>166</v>
      </c>
      <c r="DB4" t="s">
        <v>166</v>
      </c>
      <c r="DC4" t="s">
        <v>166</v>
      </c>
      <c r="DD4" t="s">
        <v>166</v>
      </c>
      <c r="DE4" t="s">
        <v>166</v>
      </c>
      <c r="DF4" t="s">
        <v>205</v>
      </c>
      <c r="DG4">
        <v>35</v>
      </c>
      <c r="DH4" t="s">
        <v>201</v>
      </c>
      <c r="DI4">
        <v>1</v>
      </c>
      <c r="DJ4" t="s">
        <v>206</v>
      </c>
      <c r="DK4">
        <v>17</v>
      </c>
      <c r="DL4" t="s">
        <v>166</v>
      </c>
      <c r="DM4" t="s">
        <v>166</v>
      </c>
      <c r="DN4" t="s">
        <v>207</v>
      </c>
      <c r="DO4">
        <v>38</v>
      </c>
      <c r="DP4" t="s">
        <v>208</v>
      </c>
      <c r="DQ4">
        <v>3</v>
      </c>
      <c r="DR4" t="s">
        <v>209</v>
      </c>
      <c r="DS4" t="s">
        <v>166</v>
      </c>
      <c r="DT4" t="s">
        <v>166</v>
      </c>
      <c r="DU4" t="s">
        <v>166</v>
      </c>
      <c r="DV4" t="s">
        <v>166</v>
      </c>
      <c r="DW4">
        <v>432.6</v>
      </c>
      <c r="DX4" t="s">
        <v>166</v>
      </c>
      <c r="DY4" t="s">
        <v>166</v>
      </c>
      <c r="DZ4" t="s">
        <v>210</v>
      </c>
      <c r="EA4" t="s">
        <v>211</v>
      </c>
      <c r="EB4" t="s">
        <v>212</v>
      </c>
      <c r="EC4" t="s">
        <v>166</v>
      </c>
      <c r="ED4" t="s">
        <v>213</v>
      </c>
      <c r="EE4" s="155" t="s">
        <v>214</v>
      </c>
      <c r="EF4" s="155" t="s">
        <v>214</v>
      </c>
      <c r="EG4">
        <v>1.0271999999999999</v>
      </c>
      <c r="EH4" t="s">
        <v>215</v>
      </c>
      <c r="EI4" t="s">
        <v>215</v>
      </c>
      <c r="EJ4" t="s">
        <v>216</v>
      </c>
      <c r="EK4" t="s">
        <v>215</v>
      </c>
      <c r="EL4" t="s">
        <v>215</v>
      </c>
      <c r="EM4" t="s">
        <v>217</v>
      </c>
      <c r="EN4" s="156" t="s">
        <v>214</v>
      </c>
      <c r="EO4" s="156" t="s">
        <v>214</v>
      </c>
      <c r="EP4" s="156" t="s">
        <v>214</v>
      </c>
      <c r="EQ4" s="156" t="s">
        <v>214</v>
      </c>
      <c r="ER4" s="156"/>
      <c r="ES4" s="156"/>
      <c r="ET4" t="s">
        <v>218</v>
      </c>
      <c r="EU4" t="s">
        <v>219</v>
      </c>
      <c r="EV4" t="s">
        <v>213</v>
      </c>
      <c r="EW4" t="s">
        <v>166</v>
      </c>
      <c r="EX4" t="s">
        <v>166</v>
      </c>
      <c r="EY4" t="s">
        <v>166</v>
      </c>
      <c r="EZ4" t="s">
        <v>166</v>
      </c>
      <c r="FA4" s="157">
        <v>6.5</v>
      </c>
      <c r="FB4" t="s">
        <v>220</v>
      </c>
      <c r="FC4" s="157">
        <v>1</v>
      </c>
      <c r="FD4" s="157">
        <v>1</v>
      </c>
      <c r="FE4" s="150">
        <v>7.7080268363127704</v>
      </c>
      <c r="FF4" t="s">
        <v>221</v>
      </c>
      <c r="FG4" s="150">
        <v>3.1620513729479605E-2</v>
      </c>
      <c r="FH4" s="150">
        <v>3.3843006283020394E-2</v>
      </c>
      <c r="FI4" s="144">
        <v>1001.93186869551</v>
      </c>
      <c r="FJ4" t="s">
        <v>166</v>
      </c>
      <c r="FK4" t="s">
        <v>166</v>
      </c>
      <c r="FL4" s="144">
        <f>FI4</f>
        <v>1001.93186869551</v>
      </c>
      <c r="FM4" s="144">
        <v>185.12128133669989</v>
      </c>
      <c r="FN4" s="144">
        <v>162.55245806224309</v>
      </c>
      <c r="FO4" t="s">
        <v>222</v>
      </c>
      <c r="FP4" t="s">
        <v>223</v>
      </c>
      <c r="FQ4" s="144" t="s">
        <v>166</v>
      </c>
      <c r="FR4" s="144" t="s">
        <v>166</v>
      </c>
      <c r="FS4" s="144" t="s">
        <v>166</v>
      </c>
      <c r="FT4" s="144" t="s">
        <v>166</v>
      </c>
      <c r="FU4" s="144" t="s">
        <v>166</v>
      </c>
      <c r="FV4" s="144" t="s">
        <v>166</v>
      </c>
      <c r="FW4" s="144" t="s">
        <v>166</v>
      </c>
      <c r="FX4" s="144" t="s">
        <v>166</v>
      </c>
      <c r="FY4" s="144" t="s">
        <v>166</v>
      </c>
      <c r="FZ4" s="144" t="s">
        <v>166</v>
      </c>
      <c r="GA4" s="144" t="s">
        <v>166</v>
      </c>
      <c r="GB4" s="144" t="s">
        <v>166</v>
      </c>
      <c r="GC4" s="158" t="s">
        <v>224</v>
      </c>
      <c r="GD4"/>
      <c r="GE4"/>
      <c r="GF4"/>
      <c r="GG4"/>
      <c r="GH4"/>
      <c r="GI4"/>
      <c r="GJ4"/>
      <c r="GK4"/>
      <c r="GL4"/>
    </row>
    <row r="5" spans="1:194" s="140" customFormat="1" ht="17">
      <c r="A5" s="140" t="s">
        <v>162</v>
      </c>
      <c r="B5" s="143" t="s">
        <v>163</v>
      </c>
      <c r="C5" s="140" t="s">
        <v>164</v>
      </c>
      <c r="D5" s="140" t="s">
        <v>165</v>
      </c>
      <c r="E5" s="140">
        <v>2020</v>
      </c>
      <c r="F5" t="s">
        <v>184</v>
      </c>
      <c r="G5" s="139">
        <v>40933</v>
      </c>
      <c r="H5" s="147">
        <f t="shared" ref="H5" si="0">0.0083*G5^(0.9482)</f>
        <v>195.99557060194152</v>
      </c>
      <c r="I5" s="147">
        <f t="shared" ref="I5:I68" si="1">0.0083*G5^(0.9482)</f>
        <v>195.99557060194152</v>
      </c>
      <c r="J5" s="144">
        <v>918.96605358407999</v>
      </c>
      <c r="K5" s="144">
        <v>172.19268914595011</v>
      </c>
      <c r="L5" s="144">
        <v>158.44316085716594</v>
      </c>
      <c r="M5" s="140" t="b">
        <v>1</v>
      </c>
      <c r="N5" s="140">
        <v>1</v>
      </c>
      <c r="O5" s="302" t="s">
        <v>581</v>
      </c>
      <c r="P5" s="140" t="s">
        <v>166</v>
      </c>
      <c r="Q5" s="140" t="s">
        <v>166</v>
      </c>
      <c r="R5" s="140" t="s">
        <v>166</v>
      </c>
      <c r="S5" s="140" t="b">
        <v>1</v>
      </c>
      <c r="T5" s="140" t="b">
        <v>0</v>
      </c>
      <c r="U5" s="140" t="s">
        <v>166</v>
      </c>
      <c r="V5" s="140" t="b">
        <v>0</v>
      </c>
      <c r="W5" s="140" t="b">
        <v>0</v>
      </c>
      <c r="X5" s="140" t="s">
        <v>580</v>
      </c>
      <c r="Y5" s="148" t="s">
        <v>186</v>
      </c>
      <c r="Z5" t="s">
        <v>184</v>
      </c>
      <c r="AA5" s="149">
        <v>1260</v>
      </c>
      <c r="AB5" s="149" t="s">
        <v>187</v>
      </c>
      <c r="AC5" s="149">
        <v>8</v>
      </c>
      <c r="AD5" s="149">
        <v>3</v>
      </c>
      <c r="AE5">
        <v>8.5</v>
      </c>
      <c r="AF5">
        <v>12</v>
      </c>
      <c r="AG5" s="150">
        <v>60.284999999999997</v>
      </c>
      <c r="AH5">
        <v>60.78</v>
      </c>
      <c r="AI5" t="s">
        <v>225</v>
      </c>
      <c r="AJ5" t="s">
        <v>188</v>
      </c>
      <c r="AK5">
        <v>9.2658000000000005</v>
      </c>
      <c r="AL5">
        <v>-54.543900000000001</v>
      </c>
      <c r="AM5">
        <v>0.72601807117462158</v>
      </c>
      <c r="AN5" t="s">
        <v>166</v>
      </c>
      <c r="AO5">
        <v>-2549</v>
      </c>
      <c r="AP5">
        <v>-2500</v>
      </c>
      <c r="AQ5" t="s">
        <v>189</v>
      </c>
      <c r="AR5" t="s">
        <v>166</v>
      </c>
      <c r="AS5" s="150">
        <v>40.933</v>
      </c>
      <c r="AT5" t="s">
        <v>166</v>
      </c>
      <c r="AU5" t="s">
        <v>166</v>
      </c>
      <c r="AV5" t="s">
        <v>166</v>
      </c>
      <c r="AW5" t="s">
        <v>166</v>
      </c>
      <c r="AX5" t="s">
        <v>166</v>
      </c>
      <c r="AY5" t="s">
        <v>190</v>
      </c>
      <c r="AZ5" t="s">
        <v>166</v>
      </c>
      <c r="BA5" t="s">
        <v>166</v>
      </c>
      <c r="BB5" t="s">
        <v>166</v>
      </c>
      <c r="BC5" t="s">
        <v>166</v>
      </c>
      <c r="BD5" t="s">
        <v>166</v>
      </c>
      <c r="BE5" t="s">
        <v>166</v>
      </c>
      <c r="BF5" t="s">
        <v>166</v>
      </c>
      <c r="BG5" s="151" t="s">
        <v>191</v>
      </c>
      <c r="BH5" s="149" t="s">
        <v>192</v>
      </c>
      <c r="BI5" t="s">
        <v>166</v>
      </c>
      <c r="BJ5" s="152" t="s">
        <v>166</v>
      </c>
      <c r="BK5" t="s">
        <v>226</v>
      </c>
      <c r="BL5" t="s">
        <v>194</v>
      </c>
      <c r="BM5" t="s">
        <v>195</v>
      </c>
      <c r="BN5" t="s">
        <v>166</v>
      </c>
      <c r="BO5" t="s">
        <v>166</v>
      </c>
      <c r="BP5" t="s">
        <v>166</v>
      </c>
      <c r="BQ5" s="150">
        <v>15.097712274653396</v>
      </c>
      <c r="BR5" t="s">
        <v>196</v>
      </c>
      <c r="BS5" s="150">
        <v>0.19865963951902113</v>
      </c>
      <c r="BT5">
        <v>1</v>
      </c>
      <c r="BU5" t="s">
        <v>197</v>
      </c>
      <c r="BV5" t="s">
        <v>166</v>
      </c>
      <c r="BW5">
        <v>0</v>
      </c>
      <c r="BX5" t="s">
        <v>197</v>
      </c>
      <c r="BY5" t="s">
        <v>166</v>
      </c>
      <c r="BZ5" t="s">
        <v>198</v>
      </c>
      <c r="CA5" t="s">
        <v>166</v>
      </c>
      <c r="CB5" s="150">
        <v>15.097712274653396</v>
      </c>
      <c r="CC5" t="s">
        <v>196</v>
      </c>
      <c r="CD5" s="150">
        <v>0.19865963951902113</v>
      </c>
      <c r="CE5" t="s">
        <v>199</v>
      </c>
      <c r="CF5" t="s">
        <v>166</v>
      </c>
      <c r="CG5" t="s">
        <v>200</v>
      </c>
      <c r="CH5" t="s">
        <v>166</v>
      </c>
      <c r="CI5" t="s">
        <v>166</v>
      </c>
      <c r="CJ5" s="139">
        <v>35.279603539536076</v>
      </c>
      <c r="CK5" t="s">
        <v>201</v>
      </c>
      <c r="CL5">
        <v>2</v>
      </c>
      <c r="CM5">
        <v>2</v>
      </c>
      <c r="CN5" t="s">
        <v>166</v>
      </c>
      <c r="CO5" s="139">
        <v>3.9733914902149139</v>
      </c>
      <c r="CP5" t="s">
        <v>166</v>
      </c>
      <c r="CQ5" t="s">
        <v>166</v>
      </c>
      <c r="CR5" t="s">
        <v>166</v>
      </c>
      <c r="CS5" s="153" t="s">
        <v>202</v>
      </c>
      <c r="CT5" t="s">
        <v>203</v>
      </c>
      <c r="CU5">
        <v>2.2000000000000002</v>
      </c>
      <c r="CV5" t="s">
        <v>204</v>
      </c>
      <c r="CW5" t="s">
        <v>166</v>
      </c>
      <c r="CX5" t="s">
        <v>166</v>
      </c>
      <c r="CY5" t="s">
        <v>166</v>
      </c>
      <c r="CZ5" t="s">
        <v>166</v>
      </c>
      <c r="DA5" s="154" t="s">
        <v>166</v>
      </c>
      <c r="DB5" t="s">
        <v>166</v>
      </c>
      <c r="DC5" t="s">
        <v>166</v>
      </c>
      <c r="DD5" t="s">
        <v>166</v>
      </c>
      <c r="DE5" t="s">
        <v>166</v>
      </c>
      <c r="DF5" t="s">
        <v>205</v>
      </c>
      <c r="DG5">
        <v>35</v>
      </c>
      <c r="DH5" t="s">
        <v>201</v>
      </c>
      <c r="DI5">
        <v>1</v>
      </c>
      <c r="DJ5" t="s">
        <v>206</v>
      </c>
      <c r="DK5">
        <v>17</v>
      </c>
      <c r="DL5" t="s">
        <v>166</v>
      </c>
      <c r="DM5" t="s">
        <v>166</v>
      </c>
      <c r="DN5" t="s">
        <v>207</v>
      </c>
      <c r="DO5">
        <v>38</v>
      </c>
      <c r="DP5" t="s">
        <v>208</v>
      </c>
      <c r="DQ5">
        <v>3</v>
      </c>
      <c r="DR5" t="s">
        <v>209</v>
      </c>
      <c r="DS5" t="s">
        <v>166</v>
      </c>
      <c r="DT5" t="s">
        <v>166</v>
      </c>
      <c r="DU5" t="s">
        <v>166</v>
      </c>
      <c r="DV5" t="s">
        <v>166</v>
      </c>
      <c r="DW5">
        <v>432.6</v>
      </c>
      <c r="DX5" t="s">
        <v>166</v>
      </c>
      <c r="DY5" t="s">
        <v>166</v>
      </c>
      <c r="DZ5" t="s">
        <v>210</v>
      </c>
      <c r="EA5" t="s">
        <v>211</v>
      </c>
      <c r="EB5" t="s">
        <v>212</v>
      </c>
      <c r="EC5" t="s">
        <v>166</v>
      </c>
      <c r="ED5" t="s">
        <v>213</v>
      </c>
      <c r="EE5" s="155" t="s">
        <v>214</v>
      </c>
      <c r="EF5" s="155" t="s">
        <v>214</v>
      </c>
      <c r="EG5">
        <v>1.0271999999999999</v>
      </c>
      <c r="EH5" t="s">
        <v>215</v>
      </c>
      <c r="EI5" t="s">
        <v>215</v>
      </c>
      <c r="EJ5" t="s">
        <v>216</v>
      </c>
      <c r="EK5" t="s">
        <v>215</v>
      </c>
      <c r="EL5" t="s">
        <v>215</v>
      </c>
      <c r="EM5" t="s">
        <v>217</v>
      </c>
      <c r="EN5" s="156" t="s">
        <v>214</v>
      </c>
      <c r="EO5" s="156" t="s">
        <v>214</v>
      </c>
      <c r="EP5" s="156" t="s">
        <v>214</v>
      </c>
      <c r="EQ5" s="156" t="s">
        <v>214</v>
      </c>
      <c r="ER5"/>
      <c r="ES5"/>
      <c r="ET5" t="s">
        <v>218</v>
      </c>
      <c r="EU5" t="s">
        <v>219</v>
      </c>
      <c r="EV5" t="s">
        <v>213</v>
      </c>
      <c r="EW5" t="s">
        <v>166</v>
      </c>
      <c r="EX5" t="s">
        <v>166</v>
      </c>
      <c r="EY5" t="s">
        <v>166</v>
      </c>
      <c r="EZ5" t="s">
        <v>166</v>
      </c>
      <c r="FA5" s="157">
        <v>6.5</v>
      </c>
      <c r="FB5" t="s">
        <v>220</v>
      </c>
      <c r="FC5" s="157">
        <v>1</v>
      </c>
      <c r="FD5" s="157">
        <v>1</v>
      </c>
      <c r="FE5" s="150">
        <v>7.7314705494986704</v>
      </c>
      <c r="FF5" t="s">
        <v>221</v>
      </c>
      <c r="FG5" s="150">
        <v>3.1169800422459204E-2</v>
      </c>
      <c r="FH5" s="150">
        <v>3.3676264049260496E-2</v>
      </c>
      <c r="FI5" s="144">
        <v>918.96605358407999</v>
      </c>
      <c r="FJ5" t="s">
        <v>166</v>
      </c>
      <c r="FK5" t="s">
        <v>166</v>
      </c>
      <c r="FL5" s="144">
        <f t="shared" ref="FL5:FL68" si="2">FI5</f>
        <v>918.96605358407999</v>
      </c>
      <c r="FM5" s="144">
        <v>172.19268914595011</v>
      </c>
      <c r="FN5" s="144">
        <v>158.44316085716594</v>
      </c>
      <c r="FO5" t="s">
        <v>222</v>
      </c>
      <c r="FP5" t="s">
        <v>223</v>
      </c>
      <c r="FQ5" s="144" t="s">
        <v>166</v>
      </c>
      <c r="FR5" s="144" t="s">
        <v>166</v>
      </c>
      <c r="FS5" s="144" t="s">
        <v>166</v>
      </c>
      <c r="FT5" s="144" t="s">
        <v>166</v>
      </c>
      <c r="FU5" s="144" t="s">
        <v>166</v>
      </c>
      <c r="FV5" s="144" t="s">
        <v>166</v>
      </c>
      <c r="FW5" s="144" t="s">
        <v>166</v>
      </c>
      <c r="FX5" s="144" t="s">
        <v>166</v>
      </c>
      <c r="FY5" s="144" t="s">
        <v>166</v>
      </c>
      <c r="FZ5" s="144" t="s">
        <v>166</v>
      </c>
      <c r="GA5" s="144" t="s">
        <v>166</v>
      </c>
      <c r="GB5" s="144" t="s">
        <v>166</v>
      </c>
      <c r="GC5" s="158" t="s">
        <v>224</v>
      </c>
      <c r="GD5"/>
      <c r="GE5"/>
      <c r="GF5"/>
      <c r="GG5"/>
      <c r="GH5"/>
      <c r="GI5"/>
      <c r="GJ5"/>
      <c r="GK5"/>
      <c r="GL5"/>
    </row>
    <row r="6" spans="1:194" s="140" customFormat="1" ht="17">
      <c r="A6" s="140" t="s">
        <v>162</v>
      </c>
      <c r="B6" s="143" t="s">
        <v>163</v>
      </c>
      <c r="C6" s="140" t="s">
        <v>164</v>
      </c>
      <c r="D6" s="140" t="s">
        <v>165</v>
      </c>
      <c r="E6" s="140">
        <v>2020</v>
      </c>
      <c r="F6" t="s">
        <v>184</v>
      </c>
      <c r="G6" s="139">
        <v>41796</v>
      </c>
      <c r="H6" s="147">
        <f t="shared" ref="H6" si="3">0.0083*G6^(0.9482)</f>
        <v>199.91161808664248</v>
      </c>
      <c r="I6" s="147">
        <f t="shared" si="1"/>
        <v>199.91161808664248</v>
      </c>
      <c r="J6" s="144">
        <v>790.98833805891604</v>
      </c>
      <c r="K6" s="144">
        <v>147.06934531537195</v>
      </c>
      <c r="L6" s="144">
        <v>134.69860544649998</v>
      </c>
      <c r="M6" s="140" t="b">
        <v>1</v>
      </c>
      <c r="N6" s="140">
        <v>1</v>
      </c>
      <c r="O6" s="302" t="s">
        <v>581</v>
      </c>
      <c r="P6" s="140" t="s">
        <v>166</v>
      </c>
      <c r="Q6" s="140" t="s">
        <v>166</v>
      </c>
      <c r="R6" s="140" t="s">
        <v>166</v>
      </c>
      <c r="S6" s="140" t="b">
        <v>1</v>
      </c>
      <c r="T6" s="140" t="b">
        <v>0</v>
      </c>
      <c r="U6" s="140" t="s">
        <v>166</v>
      </c>
      <c r="V6" s="140" t="b">
        <v>0</v>
      </c>
      <c r="W6" s="140" t="b">
        <v>0</v>
      </c>
      <c r="X6" s="140" t="s">
        <v>580</v>
      </c>
      <c r="Y6" s="148" t="s">
        <v>186</v>
      </c>
      <c r="Z6" t="s">
        <v>184</v>
      </c>
      <c r="AA6" s="149">
        <v>1260</v>
      </c>
      <c r="AB6" s="149" t="s">
        <v>187</v>
      </c>
      <c r="AC6" s="149">
        <v>10</v>
      </c>
      <c r="AD6" s="149">
        <v>4</v>
      </c>
      <c r="AE6">
        <v>58.5</v>
      </c>
      <c r="AF6">
        <v>62</v>
      </c>
      <c r="AG6" s="150">
        <v>81.685000000000002</v>
      </c>
      <c r="AH6" s="159">
        <v>81.864999999999995</v>
      </c>
      <c r="AI6" t="s">
        <v>225</v>
      </c>
      <c r="AJ6" t="s">
        <v>188</v>
      </c>
      <c r="AK6">
        <v>9.2658000000000005</v>
      </c>
      <c r="AL6">
        <v>-54.543900000000001</v>
      </c>
      <c r="AM6">
        <v>0.65395128726959229</v>
      </c>
      <c r="AN6" t="s">
        <v>166</v>
      </c>
      <c r="AO6">
        <v>-2549</v>
      </c>
      <c r="AP6">
        <v>-2500</v>
      </c>
      <c r="AQ6" t="s">
        <v>189</v>
      </c>
      <c r="AR6" t="s">
        <v>166</v>
      </c>
      <c r="AS6" s="150">
        <v>41.795999999999999</v>
      </c>
      <c r="AT6" t="s">
        <v>166</v>
      </c>
      <c r="AU6" t="s">
        <v>166</v>
      </c>
      <c r="AV6" t="s">
        <v>166</v>
      </c>
      <c r="AW6" t="s">
        <v>166</v>
      </c>
      <c r="AX6" t="s">
        <v>166</v>
      </c>
      <c r="AY6" t="s">
        <v>190</v>
      </c>
      <c r="AZ6" t="s">
        <v>166</v>
      </c>
      <c r="BA6" t="s">
        <v>166</v>
      </c>
      <c r="BB6" t="s">
        <v>166</v>
      </c>
      <c r="BC6" t="s">
        <v>166</v>
      </c>
      <c r="BD6" t="s">
        <v>166</v>
      </c>
      <c r="BE6" t="s">
        <v>166</v>
      </c>
      <c r="BF6" t="s">
        <v>166</v>
      </c>
      <c r="BG6" s="151" t="s">
        <v>191</v>
      </c>
      <c r="BH6" s="149" t="s">
        <v>192</v>
      </c>
      <c r="BI6" t="s">
        <v>166</v>
      </c>
      <c r="BJ6" s="152" t="s">
        <v>166</v>
      </c>
      <c r="BK6" t="s">
        <v>227</v>
      </c>
      <c r="BL6" t="s">
        <v>194</v>
      </c>
      <c r="BM6" t="s">
        <v>195</v>
      </c>
      <c r="BN6" t="s">
        <v>166</v>
      </c>
      <c r="BO6" t="s">
        <v>166</v>
      </c>
      <c r="BP6" t="s">
        <v>166</v>
      </c>
      <c r="BQ6" s="150">
        <v>15.278473219037192</v>
      </c>
      <c r="BR6" t="s">
        <v>196</v>
      </c>
      <c r="BS6" s="150">
        <v>0.22909597259734035</v>
      </c>
      <c r="BT6">
        <v>1</v>
      </c>
      <c r="BU6" t="s">
        <v>197</v>
      </c>
      <c r="BV6" t="s">
        <v>166</v>
      </c>
      <c r="BW6">
        <v>0</v>
      </c>
      <c r="BX6" t="s">
        <v>197</v>
      </c>
      <c r="BY6" t="s">
        <v>166</v>
      </c>
      <c r="BZ6" t="s">
        <v>198</v>
      </c>
      <c r="CA6" t="s">
        <v>166</v>
      </c>
      <c r="CB6" s="150">
        <v>15.278473219037192</v>
      </c>
      <c r="CC6" t="s">
        <v>196</v>
      </c>
      <c r="CD6" s="150">
        <v>0.22909597259734035</v>
      </c>
      <c r="CE6" t="s">
        <v>199</v>
      </c>
      <c r="CF6" t="s">
        <v>166</v>
      </c>
      <c r="CG6" t="s">
        <v>200</v>
      </c>
      <c r="CH6" t="s">
        <v>166</v>
      </c>
      <c r="CI6" t="s">
        <v>166</v>
      </c>
      <c r="CJ6" s="139">
        <v>32.66588976107856</v>
      </c>
      <c r="CK6" t="s">
        <v>201</v>
      </c>
      <c r="CL6">
        <v>2</v>
      </c>
      <c r="CM6">
        <v>2</v>
      </c>
      <c r="CN6" t="s">
        <v>166</v>
      </c>
      <c r="CO6" s="139">
        <v>3.4291096363853648</v>
      </c>
      <c r="CP6" t="s">
        <v>166</v>
      </c>
      <c r="CQ6" t="s">
        <v>166</v>
      </c>
      <c r="CR6" t="s">
        <v>166</v>
      </c>
      <c r="CS6" s="153" t="s">
        <v>202</v>
      </c>
      <c r="CT6" t="s">
        <v>203</v>
      </c>
      <c r="CU6">
        <v>2.2000000000000002</v>
      </c>
      <c r="CV6" t="s">
        <v>204</v>
      </c>
      <c r="CW6" t="s">
        <v>166</v>
      </c>
      <c r="CX6" t="s">
        <v>166</v>
      </c>
      <c r="CY6" t="s">
        <v>166</v>
      </c>
      <c r="CZ6" t="s">
        <v>166</v>
      </c>
      <c r="DA6" s="154" t="s">
        <v>166</v>
      </c>
      <c r="DB6" t="s">
        <v>166</v>
      </c>
      <c r="DC6" t="s">
        <v>166</v>
      </c>
      <c r="DD6" t="s">
        <v>166</v>
      </c>
      <c r="DE6" t="s">
        <v>166</v>
      </c>
      <c r="DF6" t="s">
        <v>205</v>
      </c>
      <c r="DG6">
        <v>35</v>
      </c>
      <c r="DH6" t="s">
        <v>201</v>
      </c>
      <c r="DI6">
        <v>1</v>
      </c>
      <c r="DJ6" t="s">
        <v>206</v>
      </c>
      <c r="DK6">
        <v>17</v>
      </c>
      <c r="DL6" t="s">
        <v>166</v>
      </c>
      <c r="DM6" t="s">
        <v>166</v>
      </c>
      <c r="DN6" t="s">
        <v>207</v>
      </c>
      <c r="DO6">
        <v>38</v>
      </c>
      <c r="DP6" t="s">
        <v>208</v>
      </c>
      <c r="DQ6">
        <v>3</v>
      </c>
      <c r="DR6" t="s">
        <v>209</v>
      </c>
      <c r="DS6" t="s">
        <v>166</v>
      </c>
      <c r="DT6" t="s">
        <v>166</v>
      </c>
      <c r="DU6" t="s">
        <v>166</v>
      </c>
      <c r="DV6" t="s">
        <v>166</v>
      </c>
      <c r="DW6">
        <v>432.6</v>
      </c>
      <c r="DX6" t="s">
        <v>166</v>
      </c>
      <c r="DY6" t="s">
        <v>166</v>
      </c>
      <c r="DZ6" t="s">
        <v>210</v>
      </c>
      <c r="EA6" t="s">
        <v>211</v>
      </c>
      <c r="EB6" t="s">
        <v>212</v>
      </c>
      <c r="EC6" t="s">
        <v>166</v>
      </c>
      <c r="ED6" t="s">
        <v>213</v>
      </c>
      <c r="EE6" s="155" t="s">
        <v>214</v>
      </c>
      <c r="EF6" s="155" t="s">
        <v>214</v>
      </c>
      <c r="EG6">
        <v>1.0271999999999999</v>
      </c>
      <c r="EH6" t="s">
        <v>215</v>
      </c>
      <c r="EI6" t="s">
        <v>215</v>
      </c>
      <c r="EJ6" t="s">
        <v>216</v>
      </c>
      <c r="EK6" t="s">
        <v>215</v>
      </c>
      <c r="EL6" t="s">
        <v>215</v>
      </c>
      <c r="EM6" t="s">
        <v>217</v>
      </c>
      <c r="EN6" s="156" t="s">
        <v>214</v>
      </c>
      <c r="EO6" s="156" t="s">
        <v>214</v>
      </c>
      <c r="EP6" s="156" t="s">
        <v>214</v>
      </c>
      <c r="EQ6" s="156" t="s">
        <v>214</v>
      </c>
      <c r="ER6"/>
      <c r="ES6"/>
      <c r="ET6" t="s">
        <v>218</v>
      </c>
      <c r="EU6" t="s">
        <v>219</v>
      </c>
      <c r="EV6" t="s">
        <v>213</v>
      </c>
      <c r="EW6" t="s">
        <v>166</v>
      </c>
      <c r="EX6" t="s">
        <v>166</v>
      </c>
      <c r="EY6" t="s">
        <v>166</v>
      </c>
      <c r="EZ6" t="s">
        <v>166</v>
      </c>
      <c r="FA6" s="157">
        <v>6.5</v>
      </c>
      <c r="FB6" t="s">
        <v>220</v>
      </c>
      <c r="FC6" s="157">
        <v>1</v>
      </c>
      <c r="FD6" s="157">
        <v>1</v>
      </c>
      <c r="FE6" s="150">
        <v>7.78204267724829</v>
      </c>
      <c r="FF6" t="s">
        <v>221</v>
      </c>
      <c r="FG6" s="150">
        <v>3.3448752717790242E-2</v>
      </c>
      <c r="FH6" s="150">
        <v>3.2079249514270103E-2</v>
      </c>
      <c r="FI6" s="144">
        <v>790.98833805891604</v>
      </c>
      <c r="FJ6" t="s">
        <v>166</v>
      </c>
      <c r="FK6" t="s">
        <v>166</v>
      </c>
      <c r="FL6" s="144">
        <f t="shared" si="2"/>
        <v>790.98833805891604</v>
      </c>
      <c r="FM6" s="144">
        <v>147.06934531537195</v>
      </c>
      <c r="FN6" s="144">
        <v>134.69860544649998</v>
      </c>
      <c r="FO6" t="s">
        <v>222</v>
      </c>
      <c r="FP6" t="s">
        <v>223</v>
      </c>
      <c r="FQ6" s="144" t="s">
        <v>166</v>
      </c>
      <c r="FR6" s="144" t="s">
        <v>166</v>
      </c>
      <c r="FS6" s="144" t="s">
        <v>166</v>
      </c>
      <c r="FT6" s="144" t="s">
        <v>166</v>
      </c>
      <c r="FU6" s="144" t="s">
        <v>166</v>
      </c>
      <c r="FV6" s="144" t="s">
        <v>166</v>
      </c>
      <c r="FW6" s="144" t="s">
        <v>166</v>
      </c>
      <c r="FX6" s="144" t="s">
        <v>166</v>
      </c>
      <c r="FY6" s="144" t="s">
        <v>166</v>
      </c>
      <c r="FZ6" s="144" t="s">
        <v>166</v>
      </c>
      <c r="GA6" s="144" t="s">
        <v>166</v>
      </c>
      <c r="GB6" s="144" t="s">
        <v>166</v>
      </c>
      <c r="GC6" s="158" t="s">
        <v>224</v>
      </c>
      <c r="GD6"/>
      <c r="GE6"/>
      <c r="GF6"/>
      <c r="GG6"/>
      <c r="GH6"/>
      <c r="GI6"/>
      <c r="GJ6"/>
      <c r="GK6"/>
      <c r="GL6"/>
    </row>
    <row r="7" spans="1:194" s="140" customFormat="1" ht="17">
      <c r="A7" s="140" t="s">
        <v>162</v>
      </c>
      <c r="B7" s="143" t="s">
        <v>163</v>
      </c>
      <c r="C7" s="140" t="s">
        <v>164</v>
      </c>
      <c r="D7" s="140" t="s">
        <v>165</v>
      </c>
      <c r="E7" s="140">
        <v>2020</v>
      </c>
      <c r="F7" t="s">
        <v>184</v>
      </c>
      <c r="G7" s="139">
        <v>43763</v>
      </c>
      <c r="H7" s="147">
        <f t="shared" ref="H7" si="4">0.0083*G7^(0.9482)</f>
        <v>208.82179810560385</v>
      </c>
      <c r="I7" s="147">
        <f t="shared" si="1"/>
        <v>208.82179810560385</v>
      </c>
      <c r="J7" s="144">
        <v>1018.5811530429401</v>
      </c>
      <c r="K7" s="144">
        <v>207.15527287870987</v>
      </c>
      <c r="L7" s="144">
        <v>181.82162560507106</v>
      </c>
      <c r="M7" s="140" t="b">
        <v>1</v>
      </c>
      <c r="N7" s="140">
        <v>1</v>
      </c>
      <c r="O7" s="302" t="s">
        <v>581</v>
      </c>
      <c r="P7" s="140" t="s">
        <v>166</v>
      </c>
      <c r="Q7" s="140" t="s">
        <v>166</v>
      </c>
      <c r="R7" s="140" t="s">
        <v>166</v>
      </c>
      <c r="S7" s="140" t="b">
        <v>1</v>
      </c>
      <c r="T7" s="140" t="b">
        <v>0</v>
      </c>
      <c r="U7" s="140" t="s">
        <v>166</v>
      </c>
      <c r="V7" s="140" t="b">
        <v>0</v>
      </c>
      <c r="W7" s="140" t="b">
        <v>0</v>
      </c>
      <c r="X7" s="140" t="s">
        <v>580</v>
      </c>
      <c r="Y7" s="148" t="s">
        <v>186</v>
      </c>
      <c r="Z7" t="s">
        <v>184</v>
      </c>
      <c r="AA7" s="149">
        <v>1260</v>
      </c>
      <c r="AB7" s="149" t="s">
        <v>187</v>
      </c>
      <c r="AC7" s="149">
        <v>15</v>
      </c>
      <c r="AD7" s="149">
        <v>4</v>
      </c>
      <c r="AE7">
        <v>98.5</v>
      </c>
      <c r="AF7">
        <v>102</v>
      </c>
      <c r="AG7" s="150">
        <v>130.38499999999999</v>
      </c>
      <c r="AH7">
        <v>130.91499999999999</v>
      </c>
      <c r="AI7" t="s">
        <v>225</v>
      </c>
      <c r="AJ7" t="s">
        <v>188</v>
      </c>
      <c r="AK7">
        <v>9.2658000000000005</v>
      </c>
      <c r="AL7">
        <v>-54.543900000000001</v>
      </c>
      <c r="AM7">
        <v>0.48969310522079468</v>
      </c>
      <c r="AN7" t="s">
        <v>166</v>
      </c>
      <c r="AO7">
        <v>-2549</v>
      </c>
      <c r="AP7">
        <v>-2500</v>
      </c>
      <c r="AQ7" t="s">
        <v>189</v>
      </c>
      <c r="AR7" t="s">
        <v>166</v>
      </c>
      <c r="AS7" s="150">
        <v>43.762999999999998</v>
      </c>
      <c r="AT7" t="s">
        <v>166</v>
      </c>
      <c r="AU7" t="s">
        <v>166</v>
      </c>
      <c r="AV7" t="s">
        <v>166</v>
      </c>
      <c r="AW7" t="s">
        <v>166</v>
      </c>
      <c r="AX7" t="s">
        <v>166</v>
      </c>
      <c r="AY7" t="s">
        <v>190</v>
      </c>
      <c r="AZ7" t="s">
        <v>166</v>
      </c>
      <c r="BA7" t="s">
        <v>166</v>
      </c>
      <c r="BB7" t="s">
        <v>166</v>
      </c>
      <c r="BC7" t="s">
        <v>166</v>
      </c>
      <c r="BD7" t="s">
        <v>166</v>
      </c>
      <c r="BE7" t="s">
        <v>166</v>
      </c>
      <c r="BF7" t="s">
        <v>166</v>
      </c>
      <c r="BG7" s="151" t="s">
        <v>191</v>
      </c>
      <c r="BH7" s="149" t="s">
        <v>192</v>
      </c>
      <c r="BI7" t="s">
        <v>166</v>
      </c>
      <c r="BJ7" s="152" t="s">
        <v>166</v>
      </c>
      <c r="BK7" t="s">
        <v>228</v>
      </c>
      <c r="BL7" t="s">
        <v>194</v>
      </c>
      <c r="BM7" t="s">
        <v>195</v>
      </c>
      <c r="BN7" t="s">
        <v>166</v>
      </c>
      <c r="BO7" t="s">
        <v>166</v>
      </c>
      <c r="BP7" t="s">
        <v>166</v>
      </c>
      <c r="BQ7" s="150">
        <v>14.91</v>
      </c>
      <c r="BR7" t="s">
        <v>196</v>
      </c>
      <c r="BS7" s="150">
        <v>0.26686638316877132</v>
      </c>
      <c r="BT7">
        <v>1</v>
      </c>
      <c r="BU7" t="s">
        <v>197</v>
      </c>
      <c r="BV7" t="s">
        <v>166</v>
      </c>
      <c r="BW7">
        <v>0</v>
      </c>
      <c r="BX7" t="s">
        <v>197</v>
      </c>
      <c r="BY7" t="s">
        <v>166</v>
      </c>
      <c r="BZ7" t="s">
        <v>198</v>
      </c>
      <c r="CA7" t="s">
        <v>166</v>
      </c>
      <c r="CB7" s="150">
        <v>14.91</v>
      </c>
      <c r="CC7" t="s">
        <v>196</v>
      </c>
      <c r="CD7" s="150">
        <v>0.26686638316877132</v>
      </c>
      <c r="CE7" t="s">
        <v>199</v>
      </c>
      <c r="CF7" t="s">
        <v>166</v>
      </c>
      <c r="CG7" t="s">
        <v>200</v>
      </c>
      <c r="CH7" t="s">
        <v>166</v>
      </c>
      <c r="CI7" t="s">
        <v>166</v>
      </c>
      <c r="CJ7" s="139">
        <v>35.134822513538104</v>
      </c>
      <c r="CK7" t="s">
        <v>201</v>
      </c>
      <c r="CL7">
        <v>2</v>
      </c>
      <c r="CM7">
        <v>2</v>
      </c>
      <c r="CN7" t="s">
        <v>166</v>
      </c>
      <c r="CO7" s="139">
        <v>3.9410988166858791</v>
      </c>
      <c r="CP7" t="s">
        <v>166</v>
      </c>
      <c r="CQ7" t="s">
        <v>166</v>
      </c>
      <c r="CR7" t="s">
        <v>166</v>
      </c>
      <c r="CS7" s="153" t="s">
        <v>202</v>
      </c>
      <c r="CT7" t="s">
        <v>203</v>
      </c>
      <c r="CU7">
        <v>2.2000000000000002</v>
      </c>
      <c r="CV7" t="s">
        <v>204</v>
      </c>
      <c r="CW7" t="s">
        <v>166</v>
      </c>
      <c r="CX7" t="s">
        <v>166</v>
      </c>
      <c r="CY7" t="s">
        <v>166</v>
      </c>
      <c r="CZ7" t="s">
        <v>166</v>
      </c>
      <c r="DA7" s="154" t="s">
        <v>166</v>
      </c>
      <c r="DB7" t="s">
        <v>166</v>
      </c>
      <c r="DC7" t="s">
        <v>166</v>
      </c>
      <c r="DD7" t="s">
        <v>166</v>
      </c>
      <c r="DE7" t="s">
        <v>166</v>
      </c>
      <c r="DF7" t="s">
        <v>205</v>
      </c>
      <c r="DG7">
        <v>35</v>
      </c>
      <c r="DH7" t="s">
        <v>201</v>
      </c>
      <c r="DI7">
        <v>1</v>
      </c>
      <c r="DJ7" t="s">
        <v>206</v>
      </c>
      <c r="DK7">
        <v>17</v>
      </c>
      <c r="DL7" t="s">
        <v>166</v>
      </c>
      <c r="DM7" t="s">
        <v>166</v>
      </c>
      <c r="DN7" t="s">
        <v>207</v>
      </c>
      <c r="DO7">
        <v>38</v>
      </c>
      <c r="DP7" t="s">
        <v>208</v>
      </c>
      <c r="DQ7">
        <v>3</v>
      </c>
      <c r="DR7" t="s">
        <v>209</v>
      </c>
      <c r="DS7" t="s">
        <v>166</v>
      </c>
      <c r="DT7" t="s">
        <v>166</v>
      </c>
      <c r="DU7" t="s">
        <v>166</v>
      </c>
      <c r="DV7" t="s">
        <v>166</v>
      </c>
      <c r="DW7">
        <v>432.6</v>
      </c>
      <c r="DX7" t="s">
        <v>166</v>
      </c>
      <c r="DY7" t="s">
        <v>166</v>
      </c>
      <c r="DZ7" t="s">
        <v>210</v>
      </c>
      <c r="EA7" t="s">
        <v>211</v>
      </c>
      <c r="EB7" t="s">
        <v>212</v>
      </c>
      <c r="EC7" t="s">
        <v>166</v>
      </c>
      <c r="ED7" t="s">
        <v>213</v>
      </c>
      <c r="EE7" s="155" t="s">
        <v>214</v>
      </c>
      <c r="EF7" s="155" t="s">
        <v>214</v>
      </c>
      <c r="EG7">
        <v>1.0271999999999999</v>
      </c>
      <c r="EH7" t="s">
        <v>215</v>
      </c>
      <c r="EI7" t="s">
        <v>215</v>
      </c>
      <c r="EJ7" t="s">
        <v>216</v>
      </c>
      <c r="EK7" t="s">
        <v>215</v>
      </c>
      <c r="EL7" t="s">
        <v>215</v>
      </c>
      <c r="EM7" t="s">
        <v>217</v>
      </c>
      <c r="EN7" s="156" t="s">
        <v>214</v>
      </c>
      <c r="EO7" s="156" t="s">
        <v>214</v>
      </c>
      <c r="EP7" s="156" t="s">
        <v>214</v>
      </c>
      <c r="EQ7" s="156" t="s">
        <v>214</v>
      </c>
      <c r="ER7"/>
      <c r="ES7"/>
      <c r="ET7" t="s">
        <v>218</v>
      </c>
      <c r="EU7" t="s">
        <v>219</v>
      </c>
      <c r="EV7" t="s">
        <v>213</v>
      </c>
      <c r="EW7" t="s">
        <v>166</v>
      </c>
      <c r="EX7" t="s">
        <v>166</v>
      </c>
      <c r="EY7" t="s">
        <v>166</v>
      </c>
      <c r="EZ7" t="s">
        <v>166</v>
      </c>
      <c r="FA7" s="157">
        <v>6.5</v>
      </c>
      <c r="FB7" t="s">
        <v>220</v>
      </c>
      <c r="FC7" s="157">
        <v>1</v>
      </c>
      <c r="FD7" s="157">
        <v>1</v>
      </c>
      <c r="FE7" s="150">
        <v>7.7097510755595398</v>
      </c>
      <c r="FF7" t="s">
        <v>221</v>
      </c>
      <c r="FG7" s="150">
        <v>3.5439335852270659E-2</v>
      </c>
      <c r="FH7" s="150">
        <v>3.6102258927130038E-2</v>
      </c>
      <c r="FI7" s="144">
        <v>1018.5811530429401</v>
      </c>
      <c r="FJ7" t="s">
        <v>166</v>
      </c>
      <c r="FK7" t="s">
        <v>166</v>
      </c>
      <c r="FL7" s="144">
        <f t="shared" si="2"/>
        <v>1018.5811530429401</v>
      </c>
      <c r="FM7" s="144">
        <v>207.15527287870987</v>
      </c>
      <c r="FN7" s="144">
        <v>181.82162560507106</v>
      </c>
      <c r="FO7" t="s">
        <v>222</v>
      </c>
      <c r="FP7" t="s">
        <v>223</v>
      </c>
      <c r="FQ7" s="144" t="s">
        <v>166</v>
      </c>
      <c r="FR7" s="144" t="s">
        <v>166</v>
      </c>
      <c r="FS7" s="144" t="s">
        <v>166</v>
      </c>
      <c r="FT7" s="144" t="s">
        <v>166</v>
      </c>
      <c r="FU7" s="144" t="s">
        <v>166</v>
      </c>
      <c r="FV7" s="144" t="s">
        <v>166</v>
      </c>
      <c r="FW7" s="144" t="s">
        <v>166</v>
      </c>
      <c r="FX7" s="144" t="s">
        <v>166</v>
      </c>
      <c r="FY7" s="144" t="s">
        <v>166</v>
      </c>
      <c r="FZ7" s="144" t="s">
        <v>166</v>
      </c>
      <c r="GA7" s="144" t="s">
        <v>166</v>
      </c>
      <c r="GB7" s="144" t="s">
        <v>166</v>
      </c>
      <c r="GC7" s="158" t="s">
        <v>224</v>
      </c>
      <c r="GD7"/>
      <c r="GE7"/>
      <c r="GF7"/>
      <c r="GG7"/>
      <c r="GH7"/>
      <c r="GI7"/>
      <c r="GJ7"/>
      <c r="GK7"/>
      <c r="GL7"/>
    </row>
    <row r="8" spans="1:194" s="140" customFormat="1" ht="17">
      <c r="A8" s="140" t="s">
        <v>162</v>
      </c>
      <c r="B8" s="143" t="s">
        <v>163</v>
      </c>
      <c r="C8" s="140" t="s">
        <v>164</v>
      </c>
      <c r="D8" s="140" t="s">
        <v>165</v>
      </c>
      <c r="E8" s="140">
        <v>2020</v>
      </c>
      <c r="F8" t="s">
        <v>184</v>
      </c>
      <c r="G8" s="139">
        <v>44825</v>
      </c>
      <c r="H8" s="147">
        <f t="shared" ref="H8" si="5">0.0083*G8^(0.9482)</f>
        <v>213.62380148103719</v>
      </c>
      <c r="I8" s="147">
        <f t="shared" si="1"/>
        <v>213.62380148103719</v>
      </c>
      <c r="J8" s="144">
        <v>927.03625086487807</v>
      </c>
      <c r="K8" s="144">
        <v>188.77723295879184</v>
      </c>
      <c r="L8" s="144">
        <v>148.51469375420106</v>
      </c>
      <c r="M8" s="140" t="b">
        <v>1</v>
      </c>
      <c r="N8" s="140">
        <v>1</v>
      </c>
      <c r="O8" s="302" t="s">
        <v>581</v>
      </c>
      <c r="P8" s="140" t="s">
        <v>166</v>
      </c>
      <c r="Q8" s="140" t="s">
        <v>166</v>
      </c>
      <c r="R8" s="140" t="s">
        <v>166</v>
      </c>
      <c r="S8" s="140" t="b">
        <v>1</v>
      </c>
      <c r="T8" s="140" t="b">
        <v>0</v>
      </c>
      <c r="U8" s="140" t="s">
        <v>166</v>
      </c>
      <c r="V8" s="140" t="b">
        <v>0</v>
      </c>
      <c r="W8" s="140" t="b">
        <v>0</v>
      </c>
      <c r="X8" s="140" t="s">
        <v>580</v>
      </c>
      <c r="Y8" s="148" t="s">
        <v>186</v>
      </c>
      <c r="Z8" t="s">
        <v>184</v>
      </c>
      <c r="AA8" s="149">
        <v>1260</v>
      </c>
      <c r="AB8" s="149" t="s">
        <v>187</v>
      </c>
      <c r="AC8" s="149">
        <v>17</v>
      </c>
      <c r="AD8" s="160">
        <v>3</v>
      </c>
      <c r="AE8">
        <v>58.5</v>
      </c>
      <c r="AF8">
        <v>62</v>
      </c>
      <c r="AG8" s="150">
        <v>147.785</v>
      </c>
      <c r="AH8" t="s">
        <v>166</v>
      </c>
      <c r="AI8" t="s">
        <v>166</v>
      </c>
      <c r="AJ8" t="s">
        <v>188</v>
      </c>
      <c r="AK8">
        <v>9.2658000000000005</v>
      </c>
      <c r="AL8">
        <v>-54.543900000000001</v>
      </c>
      <c r="AM8">
        <v>0.40100866556167603</v>
      </c>
      <c r="AN8" t="s">
        <v>166</v>
      </c>
      <c r="AO8">
        <v>-2549</v>
      </c>
      <c r="AP8">
        <v>-2500</v>
      </c>
      <c r="AQ8" t="s">
        <v>189</v>
      </c>
      <c r="AR8" t="s">
        <v>166</v>
      </c>
      <c r="AS8" s="150">
        <v>44.825000000000003</v>
      </c>
      <c r="AT8" t="s">
        <v>166</v>
      </c>
      <c r="AU8" t="s">
        <v>166</v>
      </c>
      <c r="AV8" t="s">
        <v>166</v>
      </c>
      <c r="AW8" t="s">
        <v>166</v>
      </c>
      <c r="AX8" t="s">
        <v>166</v>
      </c>
      <c r="AY8" t="s">
        <v>190</v>
      </c>
      <c r="AZ8" t="s">
        <v>166</v>
      </c>
      <c r="BA8" t="s">
        <v>166</v>
      </c>
      <c r="BB8" t="s">
        <v>166</v>
      </c>
      <c r="BC8" t="s">
        <v>166</v>
      </c>
      <c r="BD8" t="s">
        <v>166</v>
      </c>
      <c r="BE8" t="s">
        <v>166</v>
      </c>
      <c r="BF8" t="s">
        <v>166</v>
      </c>
      <c r="BG8" s="151" t="s">
        <v>229</v>
      </c>
      <c r="BH8" s="149" t="s">
        <v>192</v>
      </c>
      <c r="BI8" t="s">
        <v>166</v>
      </c>
      <c r="BJ8" s="152" t="s">
        <v>166</v>
      </c>
      <c r="BK8" t="s">
        <v>230</v>
      </c>
      <c r="BL8" t="s">
        <v>194</v>
      </c>
      <c r="BM8" t="s">
        <v>195</v>
      </c>
      <c r="BN8" t="s">
        <v>166</v>
      </c>
      <c r="BO8" t="s">
        <v>166</v>
      </c>
      <c r="BP8" t="s">
        <v>166</v>
      </c>
      <c r="BQ8" s="150">
        <v>15.062277397157153</v>
      </c>
      <c r="BR8" t="s">
        <v>196</v>
      </c>
      <c r="BS8" s="150">
        <v>0.22051613357555341</v>
      </c>
      <c r="BT8">
        <v>1</v>
      </c>
      <c r="BU8" t="s">
        <v>197</v>
      </c>
      <c r="BV8" t="s">
        <v>166</v>
      </c>
      <c r="BW8">
        <v>0</v>
      </c>
      <c r="BX8" t="s">
        <v>197</v>
      </c>
      <c r="BY8" t="s">
        <v>166</v>
      </c>
      <c r="BZ8" t="s">
        <v>198</v>
      </c>
      <c r="CA8" t="s">
        <v>166</v>
      </c>
      <c r="CB8" s="150">
        <v>15.062277397157153</v>
      </c>
      <c r="CC8" t="s">
        <v>196</v>
      </c>
      <c r="CD8" s="150">
        <v>0.22051613357555341</v>
      </c>
      <c r="CE8" t="s">
        <v>199</v>
      </c>
      <c r="CF8" t="s">
        <v>166</v>
      </c>
      <c r="CG8" t="s">
        <v>200</v>
      </c>
      <c r="CH8" t="s">
        <v>166</v>
      </c>
      <c r="CI8" t="s">
        <v>166</v>
      </c>
      <c r="CJ8" s="139">
        <v>35.183175001678002</v>
      </c>
      <c r="CK8" t="s">
        <v>201</v>
      </c>
      <c r="CL8">
        <v>2</v>
      </c>
      <c r="CM8">
        <v>2</v>
      </c>
      <c r="CN8" t="s">
        <v>166</v>
      </c>
      <c r="CO8" s="139">
        <v>3.9518542990361638</v>
      </c>
      <c r="CP8" t="s">
        <v>166</v>
      </c>
      <c r="CQ8" t="s">
        <v>166</v>
      </c>
      <c r="CR8" t="s">
        <v>166</v>
      </c>
      <c r="CS8" s="153" t="s">
        <v>202</v>
      </c>
      <c r="CT8" t="s">
        <v>203</v>
      </c>
      <c r="CU8">
        <v>2.2000000000000002</v>
      </c>
      <c r="CV8" t="s">
        <v>204</v>
      </c>
      <c r="CW8" t="s">
        <v>166</v>
      </c>
      <c r="CX8" t="s">
        <v>166</v>
      </c>
      <c r="CY8" t="s">
        <v>166</v>
      </c>
      <c r="CZ8" t="s">
        <v>166</v>
      </c>
      <c r="DA8" s="154" t="s">
        <v>166</v>
      </c>
      <c r="DB8" t="s">
        <v>166</v>
      </c>
      <c r="DC8" t="s">
        <v>166</v>
      </c>
      <c r="DD8" t="s">
        <v>166</v>
      </c>
      <c r="DE8" t="s">
        <v>166</v>
      </c>
      <c r="DF8" t="s">
        <v>205</v>
      </c>
      <c r="DG8">
        <v>35</v>
      </c>
      <c r="DH8" t="s">
        <v>201</v>
      </c>
      <c r="DI8">
        <v>1</v>
      </c>
      <c r="DJ8" t="s">
        <v>206</v>
      </c>
      <c r="DK8">
        <v>17</v>
      </c>
      <c r="DL8" t="s">
        <v>166</v>
      </c>
      <c r="DM8" t="s">
        <v>166</v>
      </c>
      <c r="DN8" t="s">
        <v>207</v>
      </c>
      <c r="DO8">
        <v>38</v>
      </c>
      <c r="DP8" t="s">
        <v>208</v>
      </c>
      <c r="DQ8">
        <v>3</v>
      </c>
      <c r="DR8" t="s">
        <v>209</v>
      </c>
      <c r="DS8" t="s">
        <v>166</v>
      </c>
      <c r="DT8" t="s">
        <v>166</v>
      </c>
      <c r="DU8" t="s">
        <v>166</v>
      </c>
      <c r="DV8" t="s">
        <v>166</v>
      </c>
      <c r="DW8">
        <v>432.6</v>
      </c>
      <c r="DX8" t="s">
        <v>166</v>
      </c>
      <c r="DY8" t="s">
        <v>166</v>
      </c>
      <c r="DZ8" t="s">
        <v>210</v>
      </c>
      <c r="EA8" t="s">
        <v>211</v>
      </c>
      <c r="EB8" t="s">
        <v>212</v>
      </c>
      <c r="EC8" t="s">
        <v>166</v>
      </c>
      <c r="ED8" t="s">
        <v>213</v>
      </c>
      <c r="EE8" s="155" t="s">
        <v>214</v>
      </c>
      <c r="EF8" s="155" t="s">
        <v>214</v>
      </c>
      <c r="EG8">
        <v>1.0271999999999999</v>
      </c>
      <c r="EH8" t="s">
        <v>215</v>
      </c>
      <c r="EI8" t="s">
        <v>215</v>
      </c>
      <c r="EJ8" t="s">
        <v>216</v>
      </c>
      <c r="EK8" t="s">
        <v>215</v>
      </c>
      <c r="EL8" t="s">
        <v>215</v>
      </c>
      <c r="EM8" t="s">
        <v>217</v>
      </c>
      <c r="EN8" s="156" t="s">
        <v>214</v>
      </c>
      <c r="EO8" s="156" t="s">
        <v>214</v>
      </c>
      <c r="EP8" s="156" t="s">
        <v>214</v>
      </c>
      <c r="EQ8" s="156" t="s">
        <v>214</v>
      </c>
      <c r="ER8"/>
      <c r="ES8"/>
      <c r="ET8" t="s">
        <v>218</v>
      </c>
      <c r="EU8" t="s">
        <v>219</v>
      </c>
      <c r="EV8" t="s">
        <v>213</v>
      </c>
      <c r="EW8" t="s">
        <v>166</v>
      </c>
      <c r="EX8" t="s">
        <v>166</v>
      </c>
      <c r="EY8" t="s">
        <v>166</v>
      </c>
      <c r="EZ8" t="s">
        <v>166</v>
      </c>
      <c r="FA8" s="157">
        <v>6.5</v>
      </c>
      <c r="FB8" t="s">
        <v>220</v>
      </c>
      <c r="FC8" s="157">
        <v>1</v>
      </c>
      <c r="FD8" s="157">
        <v>1</v>
      </c>
      <c r="FE8" s="150">
        <v>7.7282195955852204</v>
      </c>
      <c r="FF8" t="s">
        <v>221</v>
      </c>
      <c r="FG8" s="150">
        <v>3.3068203494189596E-2</v>
      </c>
      <c r="FH8" s="150">
        <v>3.5300219780910247E-2</v>
      </c>
      <c r="FI8" s="144">
        <v>927.03625086487807</v>
      </c>
      <c r="FJ8" t="s">
        <v>166</v>
      </c>
      <c r="FK8" t="s">
        <v>166</v>
      </c>
      <c r="FL8" s="144">
        <f t="shared" si="2"/>
        <v>927.03625086487807</v>
      </c>
      <c r="FM8" s="144">
        <v>188.77723295879184</v>
      </c>
      <c r="FN8" s="144">
        <v>148.51469375420106</v>
      </c>
      <c r="FO8" t="s">
        <v>222</v>
      </c>
      <c r="FP8" t="s">
        <v>223</v>
      </c>
      <c r="FQ8" s="144" t="s">
        <v>166</v>
      </c>
      <c r="FR8" s="144" t="s">
        <v>166</v>
      </c>
      <c r="FS8" s="144" t="s">
        <v>166</v>
      </c>
      <c r="FT8" s="144" t="s">
        <v>166</v>
      </c>
      <c r="FU8" s="144" t="s">
        <v>166</v>
      </c>
      <c r="FV8" s="144" t="s">
        <v>166</v>
      </c>
      <c r="FW8" s="144" t="s">
        <v>166</v>
      </c>
      <c r="FX8" s="144" t="s">
        <v>166</v>
      </c>
      <c r="FY8" s="144" t="s">
        <v>166</v>
      </c>
      <c r="FZ8" s="144" t="s">
        <v>166</v>
      </c>
      <c r="GA8" s="144" t="s">
        <v>166</v>
      </c>
      <c r="GB8" s="144" t="s">
        <v>166</v>
      </c>
      <c r="GC8" s="158" t="s">
        <v>224</v>
      </c>
      <c r="GD8"/>
      <c r="GE8"/>
      <c r="GF8"/>
      <c r="GG8"/>
      <c r="GH8"/>
      <c r="GI8"/>
      <c r="GJ8"/>
      <c r="GK8"/>
      <c r="GL8"/>
    </row>
    <row r="9" spans="1:194" ht="17">
      <c r="A9" t="s">
        <v>162</v>
      </c>
      <c r="B9" s="138" t="s">
        <v>163</v>
      </c>
      <c r="C9" t="s">
        <v>164</v>
      </c>
      <c r="D9" t="s">
        <v>165</v>
      </c>
      <c r="E9" s="140">
        <v>2020</v>
      </c>
      <c r="F9" t="s">
        <v>184</v>
      </c>
      <c r="G9" s="139">
        <v>45701</v>
      </c>
      <c r="H9" s="147">
        <f t="shared" ref="H9" si="6">0.0083*G9^(0.9482)</f>
        <v>217.58033650059599</v>
      </c>
      <c r="I9" s="147">
        <f t="shared" si="1"/>
        <v>217.58033650059599</v>
      </c>
      <c r="J9" s="144">
        <v>848.10238140415902</v>
      </c>
      <c r="K9" s="144">
        <v>131.51481977582</v>
      </c>
      <c r="L9" s="144">
        <v>123.87911297457197</v>
      </c>
      <c r="M9" s="140" t="b">
        <v>1</v>
      </c>
      <c r="N9" s="140">
        <v>1</v>
      </c>
      <c r="O9" s="302" t="s">
        <v>581</v>
      </c>
      <c r="P9" s="140" t="s">
        <v>166</v>
      </c>
      <c r="Q9" s="140" t="s">
        <v>166</v>
      </c>
      <c r="R9" s="140" t="s">
        <v>166</v>
      </c>
      <c r="S9" s="140" t="b">
        <v>1</v>
      </c>
      <c r="T9" s="140" t="b">
        <v>0</v>
      </c>
      <c r="U9" s="140" t="s">
        <v>166</v>
      </c>
      <c r="V9" s="140" t="b">
        <v>0</v>
      </c>
      <c r="W9" s="140" t="b">
        <v>0</v>
      </c>
      <c r="X9" s="140" t="s">
        <v>580</v>
      </c>
      <c r="Y9" s="148" t="s">
        <v>186</v>
      </c>
      <c r="Z9" t="s">
        <v>184</v>
      </c>
      <c r="AA9" s="149">
        <v>1260</v>
      </c>
      <c r="AB9" s="149" t="s">
        <v>187</v>
      </c>
      <c r="AC9" s="149">
        <v>19</v>
      </c>
      <c r="AD9" s="149">
        <v>1</v>
      </c>
      <c r="AE9">
        <v>43</v>
      </c>
      <c r="AF9">
        <v>46.5</v>
      </c>
      <c r="AG9" s="150">
        <v>163.63</v>
      </c>
      <c r="AH9" t="s">
        <v>166</v>
      </c>
      <c r="AI9" t="s">
        <v>166</v>
      </c>
      <c r="AJ9" t="s">
        <v>188</v>
      </c>
      <c r="AK9">
        <v>9.2658000000000005</v>
      </c>
      <c r="AL9">
        <v>-54.543900000000001</v>
      </c>
      <c r="AM9">
        <v>0.32785657048225403</v>
      </c>
      <c r="AN9" t="s">
        <v>166</v>
      </c>
      <c r="AO9">
        <v>-2549</v>
      </c>
      <c r="AP9">
        <v>-2500</v>
      </c>
      <c r="AQ9" t="s">
        <v>189</v>
      </c>
      <c r="AR9" t="s">
        <v>166</v>
      </c>
      <c r="AS9" s="150">
        <v>45.701000000000001</v>
      </c>
      <c r="AT9" t="s">
        <v>166</v>
      </c>
      <c r="AU9" t="s">
        <v>166</v>
      </c>
      <c r="AV9" t="s">
        <v>166</v>
      </c>
      <c r="AW9" t="s">
        <v>166</v>
      </c>
      <c r="AX9" t="s">
        <v>166</v>
      </c>
      <c r="AY9" t="s">
        <v>190</v>
      </c>
      <c r="AZ9" t="s">
        <v>166</v>
      </c>
      <c r="BA9" t="s">
        <v>166</v>
      </c>
      <c r="BB9" t="s">
        <v>166</v>
      </c>
      <c r="BC9" t="s">
        <v>166</v>
      </c>
      <c r="BD9" t="s">
        <v>166</v>
      </c>
      <c r="BE9" t="s">
        <v>166</v>
      </c>
      <c r="BF9" t="s">
        <v>166</v>
      </c>
      <c r="BG9" s="151" t="s">
        <v>229</v>
      </c>
      <c r="BH9" s="149" t="s">
        <v>192</v>
      </c>
      <c r="BI9" t="s">
        <v>166</v>
      </c>
      <c r="BJ9" s="152" t="s">
        <v>166</v>
      </c>
      <c r="BK9" t="s">
        <v>231</v>
      </c>
      <c r="BL9" t="s">
        <v>194</v>
      </c>
      <c r="BM9" t="s">
        <v>195</v>
      </c>
      <c r="BN9" t="s">
        <v>166</v>
      </c>
      <c r="BO9" t="s">
        <v>166</v>
      </c>
      <c r="BP9" t="s">
        <v>166</v>
      </c>
      <c r="BQ9" s="150">
        <v>15.193678759135354</v>
      </c>
      <c r="BR9" t="s">
        <v>196</v>
      </c>
      <c r="BS9" s="150">
        <v>0.14424211254444741</v>
      </c>
      <c r="BT9">
        <v>1</v>
      </c>
      <c r="BU9" t="s">
        <v>197</v>
      </c>
      <c r="BV9" t="s">
        <v>166</v>
      </c>
      <c r="BW9">
        <v>0</v>
      </c>
      <c r="BX9" t="s">
        <v>197</v>
      </c>
      <c r="BY9" t="s">
        <v>166</v>
      </c>
      <c r="BZ9" t="s">
        <v>198</v>
      </c>
      <c r="CA9" t="s">
        <v>166</v>
      </c>
      <c r="CB9" s="150">
        <v>15.193678759135354</v>
      </c>
      <c r="CC9" t="s">
        <v>196</v>
      </c>
      <c r="CD9" s="150">
        <v>0.14424211254444741</v>
      </c>
      <c r="CE9" t="s">
        <v>199</v>
      </c>
      <c r="CF9" t="s">
        <v>166</v>
      </c>
      <c r="CG9" t="s">
        <v>200</v>
      </c>
      <c r="CH9" t="s">
        <v>166</v>
      </c>
      <c r="CI9" t="s">
        <v>166</v>
      </c>
      <c r="CJ9" s="139">
        <v>34.241523655545876</v>
      </c>
      <c r="CK9" t="s">
        <v>201</v>
      </c>
      <c r="CL9">
        <v>2</v>
      </c>
      <c r="CM9">
        <v>2</v>
      </c>
      <c r="CN9" t="s">
        <v>166</v>
      </c>
      <c r="CO9" s="139">
        <v>3.74757766431402</v>
      </c>
      <c r="CP9" t="s">
        <v>166</v>
      </c>
      <c r="CQ9" t="s">
        <v>166</v>
      </c>
      <c r="CR9" t="s">
        <v>166</v>
      </c>
      <c r="CS9" s="153" t="s">
        <v>202</v>
      </c>
      <c r="CT9" t="s">
        <v>203</v>
      </c>
      <c r="CU9">
        <v>2.2000000000000002</v>
      </c>
      <c r="CV9" t="s">
        <v>204</v>
      </c>
      <c r="CW9" t="s">
        <v>166</v>
      </c>
      <c r="CX9" t="s">
        <v>166</v>
      </c>
      <c r="CY9" t="s">
        <v>166</v>
      </c>
      <c r="CZ9" t="s">
        <v>166</v>
      </c>
      <c r="DA9" s="154" t="s">
        <v>166</v>
      </c>
      <c r="DB9" t="s">
        <v>166</v>
      </c>
      <c r="DC9" t="s">
        <v>166</v>
      </c>
      <c r="DD9" t="s">
        <v>166</v>
      </c>
      <c r="DE9" t="s">
        <v>166</v>
      </c>
      <c r="DF9" t="s">
        <v>205</v>
      </c>
      <c r="DG9">
        <v>35</v>
      </c>
      <c r="DH9" t="s">
        <v>201</v>
      </c>
      <c r="DI9">
        <v>1</v>
      </c>
      <c r="DJ9" t="s">
        <v>206</v>
      </c>
      <c r="DK9">
        <v>17</v>
      </c>
      <c r="DL9" t="s">
        <v>166</v>
      </c>
      <c r="DM9" t="s">
        <v>166</v>
      </c>
      <c r="DN9" t="s">
        <v>207</v>
      </c>
      <c r="DO9">
        <v>38</v>
      </c>
      <c r="DP9" t="s">
        <v>208</v>
      </c>
      <c r="DQ9">
        <v>3</v>
      </c>
      <c r="DR9" t="s">
        <v>209</v>
      </c>
      <c r="DS9" t="s">
        <v>166</v>
      </c>
      <c r="DT9" t="s">
        <v>166</v>
      </c>
      <c r="DU9" t="s">
        <v>166</v>
      </c>
      <c r="DV9" t="s">
        <v>166</v>
      </c>
      <c r="DW9">
        <v>432.6</v>
      </c>
      <c r="DX9" t="s">
        <v>166</v>
      </c>
      <c r="DY9" t="s">
        <v>166</v>
      </c>
      <c r="DZ9" t="s">
        <v>210</v>
      </c>
      <c r="EA9" t="s">
        <v>211</v>
      </c>
      <c r="EB9" t="s">
        <v>212</v>
      </c>
      <c r="EC9" t="s">
        <v>166</v>
      </c>
      <c r="ED9" t="s">
        <v>213</v>
      </c>
      <c r="EE9" s="155" t="s">
        <v>214</v>
      </c>
      <c r="EF9" s="155" t="s">
        <v>214</v>
      </c>
      <c r="EG9">
        <v>1.0271999999999999</v>
      </c>
      <c r="EH9" t="s">
        <v>215</v>
      </c>
      <c r="EI9" t="s">
        <v>215</v>
      </c>
      <c r="EJ9" t="s">
        <v>216</v>
      </c>
      <c r="EK9" t="s">
        <v>215</v>
      </c>
      <c r="EL9" t="s">
        <v>215</v>
      </c>
      <c r="EM9" t="s">
        <v>217</v>
      </c>
      <c r="EN9" s="156" t="s">
        <v>214</v>
      </c>
      <c r="EO9" s="156" t="s">
        <v>214</v>
      </c>
      <c r="EP9" s="156" t="s">
        <v>214</v>
      </c>
      <c r="EQ9" s="156" t="s">
        <v>214</v>
      </c>
      <c r="ET9" t="s">
        <v>218</v>
      </c>
      <c r="EU9" t="s">
        <v>219</v>
      </c>
      <c r="EV9" t="s">
        <v>213</v>
      </c>
      <c r="EW9" t="s">
        <v>166</v>
      </c>
      <c r="EX9" t="s">
        <v>166</v>
      </c>
      <c r="EY9" t="s">
        <v>166</v>
      </c>
      <c r="EZ9" t="s">
        <v>166</v>
      </c>
      <c r="FA9" s="157">
        <v>6.5</v>
      </c>
      <c r="FB9" t="s">
        <v>220</v>
      </c>
      <c r="FC9" s="157">
        <v>1</v>
      </c>
      <c r="FD9" s="157">
        <v>1</v>
      </c>
      <c r="FE9" s="150">
        <v>7.7559863937310896</v>
      </c>
      <c r="FF9" t="s">
        <v>221</v>
      </c>
      <c r="FG9" s="150">
        <v>2.4108646525460742E-2</v>
      </c>
      <c r="FH9" s="150">
        <v>2.8393056936019789E-2</v>
      </c>
      <c r="FI9" s="144">
        <v>848.10238140415902</v>
      </c>
      <c r="FJ9" t="s">
        <v>166</v>
      </c>
      <c r="FK9" t="s">
        <v>166</v>
      </c>
      <c r="FL9" s="144">
        <f t="shared" si="2"/>
        <v>848.10238140415902</v>
      </c>
      <c r="FM9" s="144">
        <v>131.51481977582</v>
      </c>
      <c r="FN9" s="144">
        <v>123.87911297457197</v>
      </c>
      <c r="FO9" t="s">
        <v>222</v>
      </c>
      <c r="FP9" t="s">
        <v>223</v>
      </c>
      <c r="FQ9" s="144" t="s">
        <v>166</v>
      </c>
      <c r="FR9" s="144" t="s">
        <v>166</v>
      </c>
      <c r="FS9" s="144" t="s">
        <v>166</v>
      </c>
      <c r="FT9" s="144" t="s">
        <v>166</v>
      </c>
      <c r="FU9" s="144" t="s">
        <v>166</v>
      </c>
      <c r="FV9" s="144" t="s">
        <v>166</v>
      </c>
      <c r="FW9" s="144" t="s">
        <v>166</v>
      </c>
      <c r="FX9" s="144" t="s">
        <v>166</v>
      </c>
      <c r="FY9" s="144" t="s">
        <v>166</v>
      </c>
      <c r="FZ9" s="144" t="s">
        <v>166</v>
      </c>
      <c r="GA9" s="144" t="s">
        <v>166</v>
      </c>
      <c r="GB9" s="144" t="s">
        <v>166</v>
      </c>
      <c r="GC9" s="158" t="s">
        <v>224</v>
      </c>
    </row>
    <row r="10" spans="1:194" ht="17">
      <c r="A10" t="s">
        <v>162</v>
      </c>
      <c r="B10" s="138" t="s">
        <v>163</v>
      </c>
      <c r="C10" t="s">
        <v>164</v>
      </c>
      <c r="D10" t="s">
        <v>165</v>
      </c>
      <c r="E10" s="140">
        <v>2020</v>
      </c>
      <c r="F10" t="s">
        <v>184</v>
      </c>
      <c r="G10" s="139">
        <v>46571</v>
      </c>
      <c r="H10" s="147">
        <f t="shared" ref="H10" si="7">0.0083*G10^(0.9482)</f>
        <v>221.50588527487074</v>
      </c>
      <c r="I10" s="147">
        <f t="shared" si="1"/>
        <v>221.50588527487074</v>
      </c>
      <c r="J10" s="144">
        <v>1084.14372964839</v>
      </c>
      <c r="K10" s="144">
        <v>190.52243329170005</v>
      </c>
      <c r="L10" s="144">
        <v>178.38003351695806</v>
      </c>
      <c r="M10" s="140" t="b">
        <v>1</v>
      </c>
      <c r="N10" s="140">
        <v>1</v>
      </c>
      <c r="O10" s="302" t="s">
        <v>581</v>
      </c>
      <c r="P10" s="140" t="s">
        <v>166</v>
      </c>
      <c r="Q10" s="140" t="s">
        <v>166</v>
      </c>
      <c r="R10" s="140" t="s">
        <v>166</v>
      </c>
      <c r="S10" s="140" t="b">
        <v>1</v>
      </c>
      <c r="T10" s="140" t="b">
        <v>0</v>
      </c>
      <c r="U10" s="140" t="s">
        <v>166</v>
      </c>
      <c r="V10" s="140" t="b">
        <v>0</v>
      </c>
      <c r="W10" s="140" t="b">
        <v>0</v>
      </c>
      <c r="X10" s="140" t="s">
        <v>580</v>
      </c>
      <c r="Y10" s="148" t="s">
        <v>186</v>
      </c>
      <c r="Z10" t="s">
        <v>184</v>
      </c>
      <c r="AA10" s="149">
        <v>1258</v>
      </c>
      <c r="AB10" s="149" t="s">
        <v>187</v>
      </c>
      <c r="AC10" s="149">
        <v>4</v>
      </c>
      <c r="AD10" s="149">
        <v>1</v>
      </c>
      <c r="AE10">
        <v>43.5</v>
      </c>
      <c r="AF10">
        <v>47</v>
      </c>
      <c r="AG10" s="150">
        <v>24.234999999999999</v>
      </c>
      <c r="AH10" t="s">
        <v>166</v>
      </c>
      <c r="AI10" t="s">
        <v>166</v>
      </c>
      <c r="AJ10" t="s">
        <v>188</v>
      </c>
      <c r="AK10">
        <v>9.4332999999999991</v>
      </c>
      <c r="AL10">
        <v>-54.7333</v>
      </c>
      <c r="AM10">
        <v>0.25520557165145874</v>
      </c>
      <c r="AN10" t="s">
        <v>166</v>
      </c>
      <c r="AO10">
        <v>-3192.2</v>
      </c>
      <c r="AP10">
        <v>-3200</v>
      </c>
      <c r="AQ10" t="s">
        <v>189</v>
      </c>
      <c r="AR10" t="s">
        <v>166</v>
      </c>
      <c r="AS10" s="150">
        <v>46.570999999999998</v>
      </c>
      <c r="AT10" t="s">
        <v>166</v>
      </c>
      <c r="AU10" t="s">
        <v>166</v>
      </c>
      <c r="AV10" t="s">
        <v>166</v>
      </c>
      <c r="AW10" t="s">
        <v>166</v>
      </c>
      <c r="AX10" t="s">
        <v>166</v>
      </c>
      <c r="AY10" t="s">
        <v>190</v>
      </c>
      <c r="AZ10" t="s">
        <v>166</v>
      </c>
      <c r="BA10" t="s">
        <v>166</v>
      </c>
      <c r="BB10" t="s">
        <v>166</v>
      </c>
      <c r="BC10" t="s">
        <v>166</v>
      </c>
      <c r="BD10" t="s">
        <v>166</v>
      </c>
      <c r="BE10" t="s">
        <v>166</v>
      </c>
      <c r="BF10" t="s">
        <v>166</v>
      </c>
      <c r="BG10" s="151" t="s">
        <v>229</v>
      </c>
      <c r="BH10" s="149" t="s">
        <v>192</v>
      </c>
      <c r="BI10" t="s">
        <v>166</v>
      </c>
      <c r="BJ10" s="152" t="s">
        <v>166</v>
      </c>
      <c r="BK10" t="s">
        <v>232</v>
      </c>
      <c r="BL10" t="s">
        <v>194</v>
      </c>
      <c r="BM10" t="s">
        <v>195</v>
      </c>
      <c r="BN10" t="s">
        <v>166</v>
      </c>
      <c r="BO10" t="s">
        <v>166</v>
      </c>
      <c r="BP10" t="s">
        <v>166</v>
      </c>
      <c r="BQ10" s="150">
        <v>14.764539722927349</v>
      </c>
      <c r="BR10" t="s">
        <v>196</v>
      </c>
      <c r="BS10" s="150">
        <v>0.18324670331654475</v>
      </c>
      <c r="BT10">
        <v>1</v>
      </c>
      <c r="BU10" t="s">
        <v>197</v>
      </c>
      <c r="BV10" t="s">
        <v>166</v>
      </c>
      <c r="BW10">
        <v>0</v>
      </c>
      <c r="BX10" t="s">
        <v>197</v>
      </c>
      <c r="BY10" t="s">
        <v>166</v>
      </c>
      <c r="BZ10" t="s">
        <v>198</v>
      </c>
      <c r="CA10" t="s">
        <v>166</v>
      </c>
      <c r="CB10" s="150">
        <v>14.764539722927349</v>
      </c>
      <c r="CC10" t="s">
        <v>196</v>
      </c>
      <c r="CD10" s="150">
        <v>0.18324670331654475</v>
      </c>
      <c r="CE10" t="s">
        <v>199</v>
      </c>
      <c r="CF10" t="s">
        <v>166</v>
      </c>
      <c r="CG10" t="s">
        <v>200</v>
      </c>
      <c r="CH10" t="s">
        <v>166</v>
      </c>
      <c r="CI10" t="s">
        <v>166</v>
      </c>
      <c r="CJ10" s="139">
        <v>33.620892556808258</v>
      </c>
      <c r="CK10" t="s">
        <v>201</v>
      </c>
      <c r="CL10">
        <v>2</v>
      </c>
      <c r="CM10">
        <v>2</v>
      </c>
      <c r="CN10" t="s">
        <v>166</v>
      </c>
      <c r="CO10" s="139">
        <v>3.6187491368970828</v>
      </c>
      <c r="CP10" t="s">
        <v>166</v>
      </c>
      <c r="CQ10" t="s">
        <v>166</v>
      </c>
      <c r="CR10" t="s">
        <v>166</v>
      </c>
      <c r="CS10" s="153" t="s">
        <v>202</v>
      </c>
      <c r="CT10" t="s">
        <v>203</v>
      </c>
      <c r="CU10">
        <v>2.2000000000000002</v>
      </c>
      <c r="CV10" t="s">
        <v>204</v>
      </c>
      <c r="CW10" t="s">
        <v>166</v>
      </c>
      <c r="CX10" t="s">
        <v>166</v>
      </c>
      <c r="CY10" t="s">
        <v>166</v>
      </c>
      <c r="CZ10" t="s">
        <v>166</v>
      </c>
      <c r="DA10" s="154" t="s">
        <v>166</v>
      </c>
      <c r="DB10" t="s">
        <v>166</v>
      </c>
      <c r="DC10" t="s">
        <v>166</v>
      </c>
      <c r="DD10" t="s">
        <v>166</v>
      </c>
      <c r="DE10" t="s">
        <v>166</v>
      </c>
      <c r="DF10" t="s">
        <v>205</v>
      </c>
      <c r="DG10">
        <v>35</v>
      </c>
      <c r="DH10" t="s">
        <v>201</v>
      </c>
      <c r="DI10">
        <v>1</v>
      </c>
      <c r="DJ10" t="s">
        <v>206</v>
      </c>
      <c r="DK10">
        <v>17</v>
      </c>
      <c r="DL10" t="s">
        <v>166</v>
      </c>
      <c r="DM10" t="s">
        <v>166</v>
      </c>
      <c r="DN10" t="s">
        <v>207</v>
      </c>
      <c r="DO10">
        <v>38</v>
      </c>
      <c r="DP10" t="s">
        <v>208</v>
      </c>
      <c r="DQ10">
        <v>3</v>
      </c>
      <c r="DR10" t="s">
        <v>209</v>
      </c>
      <c r="DS10" t="s">
        <v>166</v>
      </c>
      <c r="DT10" t="s">
        <v>166</v>
      </c>
      <c r="DU10" t="s">
        <v>166</v>
      </c>
      <c r="DV10" t="s">
        <v>166</v>
      </c>
      <c r="DW10">
        <v>432.6</v>
      </c>
      <c r="DX10" t="s">
        <v>166</v>
      </c>
      <c r="DY10" t="s">
        <v>166</v>
      </c>
      <c r="DZ10" t="s">
        <v>210</v>
      </c>
      <c r="EA10" t="s">
        <v>211</v>
      </c>
      <c r="EB10" t="s">
        <v>212</v>
      </c>
      <c r="EC10" t="s">
        <v>166</v>
      </c>
      <c r="ED10" t="s">
        <v>213</v>
      </c>
      <c r="EE10" s="155" t="s">
        <v>214</v>
      </c>
      <c r="EF10" s="155" t="s">
        <v>214</v>
      </c>
      <c r="EG10">
        <v>1.0271999999999999</v>
      </c>
      <c r="EH10" t="s">
        <v>215</v>
      </c>
      <c r="EI10" t="s">
        <v>215</v>
      </c>
      <c r="EJ10" t="s">
        <v>216</v>
      </c>
      <c r="EK10" t="s">
        <v>215</v>
      </c>
      <c r="EL10" t="s">
        <v>215</v>
      </c>
      <c r="EM10" t="s">
        <v>217</v>
      </c>
      <c r="EN10" s="156" t="s">
        <v>214</v>
      </c>
      <c r="EO10" s="156" t="s">
        <v>214</v>
      </c>
      <c r="EP10" s="156" t="s">
        <v>214</v>
      </c>
      <c r="EQ10" s="156" t="s">
        <v>214</v>
      </c>
      <c r="ET10" t="s">
        <v>218</v>
      </c>
      <c r="EU10" t="s">
        <v>219</v>
      </c>
      <c r="EV10" t="s">
        <v>213</v>
      </c>
      <c r="EW10" t="s">
        <v>166</v>
      </c>
      <c r="EX10" t="s">
        <v>166</v>
      </c>
      <c r="EY10" t="s">
        <v>166</v>
      </c>
      <c r="EZ10" t="s">
        <v>166</v>
      </c>
      <c r="FA10" s="157">
        <v>6.5</v>
      </c>
      <c r="FB10" t="s">
        <v>220</v>
      </c>
      <c r="FC10" s="157">
        <v>1</v>
      </c>
      <c r="FD10" s="157">
        <v>1</v>
      </c>
      <c r="FE10" s="150">
        <v>7.7064310565075402</v>
      </c>
      <c r="FF10" t="s">
        <v>221</v>
      </c>
      <c r="FG10" s="150">
        <v>3.1431023881979492E-2</v>
      </c>
      <c r="FH10" s="150">
        <v>3.1699126469760586E-2</v>
      </c>
      <c r="FI10" s="144">
        <v>1084.14372964839</v>
      </c>
      <c r="FJ10" t="s">
        <v>166</v>
      </c>
      <c r="FK10" t="s">
        <v>166</v>
      </c>
      <c r="FL10" s="144">
        <f t="shared" si="2"/>
        <v>1084.14372964839</v>
      </c>
      <c r="FM10" s="144">
        <v>190.52243329170005</v>
      </c>
      <c r="FN10" s="144">
        <v>178.38003351695806</v>
      </c>
      <c r="FO10" t="s">
        <v>222</v>
      </c>
      <c r="FP10" t="s">
        <v>223</v>
      </c>
      <c r="FQ10" s="144" t="s">
        <v>166</v>
      </c>
      <c r="FR10" s="144" t="s">
        <v>166</v>
      </c>
      <c r="FS10" s="144" t="s">
        <v>166</v>
      </c>
      <c r="FT10" s="144" t="s">
        <v>166</v>
      </c>
      <c r="FU10" s="144" t="s">
        <v>166</v>
      </c>
      <c r="FV10" s="144" t="s">
        <v>166</v>
      </c>
      <c r="FW10" s="144" t="s">
        <v>166</v>
      </c>
      <c r="FX10" s="144" t="s">
        <v>166</v>
      </c>
      <c r="FY10" s="144" t="s">
        <v>166</v>
      </c>
      <c r="FZ10" s="144" t="s">
        <v>166</v>
      </c>
      <c r="GA10" s="144" t="s">
        <v>166</v>
      </c>
      <c r="GB10" s="144" t="s">
        <v>166</v>
      </c>
      <c r="GC10" s="158" t="s">
        <v>224</v>
      </c>
    </row>
    <row r="11" spans="1:194" ht="17">
      <c r="A11" t="s">
        <v>162</v>
      </c>
      <c r="B11" s="138" t="s">
        <v>163</v>
      </c>
      <c r="C11" t="s">
        <v>164</v>
      </c>
      <c r="D11" t="s">
        <v>165</v>
      </c>
      <c r="E11" s="140">
        <v>2020</v>
      </c>
      <c r="F11" t="s">
        <v>184</v>
      </c>
      <c r="G11" s="139">
        <v>47496</v>
      </c>
      <c r="H11" s="147">
        <f t="shared" ref="H11" si="8">0.0083*G11^(0.9482)</f>
        <v>225.67543789849572</v>
      </c>
      <c r="I11" s="147">
        <f t="shared" si="1"/>
        <v>225.67543789849572</v>
      </c>
      <c r="J11" s="144">
        <v>1420.4521301263899</v>
      </c>
      <c r="K11" s="144">
        <v>307.8922361882303</v>
      </c>
      <c r="L11" s="144">
        <v>262.07331523241987</v>
      </c>
      <c r="M11" s="140" t="b">
        <v>1</v>
      </c>
      <c r="N11" s="140">
        <v>1</v>
      </c>
      <c r="O11" s="302" t="s">
        <v>581</v>
      </c>
      <c r="P11" s="140" t="s">
        <v>166</v>
      </c>
      <c r="Q11" s="140" t="s">
        <v>166</v>
      </c>
      <c r="R11" s="140" t="s">
        <v>166</v>
      </c>
      <c r="S11" s="140" t="b">
        <v>1</v>
      </c>
      <c r="T11" s="140" t="b">
        <v>0</v>
      </c>
      <c r="U11" s="140" t="s">
        <v>166</v>
      </c>
      <c r="V11" s="140" t="b">
        <v>0</v>
      </c>
      <c r="W11" s="140" t="b">
        <v>0</v>
      </c>
      <c r="X11" s="140" t="s">
        <v>580</v>
      </c>
      <c r="Y11" s="148" t="s">
        <v>186</v>
      </c>
      <c r="Z11" t="s">
        <v>184</v>
      </c>
      <c r="AA11" s="149">
        <v>1258</v>
      </c>
      <c r="AB11" s="149" t="s">
        <v>233</v>
      </c>
      <c r="AC11" s="149">
        <v>4</v>
      </c>
      <c r="AD11" s="149">
        <v>2</v>
      </c>
      <c r="AE11">
        <v>96</v>
      </c>
      <c r="AF11">
        <v>99.5</v>
      </c>
      <c r="AG11" s="150">
        <v>34.56</v>
      </c>
      <c r="AH11" s="150">
        <v>34.56</v>
      </c>
      <c r="AI11" t="s">
        <v>234</v>
      </c>
      <c r="AJ11" t="s">
        <v>188</v>
      </c>
      <c r="AK11">
        <v>9.4332999999999991</v>
      </c>
      <c r="AL11">
        <v>-54.732999999999997</v>
      </c>
      <c r="AM11">
        <v>0.49493387341499329</v>
      </c>
      <c r="AN11" t="s">
        <v>166</v>
      </c>
      <c r="AO11">
        <v>-3192.2</v>
      </c>
      <c r="AP11">
        <v>-3200</v>
      </c>
      <c r="AQ11" t="s">
        <v>189</v>
      </c>
      <c r="AR11" t="s">
        <v>166</v>
      </c>
      <c r="AS11" s="150">
        <v>47.496000000000002</v>
      </c>
      <c r="AT11" t="s">
        <v>166</v>
      </c>
      <c r="AU11" t="s">
        <v>166</v>
      </c>
      <c r="AV11" t="s">
        <v>166</v>
      </c>
      <c r="AW11" t="s">
        <v>166</v>
      </c>
      <c r="AX11" t="s">
        <v>166</v>
      </c>
      <c r="AY11" t="s">
        <v>190</v>
      </c>
      <c r="AZ11" t="s">
        <v>166</v>
      </c>
      <c r="BA11" t="s">
        <v>166</v>
      </c>
      <c r="BB11" t="s">
        <v>166</v>
      </c>
      <c r="BC11" t="s">
        <v>166</v>
      </c>
      <c r="BD11" t="s">
        <v>166</v>
      </c>
      <c r="BE11" t="s">
        <v>166</v>
      </c>
      <c r="BF11" t="s">
        <v>166</v>
      </c>
      <c r="BG11" s="151" t="s">
        <v>235</v>
      </c>
      <c r="BH11" s="149" t="s">
        <v>236</v>
      </c>
      <c r="BI11" t="s">
        <v>166</v>
      </c>
      <c r="BJ11" s="152" t="s">
        <v>166</v>
      </c>
      <c r="BK11" t="s">
        <v>237</v>
      </c>
      <c r="BL11" t="s">
        <v>194</v>
      </c>
      <c r="BM11" t="s">
        <v>195</v>
      </c>
      <c r="BN11" t="s">
        <v>166</v>
      </c>
      <c r="BO11" t="s">
        <v>166</v>
      </c>
      <c r="BP11" t="s">
        <v>166</v>
      </c>
      <c r="BQ11" s="150">
        <v>14.391476096587862</v>
      </c>
      <c r="BR11" t="s">
        <v>196</v>
      </c>
      <c r="BS11" s="150">
        <v>0.25689146648870304</v>
      </c>
      <c r="BT11">
        <v>1</v>
      </c>
      <c r="BU11" t="s">
        <v>197</v>
      </c>
      <c r="BV11" t="s">
        <v>166</v>
      </c>
      <c r="BW11">
        <v>0</v>
      </c>
      <c r="BX11" t="s">
        <v>197</v>
      </c>
      <c r="BY11" t="s">
        <v>166</v>
      </c>
      <c r="BZ11" t="s">
        <v>198</v>
      </c>
      <c r="CA11" t="s">
        <v>166</v>
      </c>
      <c r="CB11" s="150">
        <v>14.391476096587862</v>
      </c>
      <c r="CC11" t="s">
        <v>196</v>
      </c>
      <c r="CD11" s="150">
        <v>0.25689146648870304</v>
      </c>
      <c r="CE11" t="s">
        <v>199</v>
      </c>
      <c r="CF11" t="s">
        <v>166</v>
      </c>
      <c r="CG11" t="s">
        <v>200</v>
      </c>
      <c r="CH11" t="s">
        <v>166</v>
      </c>
      <c r="CI11" t="s">
        <v>166</v>
      </c>
      <c r="CJ11" s="139">
        <v>35.331057861388899</v>
      </c>
      <c r="CK11" t="s">
        <v>201</v>
      </c>
      <c r="CL11">
        <v>2</v>
      </c>
      <c r="CM11">
        <v>2</v>
      </c>
      <c r="CN11" t="s">
        <v>166</v>
      </c>
      <c r="CO11" s="139">
        <v>3.9849317328155816</v>
      </c>
      <c r="CP11" t="s">
        <v>166</v>
      </c>
      <c r="CQ11" t="s">
        <v>166</v>
      </c>
      <c r="CR11" t="s">
        <v>166</v>
      </c>
      <c r="CS11" s="153" t="s">
        <v>202</v>
      </c>
      <c r="CT11" t="s">
        <v>203</v>
      </c>
      <c r="CU11">
        <v>2.2000000000000002</v>
      </c>
      <c r="CV11" t="s">
        <v>204</v>
      </c>
      <c r="CW11" t="s">
        <v>166</v>
      </c>
      <c r="CX11" t="s">
        <v>166</v>
      </c>
      <c r="CY11" t="s">
        <v>166</v>
      </c>
      <c r="CZ11" t="s">
        <v>166</v>
      </c>
      <c r="DA11" s="154" t="s">
        <v>166</v>
      </c>
      <c r="DB11" t="s">
        <v>166</v>
      </c>
      <c r="DC11" t="s">
        <v>166</v>
      </c>
      <c r="DD11" t="s">
        <v>166</v>
      </c>
      <c r="DE11" t="s">
        <v>166</v>
      </c>
      <c r="DF11" t="s">
        <v>205</v>
      </c>
      <c r="DG11">
        <v>35</v>
      </c>
      <c r="DH11" t="s">
        <v>201</v>
      </c>
      <c r="DI11">
        <v>1</v>
      </c>
      <c r="DJ11" t="s">
        <v>206</v>
      </c>
      <c r="DK11">
        <v>17</v>
      </c>
      <c r="DL11" t="s">
        <v>166</v>
      </c>
      <c r="DM11" t="s">
        <v>166</v>
      </c>
      <c r="DN11" t="s">
        <v>207</v>
      </c>
      <c r="DO11">
        <v>38</v>
      </c>
      <c r="DP11" t="s">
        <v>208</v>
      </c>
      <c r="DQ11">
        <v>3</v>
      </c>
      <c r="DR11" t="s">
        <v>209</v>
      </c>
      <c r="DS11" t="s">
        <v>166</v>
      </c>
      <c r="DT11" t="s">
        <v>166</v>
      </c>
      <c r="DU11" t="s">
        <v>166</v>
      </c>
      <c r="DV11" t="s">
        <v>166</v>
      </c>
      <c r="DW11">
        <v>432.6</v>
      </c>
      <c r="DX11" t="s">
        <v>166</v>
      </c>
      <c r="DY11" t="s">
        <v>166</v>
      </c>
      <c r="DZ11" t="s">
        <v>210</v>
      </c>
      <c r="EA11" t="s">
        <v>211</v>
      </c>
      <c r="EB11" t="s">
        <v>212</v>
      </c>
      <c r="EC11" t="s">
        <v>166</v>
      </c>
      <c r="ED11" t="s">
        <v>213</v>
      </c>
      <c r="EE11" s="155" t="s">
        <v>214</v>
      </c>
      <c r="EF11" s="155" t="s">
        <v>214</v>
      </c>
      <c r="EG11">
        <v>1.0271999999999999</v>
      </c>
      <c r="EH11" t="s">
        <v>215</v>
      </c>
      <c r="EI11" t="s">
        <v>215</v>
      </c>
      <c r="EJ11" t="s">
        <v>216</v>
      </c>
      <c r="EK11" t="s">
        <v>215</v>
      </c>
      <c r="EL11" t="s">
        <v>215</v>
      </c>
      <c r="EM11" t="s">
        <v>217</v>
      </c>
      <c r="EN11" s="156" t="s">
        <v>214</v>
      </c>
      <c r="EO11" s="156" t="s">
        <v>214</v>
      </c>
      <c r="EP11" s="156" t="s">
        <v>214</v>
      </c>
      <c r="EQ11" s="156" t="s">
        <v>214</v>
      </c>
      <c r="ET11" t="s">
        <v>218</v>
      </c>
      <c r="EU11" t="s">
        <v>219</v>
      </c>
      <c r="EV11" t="s">
        <v>213</v>
      </c>
      <c r="EW11" t="s">
        <v>166</v>
      </c>
      <c r="EX11" t="s">
        <v>166</v>
      </c>
      <c r="EY11" t="s">
        <v>166</v>
      </c>
      <c r="EZ11" t="s">
        <v>166</v>
      </c>
      <c r="FA11" s="157">
        <v>6.5</v>
      </c>
      <c r="FB11" t="s">
        <v>220</v>
      </c>
      <c r="FC11" s="157">
        <v>1</v>
      </c>
      <c r="FD11" s="157">
        <v>1</v>
      </c>
      <c r="FE11" s="150">
        <v>7.6354993814307601</v>
      </c>
      <c r="FF11" t="s">
        <v>221</v>
      </c>
      <c r="FG11" s="150">
        <v>4.0765752970099989E-2</v>
      </c>
      <c r="FH11" s="150">
        <v>3.6866659621749953E-2</v>
      </c>
      <c r="FI11" s="144">
        <v>1420.4521301263899</v>
      </c>
      <c r="FJ11" t="s">
        <v>166</v>
      </c>
      <c r="FK11" t="s">
        <v>166</v>
      </c>
      <c r="FL11" s="144">
        <f t="shared" si="2"/>
        <v>1420.4521301263899</v>
      </c>
      <c r="FM11" s="144">
        <v>307.8922361882303</v>
      </c>
      <c r="FN11" s="144">
        <v>262.07331523241987</v>
      </c>
      <c r="FO11" t="s">
        <v>222</v>
      </c>
      <c r="FP11" t="s">
        <v>223</v>
      </c>
      <c r="FQ11" s="144" t="s">
        <v>166</v>
      </c>
      <c r="FR11" s="144" t="s">
        <v>166</v>
      </c>
      <c r="FS11" s="144" t="s">
        <v>166</v>
      </c>
      <c r="FT11" s="144" t="s">
        <v>166</v>
      </c>
      <c r="FU11" s="144" t="s">
        <v>166</v>
      </c>
      <c r="FV11" s="144" t="s">
        <v>166</v>
      </c>
      <c r="FW11" s="144" t="s">
        <v>166</v>
      </c>
      <c r="FX11" s="144" t="s">
        <v>166</v>
      </c>
      <c r="FY11" s="144" t="s">
        <v>166</v>
      </c>
      <c r="FZ11" s="144" t="s">
        <v>166</v>
      </c>
      <c r="GA11" s="144" t="s">
        <v>166</v>
      </c>
      <c r="GB11" s="144" t="s">
        <v>166</v>
      </c>
      <c r="GC11" s="158" t="s">
        <v>224</v>
      </c>
    </row>
    <row r="12" spans="1:194" ht="17">
      <c r="A12" t="s">
        <v>162</v>
      </c>
      <c r="B12" s="138" t="s">
        <v>163</v>
      </c>
      <c r="C12" t="s">
        <v>164</v>
      </c>
      <c r="D12" t="s">
        <v>165</v>
      </c>
      <c r="E12" s="140">
        <v>2020</v>
      </c>
      <c r="F12" t="s">
        <v>184</v>
      </c>
      <c r="G12" s="139">
        <v>48137</v>
      </c>
      <c r="H12" s="147">
        <f t="shared" ref="H12" si="9">0.0083*G12^(0.9482)</f>
        <v>228.56235372133276</v>
      </c>
      <c r="I12" s="147">
        <f t="shared" si="1"/>
        <v>228.56235372133276</v>
      </c>
      <c r="J12" s="144">
        <v>1907.6348237872999</v>
      </c>
      <c r="K12" s="144">
        <v>472.22590876272989</v>
      </c>
      <c r="L12" s="144">
        <v>364.24112677492985</v>
      </c>
      <c r="M12" s="140" t="b">
        <v>1</v>
      </c>
      <c r="N12" s="140">
        <v>1</v>
      </c>
      <c r="O12" s="302" t="s">
        <v>581</v>
      </c>
      <c r="P12" s="140" t="s">
        <v>166</v>
      </c>
      <c r="Q12" s="140" t="s">
        <v>166</v>
      </c>
      <c r="R12" s="140" t="s">
        <v>166</v>
      </c>
      <c r="S12" s="140" t="b">
        <v>1</v>
      </c>
      <c r="T12" s="140" t="b">
        <v>0</v>
      </c>
      <c r="U12" s="140" t="s">
        <v>166</v>
      </c>
      <c r="V12" s="140" t="b">
        <v>0</v>
      </c>
      <c r="W12" s="140" t="b">
        <v>0</v>
      </c>
      <c r="X12" s="140" t="s">
        <v>580</v>
      </c>
      <c r="Y12" s="148" t="s">
        <v>186</v>
      </c>
      <c r="Z12" t="s">
        <v>184</v>
      </c>
      <c r="AA12" s="149">
        <v>1258</v>
      </c>
      <c r="AB12" s="149" t="s">
        <v>233</v>
      </c>
      <c r="AC12" s="149">
        <v>5</v>
      </c>
      <c r="AD12" s="149">
        <v>2</v>
      </c>
      <c r="AE12">
        <v>43.5</v>
      </c>
      <c r="AF12">
        <v>47</v>
      </c>
      <c r="AG12" s="150">
        <v>43.034999999999997</v>
      </c>
      <c r="AH12">
        <v>40.515000000000001</v>
      </c>
      <c r="AI12" t="s">
        <v>234</v>
      </c>
      <c r="AJ12" t="s">
        <v>188</v>
      </c>
      <c r="AK12">
        <v>9.4332999999999991</v>
      </c>
      <c r="AL12">
        <v>-54.732999999999997</v>
      </c>
      <c r="AM12">
        <v>0.5296560525894165</v>
      </c>
      <c r="AN12" t="s">
        <v>166</v>
      </c>
      <c r="AO12">
        <v>-3192.2</v>
      </c>
      <c r="AP12">
        <v>-3200</v>
      </c>
      <c r="AQ12" t="s">
        <v>189</v>
      </c>
      <c r="AR12" t="s">
        <v>166</v>
      </c>
      <c r="AS12" s="150">
        <v>48.137</v>
      </c>
      <c r="AT12" t="s">
        <v>166</v>
      </c>
      <c r="AU12" t="s">
        <v>166</v>
      </c>
      <c r="AV12" t="s">
        <v>166</v>
      </c>
      <c r="AW12" t="s">
        <v>166</v>
      </c>
      <c r="AX12" t="s">
        <v>166</v>
      </c>
      <c r="AY12" t="s">
        <v>190</v>
      </c>
      <c r="AZ12" t="s">
        <v>166</v>
      </c>
      <c r="BA12" t="s">
        <v>166</v>
      </c>
      <c r="BB12" t="s">
        <v>166</v>
      </c>
      <c r="BC12" t="s">
        <v>166</v>
      </c>
      <c r="BD12" t="s">
        <v>166</v>
      </c>
      <c r="BE12" t="s">
        <v>166</v>
      </c>
      <c r="BF12" t="s">
        <v>166</v>
      </c>
      <c r="BG12" s="151" t="s">
        <v>238</v>
      </c>
      <c r="BH12" s="149" t="s">
        <v>192</v>
      </c>
      <c r="BI12" t="s">
        <v>166</v>
      </c>
      <c r="BJ12" s="152" t="s">
        <v>166</v>
      </c>
      <c r="BK12" t="s">
        <v>239</v>
      </c>
      <c r="BL12" t="s">
        <v>194</v>
      </c>
      <c r="BM12" t="s">
        <v>195</v>
      </c>
      <c r="BN12" t="s">
        <v>166</v>
      </c>
      <c r="BO12" t="s">
        <v>166</v>
      </c>
      <c r="BP12" t="s">
        <v>166</v>
      </c>
      <c r="BQ12" s="150">
        <v>13.96513679871536</v>
      </c>
      <c r="BR12" t="s">
        <v>196</v>
      </c>
      <c r="BS12" s="150">
        <v>0.26052244816357073</v>
      </c>
      <c r="BT12">
        <v>1</v>
      </c>
      <c r="BU12" t="s">
        <v>197</v>
      </c>
      <c r="BV12" t="s">
        <v>166</v>
      </c>
      <c r="BW12">
        <v>0</v>
      </c>
      <c r="BX12" t="s">
        <v>197</v>
      </c>
      <c r="BY12" t="s">
        <v>166</v>
      </c>
      <c r="BZ12" t="s">
        <v>198</v>
      </c>
      <c r="CA12" t="s">
        <v>166</v>
      </c>
      <c r="CB12" s="150">
        <v>13.96513679871536</v>
      </c>
      <c r="CC12" t="s">
        <v>196</v>
      </c>
      <c r="CD12" s="150">
        <v>0.26052244816357073</v>
      </c>
      <c r="CE12" t="s">
        <v>199</v>
      </c>
      <c r="CF12" t="s">
        <v>166</v>
      </c>
      <c r="CG12" t="s">
        <v>200</v>
      </c>
      <c r="CH12" t="s">
        <v>166</v>
      </c>
      <c r="CI12" t="s">
        <v>166</v>
      </c>
      <c r="CJ12" s="139">
        <v>35.331057861388899</v>
      </c>
      <c r="CK12" t="s">
        <v>201</v>
      </c>
      <c r="CL12">
        <v>2</v>
      </c>
      <c r="CM12">
        <v>2</v>
      </c>
      <c r="CN12" t="s">
        <v>166</v>
      </c>
      <c r="CO12" s="161" t="s">
        <v>240</v>
      </c>
      <c r="CP12" t="s">
        <v>166</v>
      </c>
      <c r="CQ12" t="s">
        <v>166</v>
      </c>
      <c r="CR12" t="s">
        <v>166</v>
      </c>
      <c r="CS12" s="153" t="s">
        <v>202</v>
      </c>
      <c r="CT12" t="s">
        <v>203</v>
      </c>
      <c r="CU12">
        <v>2.2000000000000002</v>
      </c>
      <c r="CV12" t="s">
        <v>204</v>
      </c>
      <c r="CW12" t="s">
        <v>166</v>
      </c>
      <c r="CX12" t="s">
        <v>166</v>
      </c>
      <c r="CY12" t="s">
        <v>166</v>
      </c>
      <c r="CZ12" t="s">
        <v>166</v>
      </c>
      <c r="DA12" s="154" t="s">
        <v>166</v>
      </c>
      <c r="DB12" t="s">
        <v>166</v>
      </c>
      <c r="DC12" t="s">
        <v>166</v>
      </c>
      <c r="DD12" t="s">
        <v>166</v>
      </c>
      <c r="DE12" t="s">
        <v>166</v>
      </c>
      <c r="DF12" t="s">
        <v>205</v>
      </c>
      <c r="DG12">
        <v>35</v>
      </c>
      <c r="DH12" t="s">
        <v>201</v>
      </c>
      <c r="DI12">
        <v>1</v>
      </c>
      <c r="DJ12" t="s">
        <v>206</v>
      </c>
      <c r="DK12">
        <v>17</v>
      </c>
      <c r="DL12" t="s">
        <v>166</v>
      </c>
      <c r="DM12" t="s">
        <v>166</v>
      </c>
      <c r="DN12" t="s">
        <v>207</v>
      </c>
      <c r="DO12">
        <v>38</v>
      </c>
      <c r="DP12" t="s">
        <v>208</v>
      </c>
      <c r="DQ12">
        <v>3</v>
      </c>
      <c r="DR12" t="s">
        <v>209</v>
      </c>
      <c r="DS12" t="s">
        <v>166</v>
      </c>
      <c r="DT12" t="s">
        <v>166</v>
      </c>
      <c r="DU12" t="s">
        <v>166</v>
      </c>
      <c r="DV12" t="s">
        <v>166</v>
      </c>
      <c r="DW12">
        <v>432.6</v>
      </c>
      <c r="DX12" t="s">
        <v>166</v>
      </c>
      <c r="DY12" t="s">
        <v>166</v>
      </c>
      <c r="DZ12" t="s">
        <v>210</v>
      </c>
      <c r="EA12" t="s">
        <v>211</v>
      </c>
      <c r="EB12" t="s">
        <v>212</v>
      </c>
      <c r="EC12" t="s">
        <v>166</v>
      </c>
      <c r="ED12" t="s">
        <v>213</v>
      </c>
      <c r="EE12" s="155" t="s">
        <v>214</v>
      </c>
      <c r="EF12" s="155" t="s">
        <v>214</v>
      </c>
      <c r="EG12">
        <v>1.0271999999999999</v>
      </c>
      <c r="EH12" t="s">
        <v>215</v>
      </c>
      <c r="EI12" t="s">
        <v>215</v>
      </c>
      <c r="EJ12" t="s">
        <v>216</v>
      </c>
      <c r="EK12" t="s">
        <v>215</v>
      </c>
      <c r="EL12" t="s">
        <v>215</v>
      </c>
      <c r="EM12" t="s">
        <v>217</v>
      </c>
      <c r="EN12" s="156" t="s">
        <v>214</v>
      </c>
      <c r="EO12" s="156" t="s">
        <v>214</v>
      </c>
      <c r="EP12" s="156" t="s">
        <v>214</v>
      </c>
      <c r="EQ12" s="156" t="s">
        <v>214</v>
      </c>
      <c r="ET12" t="s">
        <v>218</v>
      </c>
      <c r="EU12" t="s">
        <v>219</v>
      </c>
      <c r="EV12" t="s">
        <v>213</v>
      </c>
      <c r="EW12" t="s">
        <v>166</v>
      </c>
      <c r="EX12" t="s">
        <v>166</v>
      </c>
      <c r="EY12" t="s">
        <v>166</v>
      </c>
      <c r="EZ12" t="s">
        <v>166</v>
      </c>
      <c r="FA12" s="157">
        <v>6.5</v>
      </c>
      <c r="FB12" t="s">
        <v>220</v>
      </c>
      <c r="FC12" s="157">
        <v>1</v>
      </c>
      <c r="FD12" s="157">
        <v>1</v>
      </c>
      <c r="FE12" s="150">
        <v>7.5717242634202497</v>
      </c>
      <c r="FF12" t="s">
        <v>221</v>
      </c>
      <c r="FG12" s="150">
        <v>4.2609605984150534E-2</v>
      </c>
      <c r="FH12" s="150">
        <v>4.7956279678129654E-2</v>
      </c>
      <c r="FI12" s="144">
        <v>1907.6348237872999</v>
      </c>
      <c r="FJ12" t="s">
        <v>166</v>
      </c>
      <c r="FK12" t="s">
        <v>166</v>
      </c>
      <c r="FL12" s="144">
        <f t="shared" si="2"/>
        <v>1907.6348237872999</v>
      </c>
      <c r="FM12" s="144">
        <v>472.22590876272989</v>
      </c>
      <c r="FN12" s="144">
        <v>364.24112677492985</v>
      </c>
      <c r="FO12" t="s">
        <v>222</v>
      </c>
      <c r="FP12" t="s">
        <v>223</v>
      </c>
      <c r="FQ12" s="144" t="s">
        <v>166</v>
      </c>
      <c r="FR12" s="144" t="s">
        <v>166</v>
      </c>
      <c r="FS12" s="144" t="s">
        <v>166</v>
      </c>
      <c r="FT12" s="144" t="s">
        <v>166</v>
      </c>
      <c r="FU12" s="144" t="s">
        <v>166</v>
      </c>
      <c r="FV12" s="144" t="s">
        <v>166</v>
      </c>
      <c r="FW12" s="144" t="s">
        <v>166</v>
      </c>
      <c r="FX12" s="144" t="s">
        <v>166</v>
      </c>
      <c r="FY12" s="144" t="s">
        <v>166</v>
      </c>
      <c r="FZ12" s="144" t="s">
        <v>166</v>
      </c>
      <c r="GA12" s="144" t="s">
        <v>166</v>
      </c>
      <c r="GB12" s="144" t="s">
        <v>166</v>
      </c>
      <c r="GC12" s="158" t="s">
        <v>224</v>
      </c>
    </row>
    <row r="13" spans="1:194" ht="17">
      <c r="A13" t="s">
        <v>162</v>
      </c>
      <c r="B13" s="138" t="s">
        <v>163</v>
      </c>
      <c r="C13" t="s">
        <v>164</v>
      </c>
      <c r="D13" t="s">
        <v>165</v>
      </c>
      <c r="E13" s="140">
        <v>2020</v>
      </c>
      <c r="F13" t="s">
        <v>184</v>
      </c>
      <c r="G13" s="139">
        <v>49001</v>
      </c>
      <c r="H13" s="147">
        <f t="shared" ref="H13" si="10">0.0083*G13^(0.9482)</f>
        <v>232.45046506460554</v>
      </c>
      <c r="I13" s="147">
        <f t="shared" si="1"/>
        <v>232.45046506460554</v>
      </c>
      <c r="J13" s="144">
        <v>1754.5304882714599</v>
      </c>
      <c r="K13" s="144">
        <v>413.59573172790033</v>
      </c>
      <c r="L13" s="144">
        <v>327.96734816189996</v>
      </c>
      <c r="M13" s="140" t="b">
        <v>1</v>
      </c>
      <c r="N13" s="140">
        <v>1</v>
      </c>
      <c r="O13" s="302" t="s">
        <v>581</v>
      </c>
      <c r="P13" s="140" t="s">
        <v>166</v>
      </c>
      <c r="Q13" s="140" t="s">
        <v>166</v>
      </c>
      <c r="R13" s="140" t="s">
        <v>166</v>
      </c>
      <c r="S13" s="140" t="b">
        <v>1</v>
      </c>
      <c r="T13" s="140" t="b">
        <v>0</v>
      </c>
      <c r="U13" s="140" t="s">
        <v>166</v>
      </c>
      <c r="V13" s="140" t="b">
        <v>0</v>
      </c>
      <c r="W13" s="140" t="b">
        <v>0</v>
      </c>
      <c r="X13" s="140" t="s">
        <v>580</v>
      </c>
      <c r="Y13" s="148" t="s">
        <v>186</v>
      </c>
      <c r="Z13" t="s">
        <v>184</v>
      </c>
      <c r="AA13" s="149">
        <v>1258</v>
      </c>
      <c r="AB13" s="149" t="s">
        <v>187</v>
      </c>
      <c r="AC13" s="149">
        <v>6</v>
      </c>
      <c r="AD13" s="149">
        <v>5</v>
      </c>
      <c r="AE13">
        <v>28.5</v>
      </c>
      <c r="AF13">
        <v>32</v>
      </c>
      <c r="AG13" s="150">
        <v>49.085000000000001</v>
      </c>
      <c r="AH13" t="s">
        <v>166</v>
      </c>
      <c r="AI13" t="s">
        <v>166</v>
      </c>
      <c r="AJ13" t="s">
        <v>188</v>
      </c>
      <c r="AK13">
        <v>9.4332999999999991</v>
      </c>
      <c r="AL13">
        <v>-54.7333</v>
      </c>
      <c r="AM13">
        <v>0.55371767282485962</v>
      </c>
      <c r="AN13" t="s">
        <v>166</v>
      </c>
      <c r="AO13">
        <v>-3192.2</v>
      </c>
      <c r="AP13">
        <v>-3200</v>
      </c>
      <c r="AQ13" t="s">
        <v>189</v>
      </c>
      <c r="AR13" t="s">
        <v>166</v>
      </c>
      <c r="AS13" s="150">
        <v>49.000999999999998</v>
      </c>
      <c r="AT13" t="s">
        <v>166</v>
      </c>
      <c r="AU13" t="s">
        <v>166</v>
      </c>
      <c r="AV13" t="s">
        <v>166</v>
      </c>
      <c r="AW13" t="s">
        <v>166</v>
      </c>
      <c r="AX13" t="s">
        <v>166</v>
      </c>
      <c r="AY13" t="s">
        <v>190</v>
      </c>
      <c r="AZ13" t="s">
        <v>166</v>
      </c>
      <c r="BA13" t="s">
        <v>166</v>
      </c>
      <c r="BB13" t="s">
        <v>166</v>
      </c>
      <c r="BC13" t="s">
        <v>166</v>
      </c>
      <c r="BD13" t="s">
        <v>166</v>
      </c>
      <c r="BE13" t="s">
        <v>166</v>
      </c>
      <c r="BF13" t="s">
        <v>166</v>
      </c>
      <c r="BG13" s="151" t="s">
        <v>191</v>
      </c>
      <c r="BH13" s="149" t="s">
        <v>192</v>
      </c>
      <c r="BI13" t="s">
        <v>166</v>
      </c>
      <c r="BJ13" s="152" t="s">
        <v>166</v>
      </c>
      <c r="BK13" t="s">
        <v>241</v>
      </c>
      <c r="BL13" t="s">
        <v>194</v>
      </c>
      <c r="BM13" t="s">
        <v>195</v>
      </c>
      <c r="BN13" t="s">
        <v>166</v>
      </c>
      <c r="BO13" t="s">
        <v>166</v>
      </c>
      <c r="BP13" t="s">
        <v>166</v>
      </c>
      <c r="BQ13" s="150">
        <v>14.059999999999999</v>
      </c>
      <c r="BR13" t="s">
        <v>196</v>
      </c>
      <c r="BS13" s="150">
        <v>0.23081397714461105</v>
      </c>
      <c r="BT13">
        <v>1</v>
      </c>
      <c r="BU13" t="s">
        <v>197</v>
      </c>
      <c r="BV13" t="s">
        <v>166</v>
      </c>
      <c r="BW13">
        <v>0</v>
      </c>
      <c r="BX13" t="s">
        <v>197</v>
      </c>
      <c r="BY13" t="s">
        <v>166</v>
      </c>
      <c r="BZ13" t="s">
        <v>198</v>
      </c>
      <c r="CA13" t="s">
        <v>166</v>
      </c>
      <c r="CB13" s="150">
        <v>14.059999999999999</v>
      </c>
      <c r="CC13" t="s">
        <v>196</v>
      </c>
      <c r="CD13" s="150">
        <v>0.23081397714461105</v>
      </c>
      <c r="CE13" t="s">
        <v>199</v>
      </c>
      <c r="CF13" t="s">
        <v>166</v>
      </c>
      <c r="CG13" t="s">
        <v>200</v>
      </c>
      <c r="CH13" t="s">
        <v>166</v>
      </c>
      <c r="CI13" t="s">
        <v>166</v>
      </c>
      <c r="CJ13" s="139">
        <v>34.637833561656997</v>
      </c>
      <c r="CK13" t="s">
        <v>201</v>
      </c>
      <c r="CL13">
        <v>2</v>
      </c>
      <c r="CM13">
        <v>2</v>
      </c>
      <c r="CN13" t="s">
        <v>166</v>
      </c>
      <c r="CO13" s="139">
        <v>3.8322315614178915</v>
      </c>
      <c r="CP13" t="s">
        <v>166</v>
      </c>
      <c r="CQ13" t="s">
        <v>166</v>
      </c>
      <c r="CR13" t="s">
        <v>166</v>
      </c>
      <c r="CS13" s="153" t="s">
        <v>202</v>
      </c>
      <c r="CT13" t="s">
        <v>203</v>
      </c>
      <c r="CU13">
        <v>2.2000000000000002</v>
      </c>
      <c r="CV13" t="s">
        <v>204</v>
      </c>
      <c r="CW13" t="s">
        <v>166</v>
      </c>
      <c r="CX13" t="s">
        <v>166</v>
      </c>
      <c r="CY13" t="s">
        <v>166</v>
      </c>
      <c r="CZ13" t="s">
        <v>166</v>
      </c>
      <c r="DA13" s="154" t="s">
        <v>166</v>
      </c>
      <c r="DB13" t="s">
        <v>166</v>
      </c>
      <c r="DC13" t="s">
        <v>166</v>
      </c>
      <c r="DD13" t="s">
        <v>166</v>
      </c>
      <c r="DE13" t="s">
        <v>166</v>
      </c>
      <c r="DF13" t="s">
        <v>205</v>
      </c>
      <c r="DG13">
        <v>35</v>
      </c>
      <c r="DH13" t="s">
        <v>201</v>
      </c>
      <c r="DI13">
        <v>1</v>
      </c>
      <c r="DJ13" t="s">
        <v>206</v>
      </c>
      <c r="DK13">
        <v>17</v>
      </c>
      <c r="DL13" t="s">
        <v>166</v>
      </c>
      <c r="DM13" t="s">
        <v>166</v>
      </c>
      <c r="DN13" t="s">
        <v>207</v>
      </c>
      <c r="DO13">
        <v>38</v>
      </c>
      <c r="DP13" t="s">
        <v>208</v>
      </c>
      <c r="DQ13">
        <v>3</v>
      </c>
      <c r="DR13" t="s">
        <v>209</v>
      </c>
      <c r="DS13" t="s">
        <v>166</v>
      </c>
      <c r="DT13" t="s">
        <v>166</v>
      </c>
      <c r="DU13" t="s">
        <v>166</v>
      </c>
      <c r="DV13" t="s">
        <v>166</v>
      </c>
      <c r="DW13">
        <v>432.6</v>
      </c>
      <c r="DX13" t="s">
        <v>166</v>
      </c>
      <c r="DY13" t="s">
        <v>166</v>
      </c>
      <c r="DZ13" t="s">
        <v>210</v>
      </c>
      <c r="EA13" t="s">
        <v>211</v>
      </c>
      <c r="EB13" t="s">
        <v>212</v>
      </c>
      <c r="EC13" t="s">
        <v>166</v>
      </c>
      <c r="ED13" t="s">
        <v>213</v>
      </c>
      <c r="EE13" s="155" t="s">
        <v>214</v>
      </c>
      <c r="EF13" s="155" t="s">
        <v>214</v>
      </c>
      <c r="EG13">
        <v>1.0271999999999999</v>
      </c>
      <c r="EH13" t="s">
        <v>215</v>
      </c>
      <c r="EI13" t="s">
        <v>215</v>
      </c>
      <c r="EJ13" t="s">
        <v>216</v>
      </c>
      <c r="EK13" t="s">
        <v>215</v>
      </c>
      <c r="EL13" t="s">
        <v>215</v>
      </c>
      <c r="EM13" t="s">
        <v>217</v>
      </c>
      <c r="EN13" s="156" t="s">
        <v>214</v>
      </c>
      <c r="EO13" s="156" t="s">
        <v>214</v>
      </c>
      <c r="EP13" s="156" t="s">
        <v>214</v>
      </c>
      <c r="EQ13" s="156" t="s">
        <v>214</v>
      </c>
      <c r="ET13" t="s">
        <v>218</v>
      </c>
      <c r="EU13" t="s">
        <v>219</v>
      </c>
      <c r="EV13" t="s">
        <v>213</v>
      </c>
      <c r="EW13" t="s">
        <v>166</v>
      </c>
      <c r="EX13" t="s">
        <v>166</v>
      </c>
      <c r="EY13" t="s">
        <v>166</v>
      </c>
      <c r="EZ13" t="s">
        <v>166</v>
      </c>
      <c r="FA13" s="157">
        <v>6.5</v>
      </c>
      <c r="FB13" t="s">
        <v>220</v>
      </c>
      <c r="FC13" s="157">
        <v>1</v>
      </c>
      <c r="FD13" s="157">
        <v>1</v>
      </c>
      <c r="FE13" s="150">
        <v>7.5940712124132501</v>
      </c>
      <c r="FF13" t="s">
        <v>221</v>
      </c>
      <c r="FG13" s="150">
        <v>3.8944442345719921E-2</v>
      </c>
      <c r="FH13" s="150">
        <v>4.0036965439010253E-2</v>
      </c>
      <c r="FI13" s="144">
        <v>1754.5304882714599</v>
      </c>
      <c r="FJ13" t="s">
        <v>166</v>
      </c>
      <c r="FK13" t="s">
        <v>166</v>
      </c>
      <c r="FL13" s="144">
        <f t="shared" si="2"/>
        <v>1754.5304882714599</v>
      </c>
      <c r="FM13" s="144">
        <v>413.59573172790033</v>
      </c>
      <c r="FN13" s="144">
        <v>327.96734816189996</v>
      </c>
      <c r="FO13" t="s">
        <v>222</v>
      </c>
      <c r="FP13" t="s">
        <v>223</v>
      </c>
      <c r="FQ13" s="144" t="s">
        <v>166</v>
      </c>
      <c r="FR13" s="144" t="s">
        <v>166</v>
      </c>
      <c r="FS13" s="144" t="s">
        <v>166</v>
      </c>
      <c r="FT13" s="144" t="s">
        <v>166</v>
      </c>
      <c r="FU13" s="144" t="s">
        <v>166</v>
      </c>
      <c r="FV13" s="144" t="s">
        <v>166</v>
      </c>
      <c r="FW13" s="144" t="s">
        <v>166</v>
      </c>
      <c r="FX13" s="144" t="s">
        <v>166</v>
      </c>
      <c r="FY13" s="144" t="s">
        <v>166</v>
      </c>
      <c r="FZ13" s="144" t="s">
        <v>166</v>
      </c>
      <c r="GA13" s="144" t="s">
        <v>166</v>
      </c>
      <c r="GB13" s="144" t="s">
        <v>166</v>
      </c>
      <c r="GC13" s="158" t="s">
        <v>224</v>
      </c>
    </row>
    <row r="14" spans="1:194" s="140" customFormat="1" ht="17">
      <c r="A14" s="140" t="s">
        <v>162</v>
      </c>
      <c r="B14" s="143" t="s">
        <v>163</v>
      </c>
      <c r="C14" s="140" t="s">
        <v>164</v>
      </c>
      <c r="D14" s="140" t="s">
        <v>165</v>
      </c>
      <c r="E14" s="140">
        <v>2020</v>
      </c>
      <c r="F14" t="s">
        <v>184</v>
      </c>
      <c r="G14" s="139">
        <v>49831</v>
      </c>
      <c r="H14" s="147">
        <f t="shared" ref="H14" si="11">0.0083*G14^(0.9482)</f>
        <v>236.18222822268626</v>
      </c>
      <c r="I14" s="147">
        <f t="shared" si="1"/>
        <v>236.18222822268626</v>
      </c>
      <c r="J14" s="144">
        <v>1226.9821491242501</v>
      </c>
      <c r="K14" s="144">
        <v>266.01542969296997</v>
      </c>
      <c r="L14" s="144">
        <v>211.24337521407006</v>
      </c>
      <c r="M14" s="140" t="b">
        <v>1</v>
      </c>
      <c r="N14" s="140">
        <v>1</v>
      </c>
      <c r="O14" s="302" t="s">
        <v>581</v>
      </c>
      <c r="P14" s="140" t="s">
        <v>166</v>
      </c>
      <c r="Q14" s="140" t="s">
        <v>166</v>
      </c>
      <c r="R14" s="140" t="s">
        <v>166</v>
      </c>
      <c r="S14" s="140" t="b">
        <v>1</v>
      </c>
      <c r="T14" s="140" t="b">
        <v>0</v>
      </c>
      <c r="U14" s="140" t="s">
        <v>166</v>
      </c>
      <c r="V14" s="140" t="b">
        <v>0</v>
      </c>
      <c r="W14" s="140" t="b">
        <v>0</v>
      </c>
      <c r="X14" s="140" t="s">
        <v>580</v>
      </c>
      <c r="Y14" s="148" t="s">
        <v>186</v>
      </c>
      <c r="Z14" t="s">
        <v>184</v>
      </c>
      <c r="AA14" s="149">
        <v>1258</v>
      </c>
      <c r="AB14" s="149" t="s">
        <v>187</v>
      </c>
      <c r="AC14" s="149">
        <v>7</v>
      </c>
      <c r="AD14" s="149">
        <v>3</v>
      </c>
      <c r="AE14">
        <v>84</v>
      </c>
      <c r="AF14">
        <v>87</v>
      </c>
      <c r="AG14" s="150">
        <v>56.04</v>
      </c>
      <c r="AH14">
        <v>54.05</v>
      </c>
      <c r="AI14" t="s">
        <v>234</v>
      </c>
      <c r="AJ14" t="s">
        <v>188</v>
      </c>
      <c r="AK14">
        <v>9.4332999999999991</v>
      </c>
      <c r="AL14">
        <v>-54.7333</v>
      </c>
      <c r="AM14">
        <v>0.58614999055862427</v>
      </c>
      <c r="AN14" t="s">
        <v>166</v>
      </c>
      <c r="AO14">
        <v>-3192.2</v>
      </c>
      <c r="AP14">
        <v>-3200</v>
      </c>
      <c r="AQ14" t="s">
        <v>189</v>
      </c>
      <c r="AR14" t="s">
        <v>166</v>
      </c>
      <c r="AS14" s="150">
        <v>49.831000000000003</v>
      </c>
      <c r="AT14" t="s">
        <v>166</v>
      </c>
      <c r="AU14" t="s">
        <v>166</v>
      </c>
      <c r="AV14" t="s">
        <v>166</v>
      </c>
      <c r="AW14" t="s">
        <v>166</v>
      </c>
      <c r="AX14" t="s">
        <v>166</v>
      </c>
      <c r="AY14" t="s">
        <v>190</v>
      </c>
      <c r="AZ14" t="s">
        <v>166</v>
      </c>
      <c r="BA14" t="s">
        <v>166</v>
      </c>
      <c r="BB14" t="s">
        <v>166</v>
      </c>
      <c r="BC14" t="s">
        <v>166</v>
      </c>
      <c r="BD14" t="s">
        <v>166</v>
      </c>
      <c r="BE14" t="s">
        <v>166</v>
      </c>
      <c r="BF14" t="s">
        <v>166</v>
      </c>
      <c r="BG14" s="151" t="s">
        <v>242</v>
      </c>
      <c r="BH14" s="149" t="s">
        <v>192</v>
      </c>
      <c r="BI14" t="s">
        <v>166</v>
      </c>
      <c r="BJ14" s="152" t="s">
        <v>166</v>
      </c>
      <c r="BK14" t="s">
        <v>243</v>
      </c>
      <c r="BL14" t="s">
        <v>194</v>
      </c>
      <c r="BM14" t="s">
        <v>195</v>
      </c>
      <c r="BN14" t="s">
        <v>166</v>
      </c>
      <c r="BO14" t="s">
        <v>166</v>
      </c>
      <c r="BP14" t="s">
        <v>166</v>
      </c>
      <c r="BQ14" s="150">
        <v>14.580942494143546</v>
      </c>
      <c r="BR14" t="s">
        <v>196</v>
      </c>
      <c r="BS14" s="150">
        <v>0.23066231309760579</v>
      </c>
      <c r="BT14">
        <v>1</v>
      </c>
      <c r="BU14" t="s">
        <v>197</v>
      </c>
      <c r="BV14" t="s">
        <v>166</v>
      </c>
      <c r="BW14">
        <v>0</v>
      </c>
      <c r="BX14" t="s">
        <v>197</v>
      </c>
      <c r="BY14" t="s">
        <v>166</v>
      </c>
      <c r="BZ14" t="s">
        <v>198</v>
      </c>
      <c r="CA14" t="s">
        <v>166</v>
      </c>
      <c r="CB14" s="150">
        <v>14.580942494143546</v>
      </c>
      <c r="CC14" t="s">
        <v>196</v>
      </c>
      <c r="CD14" s="150">
        <v>0.23066231309760579</v>
      </c>
      <c r="CE14" t="s">
        <v>199</v>
      </c>
      <c r="CF14" t="s">
        <v>166</v>
      </c>
      <c r="CG14" t="s">
        <v>200</v>
      </c>
      <c r="CH14" t="s">
        <v>166</v>
      </c>
      <c r="CI14" t="s">
        <v>166</v>
      </c>
      <c r="CJ14" s="139">
        <v>34.835657172618873</v>
      </c>
      <c r="CK14" t="s">
        <v>201</v>
      </c>
      <c r="CL14">
        <v>2</v>
      </c>
      <c r="CM14">
        <v>2</v>
      </c>
      <c r="CN14" t="s">
        <v>166</v>
      </c>
      <c r="CO14" s="139">
        <v>3.8752005512839585</v>
      </c>
      <c r="CP14" t="s">
        <v>166</v>
      </c>
      <c r="CQ14" t="s">
        <v>166</v>
      </c>
      <c r="CR14" t="s">
        <v>166</v>
      </c>
      <c r="CS14" s="153" t="s">
        <v>202</v>
      </c>
      <c r="CT14" t="s">
        <v>203</v>
      </c>
      <c r="CU14">
        <v>2.2000000000000002</v>
      </c>
      <c r="CV14" t="s">
        <v>204</v>
      </c>
      <c r="CW14" t="s">
        <v>166</v>
      </c>
      <c r="CX14" t="s">
        <v>166</v>
      </c>
      <c r="CY14" t="s">
        <v>166</v>
      </c>
      <c r="CZ14" t="s">
        <v>166</v>
      </c>
      <c r="DA14" s="154" t="s">
        <v>166</v>
      </c>
      <c r="DB14" t="s">
        <v>166</v>
      </c>
      <c r="DC14" t="s">
        <v>166</v>
      </c>
      <c r="DD14" t="s">
        <v>166</v>
      </c>
      <c r="DE14" t="s">
        <v>166</v>
      </c>
      <c r="DF14" t="s">
        <v>205</v>
      </c>
      <c r="DG14">
        <v>35</v>
      </c>
      <c r="DH14" t="s">
        <v>201</v>
      </c>
      <c r="DI14">
        <v>1</v>
      </c>
      <c r="DJ14" t="s">
        <v>206</v>
      </c>
      <c r="DK14">
        <v>17</v>
      </c>
      <c r="DL14" t="s">
        <v>166</v>
      </c>
      <c r="DM14" t="s">
        <v>166</v>
      </c>
      <c r="DN14" t="s">
        <v>207</v>
      </c>
      <c r="DO14">
        <v>38</v>
      </c>
      <c r="DP14" t="s">
        <v>208</v>
      </c>
      <c r="DQ14">
        <v>3</v>
      </c>
      <c r="DR14" t="s">
        <v>209</v>
      </c>
      <c r="DS14" t="s">
        <v>166</v>
      </c>
      <c r="DT14" t="s">
        <v>166</v>
      </c>
      <c r="DU14" t="s">
        <v>166</v>
      </c>
      <c r="DV14" t="s">
        <v>166</v>
      </c>
      <c r="DW14">
        <v>432.6</v>
      </c>
      <c r="DX14" t="s">
        <v>166</v>
      </c>
      <c r="DY14" t="s">
        <v>166</v>
      </c>
      <c r="DZ14" t="s">
        <v>210</v>
      </c>
      <c r="EA14" t="s">
        <v>211</v>
      </c>
      <c r="EB14" t="s">
        <v>212</v>
      </c>
      <c r="EC14" t="s">
        <v>166</v>
      </c>
      <c r="ED14" t="s">
        <v>213</v>
      </c>
      <c r="EE14" s="155" t="s">
        <v>214</v>
      </c>
      <c r="EF14" s="155" t="s">
        <v>214</v>
      </c>
      <c r="EG14">
        <v>1.0271999999999999</v>
      </c>
      <c r="EH14" t="s">
        <v>215</v>
      </c>
      <c r="EI14" t="s">
        <v>215</v>
      </c>
      <c r="EJ14" t="s">
        <v>216</v>
      </c>
      <c r="EK14" t="s">
        <v>215</v>
      </c>
      <c r="EL14" t="s">
        <v>215</v>
      </c>
      <c r="EM14" t="s">
        <v>217</v>
      </c>
      <c r="EN14" s="156" t="s">
        <v>214</v>
      </c>
      <c r="EO14" s="156" t="s">
        <v>214</v>
      </c>
      <c r="EP14" s="156" t="s">
        <v>214</v>
      </c>
      <c r="EQ14" s="156" t="s">
        <v>214</v>
      </c>
      <c r="ER14"/>
      <c r="ES14"/>
      <c r="ET14" t="s">
        <v>218</v>
      </c>
      <c r="EU14" t="s">
        <v>219</v>
      </c>
      <c r="EV14" t="s">
        <v>213</v>
      </c>
      <c r="EW14" t="s">
        <v>166</v>
      </c>
      <c r="EX14" t="s">
        <v>166</v>
      </c>
      <c r="EY14" t="s">
        <v>166</v>
      </c>
      <c r="EZ14" t="s">
        <v>166</v>
      </c>
      <c r="FA14" s="157">
        <v>6.5</v>
      </c>
      <c r="FB14" t="s">
        <v>220</v>
      </c>
      <c r="FC14" s="157">
        <v>1</v>
      </c>
      <c r="FD14" s="157">
        <v>1</v>
      </c>
      <c r="FE14" s="150">
        <v>7.6698208486114101</v>
      </c>
      <c r="FF14" t="s">
        <v>221</v>
      </c>
      <c r="FG14" s="150">
        <v>3.5205010454260055E-2</v>
      </c>
      <c r="FH14" s="150">
        <v>3.5577311284690438E-2</v>
      </c>
      <c r="FI14" s="144">
        <v>1226.9821491242501</v>
      </c>
      <c r="FJ14" t="s">
        <v>166</v>
      </c>
      <c r="FK14" t="s">
        <v>166</v>
      </c>
      <c r="FL14" s="144">
        <f t="shared" si="2"/>
        <v>1226.9821491242501</v>
      </c>
      <c r="FM14" s="144">
        <v>266.01542969296997</v>
      </c>
      <c r="FN14" s="144">
        <v>211.24337521407006</v>
      </c>
      <c r="FO14" t="s">
        <v>222</v>
      </c>
      <c r="FP14" t="s">
        <v>223</v>
      </c>
      <c r="FQ14" s="144" t="s">
        <v>166</v>
      </c>
      <c r="FR14" s="144" t="s">
        <v>166</v>
      </c>
      <c r="FS14" s="144" t="s">
        <v>166</v>
      </c>
      <c r="FT14" s="144" t="s">
        <v>166</v>
      </c>
      <c r="FU14" s="144" t="s">
        <v>166</v>
      </c>
      <c r="FV14" s="144" t="s">
        <v>166</v>
      </c>
      <c r="FW14" s="144" t="s">
        <v>166</v>
      </c>
      <c r="FX14" s="144" t="s">
        <v>166</v>
      </c>
      <c r="FY14" s="144" t="s">
        <v>166</v>
      </c>
      <c r="FZ14" s="144" t="s">
        <v>166</v>
      </c>
      <c r="GA14" s="144" t="s">
        <v>166</v>
      </c>
      <c r="GB14" s="144" t="s">
        <v>166</v>
      </c>
      <c r="GC14" s="158" t="s">
        <v>224</v>
      </c>
      <c r="GD14"/>
      <c r="GE14"/>
      <c r="GF14"/>
      <c r="GG14"/>
      <c r="GH14"/>
      <c r="GI14"/>
      <c r="GJ14"/>
      <c r="GK14"/>
      <c r="GL14"/>
    </row>
    <row r="15" spans="1:194" s="140" customFormat="1" ht="17">
      <c r="A15" s="140" t="s">
        <v>162</v>
      </c>
      <c r="B15" s="143" t="s">
        <v>163</v>
      </c>
      <c r="C15" s="140" t="s">
        <v>164</v>
      </c>
      <c r="D15" s="140" t="s">
        <v>165</v>
      </c>
      <c r="E15" s="140">
        <v>2020</v>
      </c>
      <c r="F15" t="s">
        <v>184</v>
      </c>
      <c r="G15" s="139">
        <v>50705</v>
      </c>
      <c r="H15" s="147">
        <f t="shared" ref="H15" si="12">0.0083*G15^(0.9482)</f>
        <v>240.1083418887205</v>
      </c>
      <c r="I15" s="147">
        <f t="shared" si="1"/>
        <v>240.1083418887205</v>
      </c>
      <c r="J15" s="144">
        <v>1157.47112389621</v>
      </c>
      <c r="K15" s="144">
        <v>221.02061579058</v>
      </c>
      <c r="L15" s="144">
        <v>211.376418891242</v>
      </c>
      <c r="M15" s="140" t="b">
        <v>1</v>
      </c>
      <c r="N15" s="140">
        <v>1</v>
      </c>
      <c r="O15" s="302" t="s">
        <v>581</v>
      </c>
      <c r="P15" s="140" t="s">
        <v>166</v>
      </c>
      <c r="Q15" s="140" t="s">
        <v>166</v>
      </c>
      <c r="R15" s="140" t="s">
        <v>166</v>
      </c>
      <c r="S15" s="140" t="b">
        <v>1</v>
      </c>
      <c r="T15" s="140" t="b">
        <v>0</v>
      </c>
      <c r="U15" s="140" t="s">
        <v>166</v>
      </c>
      <c r="V15" s="140" t="b">
        <v>0</v>
      </c>
      <c r="W15" s="140" t="b">
        <v>0</v>
      </c>
      <c r="X15" s="140" t="s">
        <v>580</v>
      </c>
      <c r="Y15" s="148" t="s">
        <v>186</v>
      </c>
      <c r="Z15" t="s">
        <v>184</v>
      </c>
      <c r="AA15" s="149">
        <v>1258</v>
      </c>
      <c r="AB15" s="149" t="s">
        <v>233</v>
      </c>
      <c r="AC15" s="149">
        <v>8</v>
      </c>
      <c r="AD15" s="149">
        <v>2</v>
      </c>
      <c r="AE15">
        <v>48</v>
      </c>
      <c r="AF15">
        <v>51.5</v>
      </c>
      <c r="AG15" s="150">
        <v>72.08</v>
      </c>
      <c r="AH15" s="159">
        <v>66.87</v>
      </c>
      <c r="AI15" t="s">
        <v>234</v>
      </c>
      <c r="AJ15" t="s">
        <v>188</v>
      </c>
      <c r="AK15" s="162">
        <v>9.4332999999999991</v>
      </c>
      <c r="AL15" s="162">
        <v>-54.7333</v>
      </c>
      <c r="AM15">
        <v>0.61730623245239258</v>
      </c>
      <c r="AN15" t="s">
        <v>166</v>
      </c>
      <c r="AO15">
        <v>-3192.2</v>
      </c>
      <c r="AP15">
        <v>-3200</v>
      </c>
      <c r="AQ15" t="s">
        <v>189</v>
      </c>
      <c r="AR15" t="s">
        <v>166</v>
      </c>
      <c r="AS15" s="150">
        <v>50.704999999999998</v>
      </c>
      <c r="AT15" t="s">
        <v>166</v>
      </c>
      <c r="AU15" t="s">
        <v>166</v>
      </c>
      <c r="AV15" t="s">
        <v>166</v>
      </c>
      <c r="AW15" t="s">
        <v>166</v>
      </c>
      <c r="AX15" t="s">
        <v>166</v>
      </c>
      <c r="AY15" t="s">
        <v>190</v>
      </c>
      <c r="AZ15" t="s">
        <v>166</v>
      </c>
      <c r="BA15" t="s">
        <v>166</v>
      </c>
      <c r="BB15" t="s">
        <v>166</v>
      </c>
      <c r="BC15" t="s">
        <v>166</v>
      </c>
      <c r="BD15" t="s">
        <v>166</v>
      </c>
      <c r="BE15" t="s">
        <v>166</v>
      </c>
      <c r="BF15" t="s">
        <v>166</v>
      </c>
      <c r="BG15" s="151" t="s">
        <v>242</v>
      </c>
      <c r="BH15" s="149" t="s">
        <v>192</v>
      </c>
      <c r="BI15" t="s">
        <v>166</v>
      </c>
      <c r="BJ15" s="152" t="s">
        <v>166</v>
      </c>
      <c r="BK15" t="s">
        <v>244</v>
      </c>
      <c r="BL15" t="s">
        <v>194</v>
      </c>
      <c r="BM15" t="s">
        <v>195</v>
      </c>
      <c r="BN15" t="s">
        <v>166</v>
      </c>
      <c r="BO15" t="s">
        <v>166</v>
      </c>
      <c r="BP15" t="s">
        <v>166</v>
      </c>
      <c r="BQ15" s="150">
        <v>14.795797174206871</v>
      </c>
      <c r="BR15" t="s">
        <v>196</v>
      </c>
      <c r="BS15" s="150">
        <v>0.22783403464438931</v>
      </c>
      <c r="BT15">
        <v>1</v>
      </c>
      <c r="BU15" t="s">
        <v>197</v>
      </c>
      <c r="BV15" t="s">
        <v>166</v>
      </c>
      <c r="BW15">
        <v>0</v>
      </c>
      <c r="BX15" t="s">
        <v>197</v>
      </c>
      <c r="BY15" t="s">
        <v>166</v>
      </c>
      <c r="BZ15" t="s">
        <v>198</v>
      </c>
      <c r="CA15" t="s">
        <v>166</v>
      </c>
      <c r="CB15" s="150">
        <v>14.795797174206871</v>
      </c>
      <c r="CC15" t="s">
        <v>196</v>
      </c>
      <c r="CD15" s="150">
        <v>0.22783403464438931</v>
      </c>
      <c r="CE15" t="s">
        <v>199</v>
      </c>
      <c r="CF15" t="s">
        <v>166</v>
      </c>
      <c r="CG15" t="s">
        <v>200</v>
      </c>
      <c r="CH15" t="s">
        <v>166</v>
      </c>
      <c r="CI15" t="s">
        <v>166</v>
      </c>
      <c r="CJ15" s="139">
        <v>38.561968268737836</v>
      </c>
      <c r="CK15" t="s">
        <v>201</v>
      </c>
      <c r="CL15">
        <v>2</v>
      </c>
      <c r="CM15">
        <v>2</v>
      </c>
      <c r="CN15" t="s">
        <v>166</v>
      </c>
      <c r="CO15" s="139">
        <v>4.7808923599312809</v>
      </c>
      <c r="CP15" t="s">
        <v>166</v>
      </c>
      <c r="CQ15" t="s">
        <v>166</v>
      </c>
      <c r="CR15" t="s">
        <v>166</v>
      </c>
      <c r="CS15" s="153" t="s">
        <v>202</v>
      </c>
      <c r="CT15" t="s">
        <v>203</v>
      </c>
      <c r="CU15">
        <v>2.2000000000000002</v>
      </c>
      <c r="CV15" t="s">
        <v>204</v>
      </c>
      <c r="CW15" t="s">
        <v>166</v>
      </c>
      <c r="CX15" t="s">
        <v>166</v>
      </c>
      <c r="CY15" t="s">
        <v>166</v>
      </c>
      <c r="CZ15" t="s">
        <v>166</v>
      </c>
      <c r="DA15" s="154" t="s">
        <v>166</v>
      </c>
      <c r="DB15" t="s">
        <v>166</v>
      </c>
      <c r="DC15" t="s">
        <v>166</v>
      </c>
      <c r="DD15" t="s">
        <v>166</v>
      </c>
      <c r="DE15" t="s">
        <v>166</v>
      </c>
      <c r="DF15" t="s">
        <v>205</v>
      </c>
      <c r="DG15">
        <v>35</v>
      </c>
      <c r="DH15" t="s">
        <v>201</v>
      </c>
      <c r="DI15">
        <v>1</v>
      </c>
      <c r="DJ15" t="s">
        <v>206</v>
      </c>
      <c r="DK15">
        <v>17</v>
      </c>
      <c r="DL15" t="s">
        <v>166</v>
      </c>
      <c r="DM15" t="s">
        <v>166</v>
      </c>
      <c r="DN15" t="s">
        <v>207</v>
      </c>
      <c r="DO15">
        <v>38</v>
      </c>
      <c r="DP15" t="s">
        <v>208</v>
      </c>
      <c r="DQ15">
        <v>3</v>
      </c>
      <c r="DR15" t="s">
        <v>209</v>
      </c>
      <c r="DS15" t="s">
        <v>166</v>
      </c>
      <c r="DT15" t="s">
        <v>166</v>
      </c>
      <c r="DU15" t="s">
        <v>166</v>
      </c>
      <c r="DV15" t="s">
        <v>166</v>
      </c>
      <c r="DW15">
        <v>432.6</v>
      </c>
      <c r="DX15" t="s">
        <v>166</v>
      </c>
      <c r="DY15" t="s">
        <v>166</v>
      </c>
      <c r="DZ15" t="s">
        <v>210</v>
      </c>
      <c r="EA15" t="s">
        <v>211</v>
      </c>
      <c r="EB15" t="s">
        <v>212</v>
      </c>
      <c r="EC15" t="s">
        <v>166</v>
      </c>
      <c r="ED15" t="s">
        <v>213</v>
      </c>
      <c r="EE15" s="155" t="s">
        <v>214</v>
      </c>
      <c r="EF15" s="155" t="s">
        <v>214</v>
      </c>
      <c r="EG15">
        <v>1.0271999999999999</v>
      </c>
      <c r="EH15" t="s">
        <v>215</v>
      </c>
      <c r="EI15" t="s">
        <v>215</v>
      </c>
      <c r="EJ15" t="s">
        <v>216</v>
      </c>
      <c r="EK15" t="s">
        <v>215</v>
      </c>
      <c r="EL15" t="s">
        <v>215</v>
      </c>
      <c r="EM15" t="s">
        <v>217</v>
      </c>
      <c r="EN15" s="156" t="s">
        <v>214</v>
      </c>
      <c r="EO15" s="156" t="s">
        <v>214</v>
      </c>
      <c r="EP15" s="156" t="s">
        <v>214</v>
      </c>
      <c r="EQ15" s="156" t="s">
        <v>214</v>
      </c>
      <c r="ER15"/>
      <c r="ES15"/>
      <c r="ET15" t="s">
        <v>218</v>
      </c>
      <c r="EU15" t="s">
        <v>219</v>
      </c>
      <c r="EV15" t="s">
        <v>213</v>
      </c>
      <c r="EW15" t="s">
        <v>166</v>
      </c>
      <c r="EX15" t="s">
        <v>166</v>
      </c>
      <c r="EY15" t="s">
        <v>166</v>
      </c>
      <c r="EZ15" t="s">
        <v>166</v>
      </c>
      <c r="FA15" s="157">
        <v>6.5</v>
      </c>
      <c r="FB15" t="s">
        <v>220</v>
      </c>
      <c r="FC15" s="157">
        <v>1</v>
      </c>
      <c r="FD15" s="157">
        <v>1</v>
      </c>
      <c r="FE15" s="150">
        <v>7.65710547887769</v>
      </c>
      <c r="FF15" t="s">
        <v>221</v>
      </c>
      <c r="FG15" s="150">
        <v>3.4044328454339912E-2</v>
      </c>
      <c r="FH15" s="150">
        <v>3.5168702642869754E-2</v>
      </c>
      <c r="FI15" s="144">
        <v>1157.47112389621</v>
      </c>
      <c r="FJ15" t="s">
        <v>166</v>
      </c>
      <c r="FK15" t="s">
        <v>166</v>
      </c>
      <c r="FL15" s="144">
        <f t="shared" si="2"/>
        <v>1157.47112389621</v>
      </c>
      <c r="FM15" s="144">
        <v>221.02061579058</v>
      </c>
      <c r="FN15" s="144">
        <v>211.376418891242</v>
      </c>
      <c r="FO15" t="s">
        <v>222</v>
      </c>
      <c r="FP15" t="s">
        <v>223</v>
      </c>
      <c r="FQ15" s="144" t="s">
        <v>166</v>
      </c>
      <c r="FR15" s="144" t="s">
        <v>166</v>
      </c>
      <c r="FS15" s="144" t="s">
        <v>166</v>
      </c>
      <c r="FT15" s="144" t="s">
        <v>166</v>
      </c>
      <c r="FU15" s="144" t="s">
        <v>166</v>
      </c>
      <c r="FV15" s="144" t="s">
        <v>166</v>
      </c>
      <c r="FW15" s="144" t="s">
        <v>166</v>
      </c>
      <c r="FX15" s="144" t="s">
        <v>166</v>
      </c>
      <c r="FY15" s="144" t="s">
        <v>166</v>
      </c>
      <c r="FZ15" s="144" t="s">
        <v>166</v>
      </c>
      <c r="GA15" s="144" t="s">
        <v>166</v>
      </c>
      <c r="GB15" s="144" t="s">
        <v>166</v>
      </c>
      <c r="GC15" s="158" t="s">
        <v>224</v>
      </c>
      <c r="GD15"/>
      <c r="GE15"/>
      <c r="GF15"/>
      <c r="GG15"/>
      <c r="GH15"/>
      <c r="GI15"/>
      <c r="GJ15"/>
      <c r="GK15"/>
      <c r="GL15"/>
    </row>
    <row r="16" spans="1:194" s="140" customFormat="1" ht="17">
      <c r="A16" s="140" t="s">
        <v>162</v>
      </c>
      <c r="B16" s="143" t="s">
        <v>163</v>
      </c>
      <c r="C16" s="140" t="s">
        <v>164</v>
      </c>
      <c r="D16" s="140" t="s">
        <v>165</v>
      </c>
      <c r="E16" s="140">
        <v>2020</v>
      </c>
      <c r="F16" t="s">
        <v>184</v>
      </c>
      <c r="G16" s="139">
        <v>50856</v>
      </c>
      <c r="H16" s="147">
        <f t="shared" ref="H16" si="13">0.0083*G16^(0.9482)</f>
        <v>240.78629537157894</v>
      </c>
      <c r="I16" s="147">
        <f t="shared" si="1"/>
        <v>240.78629537157894</v>
      </c>
      <c r="J16" s="144">
        <v>1135.37905734027</v>
      </c>
      <c r="K16" s="144">
        <v>235.29055620092004</v>
      </c>
      <c r="L16" s="144">
        <v>187.46978543031003</v>
      </c>
      <c r="M16" s="140" t="b">
        <v>1</v>
      </c>
      <c r="N16" s="140">
        <v>1</v>
      </c>
      <c r="O16" s="302" t="s">
        <v>581</v>
      </c>
      <c r="P16" s="140" t="s">
        <v>166</v>
      </c>
      <c r="Q16" s="140" t="s">
        <v>166</v>
      </c>
      <c r="R16" s="140" t="s">
        <v>166</v>
      </c>
      <c r="S16" s="140" t="b">
        <v>1</v>
      </c>
      <c r="T16" s="140" t="b">
        <v>0</v>
      </c>
      <c r="U16" s="140" t="s">
        <v>166</v>
      </c>
      <c r="V16" s="140" t="b">
        <v>0</v>
      </c>
      <c r="W16" s="140" t="b">
        <v>0</v>
      </c>
      <c r="X16" s="140" t="s">
        <v>580</v>
      </c>
      <c r="Y16" s="148" t="s">
        <v>186</v>
      </c>
      <c r="Z16" t="s">
        <v>184</v>
      </c>
      <c r="AA16" s="149">
        <v>1258</v>
      </c>
      <c r="AB16" s="149" t="s">
        <v>187</v>
      </c>
      <c r="AC16" s="149">
        <v>9</v>
      </c>
      <c r="AD16" s="149">
        <v>2</v>
      </c>
      <c r="AE16">
        <v>53.5</v>
      </c>
      <c r="AF16">
        <v>57</v>
      </c>
      <c r="AG16" s="150">
        <v>73.935000000000002</v>
      </c>
      <c r="AH16" s="159">
        <v>69.475000000000009</v>
      </c>
      <c r="AI16" t="s">
        <v>234</v>
      </c>
      <c r="AJ16" t="s">
        <v>188</v>
      </c>
      <c r="AK16">
        <v>9.4332999999999991</v>
      </c>
      <c r="AL16">
        <v>-54.7333</v>
      </c>
      <c r="AM16">
        <v>0.22730898857116699</v>
      </c>
      <c r="AN16" t="s">
        <v>166</v>
      </c>
      <c r="AO16">
        <v>-3192.2</v>
      </c>
      <c r="AP16">
        <v>-3200</v>
      </c>
      <c r="AQ16" t="s">
        <v>189</v>
      </c>
      <c r="AR16" t="s">
        <v>166</v>
      </c>
      <c r="AS16" s="150">
        <v>50.856000000000002</v>
      </c>
      <c r="AT16" t="s">
        <v>166</v>
      </c>
      <c r="AU16" t="s">
        <v>166</v>
      </c>
      <c r="AV16" t="s">
        <v>166</v>
      </c>
      <c r="AW16" t="s">
        <v>166</v>
      </c>
      <c r="AX16" t="s">
        <v>166</v>
      </c>
      <c r="AY16" t="s">
        <v>190</v>
      </c>
      <c r="AZ16" t="s">
        <v>166</v>
      </c>
      <c r="BA16" t="s">
        <v>166</v>
      </c>
      <c r="BB16" t="s">
        <v>166</v>
      </c>
      <c r="BC16" t="s">
        <v>166</v>
      </c>
      <c r="BD16" t="s">
        <v>166</v>
      </c>
      <c r="BE16" t="s">
        <v>166</v>
      </c>
      <c r="BF16" t="s">
        <v>166</v>
      </c>
      <c r="BG16" s="151" t="s">
        <v>242</v>
      </c>
      <c r="BH16" s="149" t="s">
        <v>192</v>
      </c>
      <c r="BI16" t="s">
        <v>166</v>
      </c>
      <c r="BJ16" s="152" t="s">
        <v>166</v>
      </c>
      <c r="BK16" t="s">
        <v>245</v>
      </c>
      <c r="BL16" t="s">
        <v>194</v>
      </c>
      <c r="BM16" t="s">
        <v>195</v>
      </c>
      <c r="BN16" t="s">
        <v>166</v>
      </c>
      <c r="BO16" t="s">
        <v>166</v>
      </c>
      <c r="BP16" t="s">
        <v>166</v>
      </c>
      <c r="BQ16" s="150">
        <v>14.765644200464777</v>
      </c>
      <c r="BR16" t="s">
        <v>196</v>
      </c>
      <c r="BS16" s="150">
        <v>0.23386206960743186</v>
      </c>
      <c r="BT16">
        <v>1</v>
      </c>
      <c r="BU16" t="s">
        <v>197</v>
      </c>
      <c r="BV16" t="s">
        <v>166</v>
      </c>
      <c r="BW16">
        <v>0</v>
      </c>
      <c r="BX16" t="s">
        <v>197</v>
      </c>
      <c r="BY16" t="s">
        <v>166</v>
      </c>
      <c r="BZ16" t="s">
        <v>198</v>
      </c>
      <c r="CA16" t="s">
        <v>166</v>
      </c>
      <c r="CB16" s="150">
        <v>14.765644200464777</v>
      </c>
      <c r="CC16" t="s">
        <v>196</v>
      </c>
      <c r="CD16" s="150">
        <v>0.23386206960743186</v>
      </c>
      <c r="CE16" t="s">
        <v>199</v>
      </c>
      <c r="CF16" t="s">
        <v>166</v>
      </c>
      <c r="CG16" t="s">
        <v>200</v>
      </c>
      <c r="CH16" t="s">
        <v>166</v>
      </c>
      <c r="CI16" t="s">
        <v>166</v>
      </c>
      <c r="CJ16" s="139">
        <v>36.139503112947018</v>
      </c>
      <c r="CK16" t="s">
        <v>201</v>
      </c>
      <c r="CL16">
        <v>2</v>
      </c>
      <c r="CM16">
        <v>2</v>
      </c>
      <c r="CN16" t="s">
        <v>166</v>
      </c>
      <c r="CO16" s="139">
        <v>4.1707146049265029</v>
      </c>
      <c r="CP16" t="s">
        <v>166</v>
      </c>
      <c r="CQ16" t="s">
        <v>166</v>
      </c>
      <c r="CR16" t="s">
        <v>166</v>
      </c>
      <c r="CS16" s="153" t="s">
        <v>202</v>
      </c>
      <c r="CT16" t="s">
        <v>203</v>
      </c>
      <c r="CU16">
        <v>2.2000000000000002</v>
      </c>
      <c r="CV16" t="s">
        <v>204</v>
      </c>
      <c r="CW16" t="s">
        <v>166</v>
      </c>
      <c r="CX16" t="s">
        <v>166</v>
      </c>
      <c r="CY16" t="s">
        <v>166</v>
      </c>
      <c r="CZ16" t="s">
        <v>166</v>
      </c>
      <c r="DA16" s="154" t="s">
        <v>166</v>
      </c>
      <c r="DB16" t="s">
        <v>166</v>
      </c>
      <c r="DC16" t="s">
        <v>166</v>
      </c>
      <c r="DD16" t="s">
        <v>166</v>
      </c>
      <c r="DE16" t="s">
        <v>166</v>
      </c>
      <c r="DF16" t="s">
        <v>205</v>
      </c>
      <c r="DG16">
        <v>35</v>
      </c>
      <c r="DH16" t="s">
        <v>201</v>
      </c>
      <c r="DI16">
        <v>1</v>
      </c>
      <c r="DJ16" t="s">
        <v>206</v>
      </c>
      <c r="DK16">
        <v>17</v>
      </c>
      <c r="DL16" t="s">
        <v>166</v>
      </c>
      <c r="DM16" t="s">
        <v>166</v>
      </c>
      <c r="DN16" t="s">
        <v>207</v>
      </c>
      <c r="DO16">
        <v>38</v>
      </c>
      <c r="DP16" t="s">
        <v>208</v>
      </c>
      <c r="DQ16">
        <v>3</v>
      </c>
      <c r="DR16" t="s">
        <v>209</v>
      </c>
      <c r="DS16" t="s">
        <v>166</v>
      </c>
      <c r="DT16" t="s">
        <v>166</v>
      </c>
      <c r="DU16" t="s">
        <v>166</v>
      </c>
      <c r="DV16" t="s">
        <v>166</v>
      </c>
      <c r="DW16">
        <v>432.6</v>
      </c>
      <c r="DX16" t="s">
        <v>166</v>
      </c>
      <c r="DY16" t="s">
        <v>166</v>
      </c>
      <c r="DZ16" t="s">
        <v>210</v>
      </c>
      <c r="EA16" t="s">
        <v>211</v>
      </c>
      <c r="EB16" t="s">
        <v>212</v>
      </c>
      <c r="EC16" t="s">
        <v>166</v>
      </c>
      <c r="ED16" t="s">
        <v>213</v>
      </c>
      <c r="EE16" s="155" t="s">
        <v>214</v>
      </c>
      <c r="EF16" s="155" t="s">
        <v>214</v>
      </c>
      <c r="EG16">
        <v>1.0271999999999999</v>
      </c>
      <c r="EH16" t="s">
        <v>215</v>
      </c>
      <c r="EI16" t="s">
        <v>215</v>
      </c>
      <c r="EJ16" t="s">
        <v>216</v>
      </c>
      <c r="EK16" t="s">
        <v>215</v>
      </c>
      <c r="EL16" t="s">
        <v>215</v>
      </c>
      <c r="EM16" t="s">
        <v>217</v>
      </c>
      <c r="EN16" s="156" t="s">
        <v>214</v>
      </c>
      <c r="EO16" s="156" t="s">
        <v>214</v>
      </c>
      <c r="EP16" s="156" t="s">
        <v>214</v>
      </c>
      <c r="EQ16" s="156" t="s">
        <v>214</v>
      </c>
      <c r="ER16"/>
      <c r="ES16"/>
      <c r="ET16" t="s">
        <v>218</v>
      </c>
      <c r="EU16" t="s">
        <v>219</v>
      </c>
      <c r="EV16" t="s">
        <v>213</v>
      </c>
      <c r="EW16" t="s">
        <v>166</v>
      </c>
      <c r="EX16" t="s">
        <v>166</v>
      </c>
      <c r="EY16" t="s">
        <v>166</v>
      </c>
      <c r="EZ16" t="s">
        <v>166</v>
      </c>
      <c r="FA16" s="157">
        <v>6.5</v>
      </c>
      <c r="FB16" t="s">
        <v>220</v>
      </c>
      <c r="FC16" s="157">
        <v>1</v>
      </c>
      <c r="FD16" s="157">
        <v>1</v>
      </c>
      <c r="FE16" s="150">
        <v>7.6767906119920397</v>
      </c>
      <c r="FF16" t="s">
        <v>221</v>
      </c>
      <c r="FG16" s="150">
        <v>3.7952065912040034E-2</v>
      </c>
      <c r="FH16" s="150">
        <v>3.2957270247059967E-2</v>
      </c>
      <c r="FI16" s="144">
        <v>1135.37905734027</v>
      </c>
      <c r="FJ16" t="s">
        <v>166</v>
      </c>
      <c r="FK16" t="s">
        <v>166</v>
      </c>
      <c r="FL16" s="144">
        <f t="shared" si="2"/>
        <v>1135.37905734027</v>
      </c>
      <c r="FM16" s="144">
        <v>235.29055620092004</v>
      </c>
      <c r="FN16" s="144">
        <v>187.46978543031003</v>
      </c>
      <c r="FO16" t="s">
        <v>222</v>
      </c>
      <c r="FP16" t="s">
        <v>223</v>
      </c>
      <c r="FQ16" s="144" t="s">
        <v>166</v>
      </c>
      <c r="FR16" s="144" t="s">
        <v>166</v>
      </c>
      <c r="FS16" s="144" t="s">
        <v>166</v>
      </c>
      <c r="FT16" s="144" t="s">
        <v>166</v>
      </c>
      <c r="FU16" s="144" t="s">
        <v>166</v>
      </c>
      <c r="FV16" s="144" t="s">
        <v>166</v>
      </c>
      <c r="FW16" s="144" t="s">
        <v>166</v>
      </c>
      <c r="FX16" s="144" t="s">
        <v>166</v>
      </c>
      <c r="FY16" s="144" t="s">
        <v>166</v>
      </c>
      <c r="FZ16" s="144" t="s">
        <v>166</v>
      </c>
      <c r="GA16" s="144" t="s">
        <v>166</v>
      </c>
      <c r="GB16" s="144" t="s">
        <v>166</v>
      </c>
      <c r="GC16" s="158" t="s">
        <v>224</v>
      </c>
      <c r="GD16"/>
      <c r="GE16"/>
      <c r="GF16"/>
      <c r="GG16"/>
      <c r="GH16"/>
      <c r="GI16"/>
      <c r="GJ16"/>
      <c r="GK16"/>
      <c r="GL16"/>
    </row>
    <row r="17" spans="1:194" s="140" customFormat="1" ht="17">
      <c r="A17" s="140" t="s">
        <v>162</v>
      </c>
      <c r="B17" s="143" t="s">
        <v>163</v>
      </c>
      <c r="C17" s="140" t="s">
        <v>164</v>
      </c>
      <c r="D17" s="140" t="s">
        <v>165</v>
      </c>
      <c r="E17" s="140">
        <v>2020</v>
      </c>
      <c r="F17" t="s">
        <v>184</v>
      </c>
      <c r="G17" s="139">
        <v>51980</v>
      </c>
      <c r="H17" s="147">
        <f t="shared" ref="H17" si="14">0.0083*G17^(0.9482)</f>
        <v>245.82952867537867</v>
      </c>
      <c r="I17" s="147">
        <f t="shared" si="1"/>
        <v>245.82952867537867</v>
      </c>
      <c r="J17" s="144">
        <v>1285.0984415114801</v>
      </c>
      <c r="K17" s="144">
        <v>286.79048823620997</v>
      </c>
      <c r="L17" s="144">
        <v>217.55487179577017</v>
      </c>
      <c r="M17" s="140" t="b">
        <v>1</v>
      </c>
      <c r="N17" s="140">
        <v>1</v>
      </c>
      <c r="O17" s="302" t="s">
        <v>581</v>
      </c>
      <c r="P17" s="140" t="s">
        <v>166</v>
      </c>
      <c r="Q17" s="140" t="s">
        <v>166</v>
      </c>
      <c r="R17" s="140" t="s">
        <v>166</v>
      </c>
      <c r="S17" s="140" t="b">
        <v>1</v>
      </c>
      <c r="T17" s="140" t="b">
        <v>0</v>
      </c>
      <c r="U17" s="140" t="s">
        <v>166</v>
      </c>
      <c r="V17" s="140" t="b">
        <v>0</v>
      </c>
      <c r="W17" s="140" t="b">
        <v>0</v>
      </c>
      <c r="X17" s="140" t="s">
        <v>580</v>
      </c>
      <c r="Y17" s="148" t="s">
        <v>186</v>
      </c>
      <c r="Z17" t="s">
        <v>184</v>
      </c>
      <c r="AA17" s="149">
        <v>1258</v>
      </c>
      <c r="AB17" s="149" t="s">
        <v>187</v>
      </c>
      <c r="AC17" s="149">
        <v>10</v>
      </c>
      <c r="AD17" s="149">
        <v>4</v>
      </c>
      <c r="AE17">
        <v>46.5</v>
      </c>
      <c r="AF17">
        <v>50</v>
      </c>
      <c r="AG17" s="150">
        <v>86.564999999999998</v>
      </c>
      <c r="AH17" s="159">
        <v>82.344999999999999</v>
      </c>
      <c r="AI17" t="s">
        <v>234</v>
      </c>
      <c r="AJ17" t="s">
        <v>188</v>
      </c>
      <c r="AK17">
        <v>9.4332999999999991</v>
      </c>
      <c r="AL17">
        <v>-54.7333</v>
      </c>
      <c r="AM17">
        <v>0.24503429234027863</v>
      </c>
      <c r="AN17" t="s">
        <v>166</v>
      </c>
      <c r="AO17">
        <v>-3192.2</v>
      </c>
      <c r="AP17">
        <v>-3200</v>
      </c>
      <c r="AQ17" t="s">
        <v>189</v>
      </c>
      <c r="AR17" t="s">
        <v>166</v>
      </c>
      <c r="AS17" s="150">
        <v>51.98</v>
      </c>
      <c r="AT17" t="s">
        <v>166</v>
      </c>
      <c r="AU17" t="s">
        <v>166</v>
      </c>
      <c r="AV17" t="s">
        <v>166</v>
      </c>
      <c r="AW17" t="s">
        <v>166</v>
      </c>
      <c r="AX17" t="s">
        <v>166</v>
      </c>
      <c r="AY17" t="s">
        <v>190</v>
      </c>
      <c r="AZ17" t="s">
        <v>166</v>
      </c>
      <c r="BA17" t="s">
        <v>166</v>
      </c>
      <c r="BB17" t="s">
        <v>166</v>
      </c>
      <c r="BC17" t="s">
        <v>166</v>
      </c>
      <c r="BD17" t="s">
        <v>166</v>
      </c>
      <c r="BE17" t="s">
        <v>166</v>
      </c>
      <c r="BF17" t="s">
        <v>166</v>
      </c>
      <c r="BG17" s="151" t="s">
        <v>242</v>
      </c>
      <c r="BH17" s="149" t="s">
        <v>192</v>
      </c>
      <c r="BI17" t="s">
        <v>166</v>
      </c>
      <c r="BJ17" s="152" t="s">
        <v>166</v>
      </c>
      <c r="BK17" t="s">
        <v>246</v>
      </c>
      <c r="BL17" t="s">
        <v>194</v>
      </c>
      <c r="BM17" t="s">
        <v>195</v>
      </c>
      <c r="BN17" t="s">
        <v>166</v>
      </c>
      <c r="BO17" t="s">
        <v>166</v>
      </c>
      <c r="BP17" t="s">
        <v>166</v>
      </c>
      <c r="BQ17" s="150">
        <v>14.574118308030792</v>
      </c>
      <c r="BR17" t="s">
        <v>196</v>
      </c>
      <c r="BS17" s="150">
        <v>0.25346521858352772</v>
      </c>
      <c r="BT17">
        <v>1</v>
      </c>
      <c r="BU17" t="s">
        <v>197</v>
      </c>
      <c r="BV17" t="s">
        <v>166</v>
      </c>
      <c r="BW17">
        <v>0</v>
      </c>
      <c r="BX17" t="s">
        <v>197</v>
      </c>
      <c r="BY17" t="s">
        <v>166</v>
      </c>
      <c r="BZ17" t="s">
        <v>198</v>
      </c>
      <c r="CA17" t="s">
        <v>166</v>
      </c>
      <c r="CB17" s="150">
        <v>14.574118308030792</v>
      </c>
      <c r="CC17" t="s">
        <v>196</v>
      </c>
      <c r="CD17" s="150">
        <v>0.25346521858352772</v>
      </c>
      <c r="CE17" t="s">
        <v>199</v>
      </c>
      <c r="CF17" t="s">
        <v>166</v>
      </c>
      <c r="CG17" t="s">
        <v>200</v>
      </c>
      <c r="CH17" t="s">
        <v>166</v>
      </c>
      <c r="CI17" t="s">
        <v>166</v>
      </c>
      <c r="CJ17" s="139">
        <v>37.290923868680721</v>
      </c>
      <c r="CK17" t="s">
        <v>201</v>
      </c>
      <c r="CL17">
        <v>2</v>
      </c>
      <c r="CM17">
        <v>2</v>
      </c>
      <c r="CN17" t="s">
        <v>166</v>
      </c>
      <c r="CO17" s="139">
        <v>4.4503647926421062</v>
      </c>
      <c r="CP17" t="s">
        <v>166</v>
      </c>
      <c r="CQ17" t="s">
        <v>166</v>
      </c>
      <c r="CR17" t="s">
        <v>166</v>
      </c>
      <c r="CS17" s="153" t="s">
        <v>202</v>
      </c>
      <c r="CT17" t="s">
        <v>203</v>
      </c>
      <c r="CU17">
        <v>2.2000000000000002</v>
      </c>
      <c r="CV17" t="s">
        <v>204</v>
      </c>
      <c r="CW17" t="s">
        <v>166</v>
      </c>
      <c r="CX17" t="s">
        <v>166</v>
      </c>
      <c r="CY17" t="s">
        <v>166</v>
      </c>
      <c r="CZ17" t="s">
        <v>166</v>
      </c>
      <c r="DA17" s="154" t="s">
        <v>166</v>
      </c>
      <c r="DB17" t="s">
        <v>166</v>
      </c>
      <c r="DC17" t="s">
        <v>166</v>
      </c>
      <c r="DD17" t="s">
        <v>166</v>
      </c>
      <c r="DE17" t="s">
        <v>166</v>
      </c>
      <c r="DF17" t="s">
        <v>205</v>
      </c>
      <c r="DG17">
        <v>35</v>
      </c>
      <c r="DH17" t="s">
        <v>201</v>
      </c>
      <c r="DI17">
        <v>1</v>
      </c>
      <c r="DJ17" t="s">
        <v>206</v>
      </c>
      <c r="DK17">
        <v>17</v>
      </c>
      <c r="DL17" t="s">
        <v>166</v>
      </c>
      <c r="DM17" t="s">
        <v>166</v>
      </c>
      <c r="DN17" t="s">
        <v>207</v>
      </c>
      <c r="DO17">
        <v>38</v>
      </c>
      <c r="DP17" t="s">
        <v>208</v>
      </c>
      <c r="DQ17">
        <v>3</v>
      </c>
      <c r="DR17" t="s">
        <v>209</v>
      </c>
      <c r="DS17" t="s">
        <v>166</v>
      </c>
      <c r="DT17" t="s">
        <v>166</v>
      </c>
      <c r="DU17" t="s">
        <v>166</v>
      </c>
      <c r="DV17" t="s">
        <v>166</v>
      </c>
      <c r="DW17">
        <v>432.6</v>
      </c>
      <c r="DX17" t="s">
        <v>166</v>
      </c>
      <c r="DY17" t="s">
        <v>166</v>
      </c>
      <c r="DZ17" t="s">
        <v>210</v>
      </c>
      <c r="EA17" t="s">
        <v>211</v>
      </c>
      <c r="EB17" t="s">
        <v>212</v>
      </c>
      <c r="EC17" t="s">
        <v>166</v>
      </c>
      <c r="ED17" t="s">
        <v>213</v>
      </c>
      <c r="EE17" s="155" t="s">
        <v>214</v>
      </c>
      <c r="EF17" s="155" t="s">
        <v>214</v>
      </c>
      <c r="EG17">
        <v>1.0271999999999999</v>
      </c>
      <c r="EH17" t="s">
        <v>215</v>
      </c>
      <c r="EI17" t="s">
        <v>215</v>
      </c>
      <c r="EJ17" t="s">
        <v>216</v>
      </c>
      <c r="EK17" t="s">
        <v>215</v>
      </c>
      <c r="EL17" t="s">
        <v>215</v>
      </c>
      <c r="EM17" t="s">
        <v>217</v>
      </c>
      <c r="EN17" s="156" t="s">
        <v>214</v>
      </c>
      <c r="EO17" s="156" t="s">
        <v>214</v>
      </c>
      <c r="EP17" s="156" t="s">
        <v>214</v>
      </c>
      <c r="EQ17" s="156" t="s">
        <v>214</v>
      </c>
      <c r="ER17"/>
      <c r="ES17"/>
      <c r="ET17" t="s">
        <v>218</v>
      </c>
      <c r="EU17" t="s">
        <v>219</v>
      </c>
      <c r="EV17" t="s">
        <v>213</v>
      </c>
      <c r="EW17" t="s">
        <v>166</v>
      </c>
      <c r="EX17" t="s">
        <v>166</v>
      </c>
      <c r="EY17" t="s">
        <v>166</v>
      </c>
      <c r="EZ17" t="s">
        <v>166</v>
      </c>
      <c r="FA17" s="157">
        <v>6.5</v>
      </c>
      <c r="FB17" t="s">
        <v>220</v>
      </c>
      <c r="FC17" s="157">
        <v>1</v>
      </c>
      <c r="FD17" s="157">
        <v>1</v>
      </c>
      <c r="FE17" s="150">
        <v>7.6405415581300398</v>
      </c>
      <c r="FF17" t="s">
        <v>221</v>
      </c>
      <c r="FG17" s="150">
        <v>3.7677762446549856E-2</v>
      </c>
      <c r="FH17" s="150">
        <v>3.7827097806649945E-2</v>
      </c>
      <c r="FI17" s="144">
        <v>1285.0984415114801</v>
      </c>
      <c r="FJ17" t="s">
        <v>166</v>
      </c>
      <c r="FK17" t="s">
        <v>166</v>
      </c>
      <c r="FL17" s="144">
        <f t="shared" si="2"/>
        <v>1285.0984415114801</v>
      </c>
      <c r="FM17" s="144">
        <v>286.79048823620997</v>
      </c>
      <c r="FN17" s="144">
        <v>217.55487179577017</v>
      </c>
      <c r="FO17" t="s">
        <v>222</v>
      </c>
      <c r="FP17" t="s">
        <v>223</v>
      </c>
      <c r="FQ17" s="144" t="s">
        <v>166</v>
      </c>
      <c r="FR17" s="144" t="s">
        <v>166</v>
      </c>
      <c r="FS17" s="144" t="s">
        <v>166</v>
      </c>
      <c r="FT17" s="144" t="s">
        <v>166</v>
      </c>
      <c r="FU17" s="144" t="s">
        <v>166</v>
      </c>
      <c r="FV17" s="144" t="s">
        <v>166</v>
      </c>
      <c r="FW17" s="144" t="s">
        <v>166</v>
      </c>
      <c r="FX17" s="144" t="s">
        <v>166</v>
      </c>
      <c r="FY17" s="144" t="s">
        <v>166</v>
      </c>
      <c r="FZ17" s="144" t="s">
        <v>166</v>
      </c>
      <c r="GA17" s="144" t="s">
        <v>166</v>
      </c>
      <c r="GB17" s="144" t="s">
        <v>166</v>
      </c>
      <c r="GC17" s="158" t="s">
        <v>224</v>
      </c>
      <c r="GD17"/>
      <c r="GE17"/>
      <c r="GF17"/>
      <c r="GG17"/>
      <c r="GH17"/>
      <c r="GI17"/>
      <c r="GJ17"/>
      <c r="GK17"/>
      <c r="GL17"/>
    </row>
    <row r="18" spans="1:194" s="140" customFormat="1" ht="17">
      <c r="A18" s="140" t="s">
        <v>162</v>
      </c>
      <c r="B18" s="143" t="s">
        <v>163</v>
      </c>
      <c r="C18" s="140" t="s">
        <v>164</v>
      </c>
      <c r="D18" s="140" t="s">
        <v>165</v>
      </c>
      <c r="E18" s="140">
        <v>2020</v>
      </c>
      <c r="F18" t="s">
        <v>184</v>
      </c>
      <c r="G18" s="139">
        <v>51980</v>
      </c>
      <c r="H18" s="147">
        <f t="shared" ref="H18" si="15">0.0083*G18^(0.9482)</f>
        <v>245.82952867537867</v>
      </c>
      <c r="I18" s="147">
        <f t="shared" si="1"/>
        <v>245.82952867537867</v>
      </c>
      <c r="J18" s="144">
        <v>1011.62153068053</v>
      </c>
      <c r="K18" s="144">
        <v>207.34861449046002</v>
      </c>
      <c r="L18" s="144">
        <v>171.26260772649698</v>
      </c>
      <c r="M18" s="140" t="b">
        <v>1</v>
      </c>
      <c r="N18" s="140">
        <v>1</v>
      </c>
      <c r="O18" s="302" t="s">
        <v>581</v>
      </c>
      <c r="P18" s="140" t="s">
        <v>166</v>
      </c>
      <c r="Q18" s="140" t="s">
        <v>166</v>
      </c>
      <c r="R18" s="140" t="s">
        <v>166</v>
      </c>
      <c r="S18" s="140" t="b">
        <v>1</v>
      </c>
      <c r="T18" s="140" t="b">
        <v>0</v>
      </c>
      <c r="U18" s="140" t="s">
        <v>166</v>
      </c>
      <c r="V18" s="140" t="b">
        <v>0</v>
      </c>
      <c r="W18" s="140" t="b">
        <v>0</v>
      </c>
      <c r="X18" s="140" t="s">
        <v>580</v>
      </c>
      <c r="Y18" s="148" t="s">
        <v>186</v>
      </c>
      <c r="Z18" t="s">
        <v>184</v>
      </c>
      <c r="AA18" s="149">
        <v>1258</v>
      </c>
      <c r="AB18" s="149" t="s">
        <v>187</v>
      </c>
      <c r="AC18" s="149">
        <v>10</v>
      </c>
      <c r="AD18" s="149">
        <v>4</v>
      </c>
      <c r="AE18">
        <v>46.5</v>
      </c>
      <c r="AF18">
        <v>50</v>
      </c>
      <c r="AG18" s="150">
        <v>86.564999999999998</v>
      </c>
      <c r="AH18" s="159">
        <v>82.344999999999999</v>
      </c>
      <c r="AI18" t="s">
        <v>234</v>
      </c>
      <c r="AJ18" t="s">
        <v>188</v>
      </c>
      <c r="AK18">
        <v>9.4332999999999991</v>
      </c>
      <c r="AL18">
        <v>-54.7333</v>
      </c>
      <c r="AM18">
        <v>0.37697884440422058</v>
      </c>
      <c r="AN18" t="s">
        <v>166</v>
      </c>
      <c r="AO18">
        <v>-3192.2</v>
      </c>
      <c r="AP18">
        <v>-3200</v>
      </c>
      <c r="AQ18" t="s">
        <v>189</v>
      </c>
      <c r="AR18" t="s">
        <v>166</v>
      </c>
      <c r="AS18" s="150">
        <v>51.98</v>
      </c>
      <c r="AT18" t="s">
        <v>166</v>
      </c>
      <c r="AU18" t="s">
        <v>166</v>
      </c>
      <c r="AV18" t="s">
        <v>166</v>
      </c>
      <c r="AW18" t="s">
        <v>166</v>
      </c>
      <c r="AX18" t="s">
        <v>166</v>
      </c>
      <c r="AY18" t="s">
        <v>190</v>
      </c>
      <c r="AZ18" t="s">
        <v>166</v>
      </c>
      <c r="BA18" t="s">
        <v>166</v>
      </c>
      <c r="BB18" t="s">
        <v>166</v>
      </c>
      <c r="BC18" t="s">
        <v>166</v>
      </c>
      <c r="BD18" t="s">
        <v>166</v>
      </c>
      <c r="BE18" t="s">
        <v>166</v>
      </c>
      <c r="BF18" t="s">
        <v>166</v>
      </c>
      <c r="BG18" s="151" t="s">
        <v>242</v>
      </c>
      <c r="BH18" s="149" t="s">
        <v>192</v>
      </c>
      <c r="BI18" t="s">
        <v>166</v>
      </c>
      <c r="BJ18" s="152" t="s">
        <v>166</v>
      </c>
      <c r="BK18" t="s">
        <v>247</v>
      </c>
      <c r="BL18" t="s">
        <v>194</v>
      </c>
      <c r="BM18" t="s">
        <v>195</v>
      </c>
      <c r="BN18" t="s">
        <v>166</v>
      </c>
      <c r="BO18" t="s">
        <v>166</v>
      </c>
      <c r="BP18" t="s">
        <v>166</v>
      </c>
      <c r="BQ18" s="150">
        <v>15.006931389148438</v>
      </c>
      <c r="BR18" t="s">
        <v>196</v>
      </c>
      <c r="BS18" s="150">
        <v>0.23101017453944239</v>
      </c>
      <c r="BT18">
        <v>1</v>
      </c>
      <c r="BU18" t="s">
        <v>197</v>
      </c>
      <c r="BV18" t="s">
        <v>166</v>
      </c>
      <c r="BW18">
        <v>0</v>
      </c>
      <c r="BX18" t="s">
        <v>197</v>
      </c>
      <c r="BY18" t="s">
        <v>166</v>
      </c>
      <c r="BZ18" t="s">
        <v>198</v>
      </c>
      <c r="CA18" t="s">
        <v>166</v>
      </c>
      <c r="CB18" s="150">
        <v>15.006931389148438</v>
      </c>
      <c r="CC18" t="s">
        <v>196</v>
      </c>
      <c r="CD18" s="150">
        <v>0.23101017453944239</v>
      </c>
      <c r="CE18" t="s">
        <v>199</v>
      </c>
      <c r="CF18" t="s">
        <v>166</v>
      </c>
      <c r="CG18" t="s">
        <v>200</v>
      </c>
      <c r="CH18" t="s">
        <v>166</v>
      </c>
      <c r="CI18" t="s">
        <v>166</v>
      </c>
      <c r="CJ18" s="139">
        <v>38.034991756039773</v>
      </c>
      <c r="CK18" t="s">
        <v>201</v>
      </c>
      <c r="CL18">
        <v>2</v>
      </c>
      <c r="CM18">
        <v>2</v>
      </c>
      <c r="CN18" t="s">
        <v>166</v>
      </c>
      <c r="CO18" s="139">
        <v>4.6409761027960821</v>
      </c>
      <c r="CP18" t="s">
        <v>166</v>
      </c>
      <c r="CQ18" t="s">
        <v>166</v>
      </c>
      <c r="CR18" t="s">
        <v>166</v>
      </c>
      <c r="CS18" s="153" t="s">
        <v>202</v>
      </c>
      <c r="CT18" t="s">
        <v>203</v>
      </c>
      <c r="CU18">
        <v>2.2000000000000002</v>
      </c>
      <c r="CV18" t="s">
        <v>204</v>
      </c>
      <c r="CW18" t="s">
        <v>166</v>
      </c>
      <c r="CX18" t="s">
        <v>166</v>
      </c>
      <c r="CY18" t="s">
        <v>166</v>
      </c>
      <c r="CZ18" t="s">
        <v>166</v>
      </c>
      <c r="DA18" s="154" t="s">
        <v>166</v>
      </c>
      <c r="DB18" t="s">
        <v>166</v>
      </c>
      <c r="DC18" t="s">
        <v>166</v>
      </c>
      <c r="DD18" t="s">
        <v>166</v>
      </c>
      <c r="DE18" t="s">
        <v>166</v>
      </c>
      <c r="DF18" t="s">
        <v>205</v>
      </c>
      <c r="DG18">
        <v>35</v>
      </c>
      <c r="DH18" t="s">
        <v>201</v>
      </c>
      <c r="DI18">
        <v>1</v>
      </c>
      <c r="DJ18" t="s">
        <v>206</v>
      </c>
      <c r="DK18">
        <v>17</v>
      </c>
      <c r="DL18" t="s">
        <v>166</v>
      </c>
      <c r="DM18" t="s">
        <v>166</v>
      </c>
      <c r="DN18" t="s">
        <v>207</v>
      </c>
      <c r="DO18">
        <v>38</v>
      </c>
      <c r="DP18" t="s">
        <v>208</v>
      </c>
      <c r="DQ18">
        <v>3</v>
      </c>
      <c r="DR18" t="s">
        <v>209</v>
      </c>
      <c r="DS18" t="s">
        <v>166</v>
      </c>
      <c r="DT18" t="s">
        <v>166</v>
      </c>
      <c r="DU18" t="s">
        <v>166</v>
      </c>
      <c r="DV18" t="s">
        <v>166</v>
      </c>
      <c r="DW18">
        <v>432.6</v>
      </c>
      <c r="DX18" t="s">
        <v>166</v>
      </c>
      <c r="DY18" t="s">
        <v>166</v>
      </c>
      <c r="DZ18" t="s">
        <v>210</v>
      </c>
      <c r="EA18" t="s">
        <v>211</v>
      </c>
      <c r="EB18" t="s">
        <v>212</v>
      </c>
      <c r="EC18" t="s">
        <v>166</v>
      </c>
      <c r="ED18" t="s">
        <v>213</v>
      </c>
      <c r="EE18" s="155" t="s">
        <v>214</v>
      </c>
      <c r="EF18" s="155" t="s">
        <v>214</v>
      </c>
      <c r="EG18">
        <v>1.0271999999999999</v>
      </c>
      <c r="EH18" t="s">
        <v>215</v>
      </c>
      <c r="EI18" t="s">
        <v>215</v>
      </c>
      <c r="EJ18" t="s">
        <v>216</v>
      </c>
      <c r="EK18" t="s">
        <v>215</v>
      </c>
      <c r="EL18" t="s">
        <v>215</v>
      </c>
      <c r="EM18" t="s">
        <v>217</v>
      </c>
      <c r="EN18" s="156" t="s">
        <v>214</v>
      </c>
      <c r="EO18" s="156" t="s">
        <v>214</v>
      </c>
      <c r="EP18" s="156" t="s">
        <v>214</v>
      </c>
      <c r="EQ18" s="156" t="s">
        <v>214</v>
      </c>
      <c r="ER18"/>
      <c r="ES18"/>
      <c r="ET18" t="s">
        <v>218</v>
      </c>
      <c r="EU18" t="s">
        <v>219</v>
      </c>
      <c r="EV18" t="s">
        <v>213</v>
      </c>
      <c r="EW18" t="s">
        <v>166</v>
      </c>
      <c r="EX18" t="s">
        <v>166</v>
      </c>
      <c r="EY18" t="s">
        <v>166</v>
      </c>
      <c r="EZ18" t="s">
        <v>166</v>
      </c>
      <c r="FA18" s="157">
        <v>6.5</v>
      </c>
      <c r="FB18" t="s">
        <v>220</v>
      </c>
      <c r="FC18" s="157">
        <v>1</v>
      </c>
      <c r="FD18" s="157">
        <v>1</v>
      </c>
      <c r="FE18" s="150">
        <v>7.6886871438042803</v>
      </c>
      <c r="FF18" t="s">
        <v>221</v>
      </c>
      <c r="FG18" s="150">
        <v>3.4596107230799866E-2</v>
      </c>
      <c r="FH18" s="150">
        <v>3.5510380797160401E-2</v>
      </c>
      <c r="FI18" s="144">
        <v>1011.62153068053</v>
      </c>
      <c r="FJ18" t="s">
        <v>166</v>
      </c>
      <c r="FK18" t="s">
        <v>166</v>
      </c>
      <c r="FL18" s="144">
        <f t="shared" si="2"/>
        <v>1011.62153068053</v>
      </c>
      <c r="FM18" s="144">
        <v>207.34861449046002</v>
      </c>
      <c r="FN18" s="144">
        <v>171.26260772649698</v>
      </c>
      <c r="FO18" t="s">
        <v>222</v>
      </c>
      <c r="FP18" t="s">
        <v>223</v>
      </c>
      <c r="FQ18" s="144" t="s">
        <v>166</v>
      </c>
      <c r="FR18" s="144" t="s">
        <v>166</v>
      </c>
      <c r="FS18" s="144" t="s">
        <v>166</v>
      </c>
      <c r="FT18" s="144" t="s">
        <v>166</v>
      </c>
      <c r="FU18" s="144" t="s">
        <v>166</v>
      </c>
      <c r="FV18" s="144" t="s">
        <v>166</v>
      </c>
      <c r="FW18" s="144" t="s">
        <v>166</v>
      </c>
      <c r="FX18" s="144" t="s">
        <v>166</v>
      </c>
      <c r="FY18" s="144" t="s">
        <v>166</v>
      </c>
      <c r="FZ18" s="144" t="s">
        <v>166</v>
      </c>
      <c r="GA18" s="144" t="s">
        <v>166</v>
      </c>
      <c r="GB18" s="144" t="s">
        <v>166</v>
      </c>
      <c r="GC18" s="158" t="s">
        <v>224</v>
      </c>
      <c r="GD18"/>
      <c r="GE18"/>
      <c r="GF18"/>
      <c r="GG18"/>
      <c r="GH18"/>
      <c r="GI18"/>
      <c r="GJ18"/>
      <c r="GK18"/>
      <c r="GL18"/>
    </row>
    <row r="19" spans="1:194" s="140" customFormat="1" ht="17">
      <c r="A19" s="140" t="s">
        <v>162</v>
      </c>
      <c r="B19" s="143" t="s">
        <v>163</v>
      </c>
      <c r="C19" s="140" t="s">
        <v>164</v>
      </c>
      <c r="D19" s="140" t="s">
        <v>165</v>
      </c>
      <c r="E19" s="140">
        <v>2020</v>
      </c>
      <c r="F19" t="s">
        <v>184</v>
      </c>
      <c r="G19" s="139">
        <v>53628</v>
      </c>
      <c r="H19" s="147">
        <f t="shared" ref="H19" si="16">0.0083*G19^(0.9482)</f>
        <v>253.21370519008789</v>
      </c>
      <c r="I19" s="147">
        <f t="shared" si="1"/>
        <v>253.21370519008789</v>
      </c>
      <c r="J19" s="144">
        <v>1027.7586666966999</v>
      </c>
      <c r="K19" s="144">
        <v>214.70458007625007</v>
      </c>
      <c r="L19" s="144">
        <v>179.05441232748092</v>
      </c>
      <c r="M19" s="140" t="b">
        <v>1</v>
      </c>
      <c r="N19" s="140">
        <v>1</v>
      </c>
      <c r="O19" s="302" t="s">
        <v>581</v>
      </c>
      <c r="P19" s="140" t="s">
        <v>166</v>
      </c>
      <c r="Q19" s="140" t="s">
        <v>166</v>
      </c>
      <c r="R19" s="140" t="s">
        <v>166</v>
      </c>
      <c r="S19" s="140" t="b">
        <v>1</v>
      </c>
      <c r="T19" s="140" t="b">
        <v>0</v>
      </c>
      <c r="U19" s="140" t="s">
        <v>166</v>
      </c>
      <c r="V19" s="140" t="b">
        <v>0</v>
      </c>
      <c r="W19" s="140" t="b">
        <v>0</v>
      </c>
      <c r="X19" s="140" t="s">
        <v>580</v>
      </c>
      <c r="Y19" s="148" t="s">
        <v>186</v>
      </c>
      <c r="Z19" t="s">
        <v>184</v>
      </c>
      <c r="AA19" s="149">
        <v>1258</v>
      </c>
      <c r="AB19" s="149" t="s">
        <v>233</v>
      </c>
      <c r="AC19" s="149">
        <v>13</v>
      </c>
      <c r="AD19" s="149">
        <v>2</v>
      </c>
      <c r="AE19">
        <v>53.5</v>
      </c>
      <c r="AF19">
        <v>57</v>
      </c>
      <c r="AG19" s="150">
        <v>120.235</v>
      </c>
      <c r="AH19" s="159">
        <v>113.685</v>
      </c>
      <c r="AI19" t="s">
        <v>234</v>
      </c>
      <c r="AJ19" t="s">
        <v>188</v>
      </c>
      <c r="AK19" s="162">
        <v>9.4332999999999991</v>
      </c>
      <c r="AL19" s="162">
        <v>-54.7333</v>
      </c>
      <c r="AM19">
        <v>0.37697884440422058</v>
      </c>
      <c r="AN19" t="s">
        <v>166</v>
      </c>
      <c r="AO19">
        <v>-3192.2</v>
      </c>
      <c r="AP19">
        <v>-3200</v>
      </c>
      <c r="AQ19" t="s">
        <v>189</v>
      </c>
      <c r="AR19" t="s">
        <v>166</v>
      </c>
      <c r="AS19" s="150">
        <v>53.628</v>
      </c>
      <c r="AT19" t="s">
        <v>166</v>
      </c>
      <c r="AU19" t="s">
        <v>166</v>
      </c>
      <c r="AV19" t="s">
        <v>166</v>
      </c>
      <c r="AW19" t="s">
        <v>166</v>
      </c>
      <c r="AX19" t="s">
        <v>166</v>
      </c>
      <c r="AY19" t="s">
        <v>190</v>
      </c>
      <c r="AZ19" t="s">
        <v>166</v>
      </c>
      <c r="BA19" t="s">
        <v>166</v>
      </c>
      <c r="BB19" t="s">
        <v>166</v>
      </c>
      <c r="BC19" t="s">
        <v>166</v>
      </c>
      <c r="BD19" t="s">
        <v>166</v>
      </c>
      <c r="BE19" t="s">
        <v>166</v>
      </c>
      <c r="BF19" t="s">
        <v>166</v>
      </c>
      <c r="BG19" s="151" t="s">
        <v>248</v>
      </c>
      <c r="BH19" s="149" t="s">
        <v>192</v>
      </c>
      <c r="BI19" t="s">
        <v>166</v>
      </c>
      <c r="BJ19" s="152" t="s">
        <v>166</v>
      </c>
      <c r="BK19" t="s">
        <v>249</v>
      </c>
      <c r="BL19" t="s">
        <v>194</v>
      </c>
      <c r="BM19" t="s">
        <v>195</v>
      </c>
      <c r="BN19" t="s">
        <v>166</v>
      </c>
      <c r="BO19" t="s">
        <v>166</v>
      </c>
      <c r="BP19" t="s">
        <v>166</v>
      </c>
      <c r="BQ19" s="150">
        <v>14.939121111735343</v>
      </c>
      <c r="BR19" t="s">
        <v>196</v>
      </c>
      <c r="BS19" s="150">
        <v>0.25887199124426125</v>
      </c>
      <c r="BT19">
        <v>1</v>
      </c>
      <c r="BU19" t="s">
        <v>197</v>
      </c>
      <c r="BV19" t="s">
        <v>166</v>
      </c>
      <c r="BW19">
        <v>0</v>
      </c>
      <c r="BX19" t="s">
        <v>197</v>
      </c>
      <c r="BY19" t="s">
        <v>166</v>
      </c>
      <c r="BZ19" t="s">
        <v>198</v>
      </c>
      <c r="CA19" t="s">
        <v>166</v>
      </c>
      <c r="CB19" s="150">
        <v>14.939121111735343</v>
      </c>
      <c r="CC19" t="s">
        <v>196</v>
      </c>
      <c r="CD19" s="150">
        <v>0.25887199124426125</v>
      </c>
      <c r="CE19" t="s">
        <v>199</v>
      </c>
      <c r="CF19" t="s">
        <v>166</v>
      </c>
      <c r="CG19" t="s">
        <v>200</v>
      </c>
      <c r="CH19" t="s">
        <v>166</v>
      </c>
      <c r="CI19" t="s">
        <v>166</v>
      </c>
      <c r="CJ19" s="139">
        <v>36.520365665295884</v>
      </c>
      <c r="CK19" t="s">
        <v>201</v>
      </c>
      <c r="CL19">
        <v>2</v>
      </c>
      <c r="CM19">
        <v>2</v>
      </c>
      <c r="CN19" t="s">
        <v>166</v>
      </c>
      <c r="CO19" s="139">
        <v>4.2612149796888144</v>
      </c>
      <c r="CP19" t="s">
        <v>166</v>
      </c>
      <c r="CQ19" t="s">
        <v>166</v>
      </c>
      <c r="CR19" t="s">
        <v>166</v>
      </c>
      <c r="CS19" s="153" t="s">
        <v>202</v>
      </c>
      <c r="CT19" t="s">
        <v>203</v>
      </c>
      <c r="CU19">
        <v>2.2000000000000002</v>
      </c>
      <c r="CV19" t="s">
        <v>204</v>
      </c>
      <c r="CW19" t="s">
        <v>166</v>
      </c>
      <c r="CX19" t="s">
        <v>166</v>
      </c>
      <c r="CY19" t="s">
        <v>166</v>
      </c>
      <c r="CZ19" t="s">
        <v>166</v>
      </c>
      <c r="DA19" s="154" t="s">
        <v>166</v>
      </c>
      <c r="DB19" t="s">
        <v>166</v>
      </c>
      <c r="DC19" t="s">
        <v>166</v>
      </c>
      <c r="DD19" t="s">
        <v>166</v>
      </c>
      <c r="DE19" t="s">
        <v>166</v>
      </c>
      <c r="DF19" t="s">
        <v>205</v>
      </c>
      <c r="DG19">
        <v>35</v>
      </c>
      <c r="DH19" t="s">
        <v>201</v>
      </c>
      <c r="DI19">
        <v>1</v>
      </c>
      <c r="DJ19" t="s">
        <v>206</v>
      </c>
      <c r="DK19">
        <v>17</v>
      </c>
      <c r="DL19" t="s">
        <v>166</v>
      </c>
      <c r="DM19" t="s">
        <v>166</v>
      </c>
      <c r="DN19" t="s">
        <v>207</v>
      </c>
      <c r="DO19">
        <v>38</v>
      </c>
      <c r="DP19" t="s">
        <v>208</v>
      </c>
      <c r="DQ19">
        <v>3</v>
      </c>
      <c r="DR19" t="s">
        <v>209</v>
      </c>
      <c r="DS19" t="s">
        <v>166</v>
      </c>
      <c r="DT19" t="s">
        <v>166</v>
      </c>
      <c r="DU19" t="s">
        <v>166</v>
      </c>
      <c r="DV19" t="s">
        <v>166</v>
      </c>
      <c r="DW19">
        <v>432.6</v>
      </c>
      <c r="DX19" t="s">
        <v>166</v>
      </c>
      <c r="DY19" t="s">
        <v>166</v>
      </c>
      <c r="DZ19" t="s">
        <v>210</v>
      </c>
      <c r="EA19" t="s">
        <v>211</v>
      </c>
      <c r="EB19" t="s">
        <v>212</v>
      </c>
      <c r="EC19" t="s">
        <v>166</v>
      </c>
      <c r="ED19" t="s">
        <v>213</v>
      </c>
      <c r="EE19" s="155" t="s">
        <v>214</v>
      </c>
      <c r="EF19" s="155" t="s">
        <v>214</v>
      </c>
      <c r="EG19">
        <v>1.0271999999999999</v>
      </c>
      <c r="EH19" t="s">
        <v>215</v>
      </c>
      <c r="EI19" t="s">
        <v>215</v>
      </c>
      <c r="EJ19" t="s">
        <v>216</v>
      </c>
      <c r="EK19" t="s">
        <v>215</v>
      </c>
      <c r="EL19" t="s">
        <v>215</v>
      </c>
      <c r="EM19" t="s">
        <v>217</v>
      </c>
      <c r="EN19" s="156" t="s">
        <v>214</v>
      </c>
      <c r="EO19" s="156" t="s">
        <v>214</v>
      </c>
      <c r="EP19" s="156" t="s">
        <v>214</v>
      </c>
      <c r="EQ19" s="156" t="s">
        <v>214</v>
      </c>
      <c r="ER19"/>
      <c r="ES19"/>
      <c r="ET19" t="s">
        <v>218</v>
      </c>
      <c r="EU19" t="s">
        <v>219</v>
      </c>
      <c r="EV19" t="s">
        <v>213</v>
      </c>
      <c r="EW19" t="s">
        <v>166</v>
      </c>
      <c r="EX19" t="s">
        <v>166</v>
      </c>
      <c r="EY19" t="s">
        <v>166</v>
      </c>
      <c r="EZ19" t="s">
        <v>166</v>
      </c>
      <c r="FA19" s="157">
        <v>6.5</v>
      </c>
      <c r="FB19" t="s">
        <v>220</v>
      </c>
      <c r="FC19" s="157">
        <v>1</v>
      </c>
      <c r="FD19" s="157">
        <v>1</v>
      </c>
      <c r="FE19" s="150">
        <v>7.6971203751606101</v>
      </c>
      <c r="FF19" t="s">
        <v>221</v>
      </c>
      <c r="FG19" s="150">
        <v>3.4985966656869927E-2</v>
      </c>
      <c r="FH19" s="150">
        <v>3.5983789622120455E-2</v>
      </c>
      <c r="FI19" s="144">
        <v>1027.7586666966999</v>
      </c>
      <c r="FJ19" t="s">
        <v>166</v>
      </c>
      <c r="FK19" t="s">
        <v>166</v>
      </c>
      <c r="FL19" s="144">
        <f t="shared" si="2"/>
        <v>1027.7586666966999</v>
      </c>
      <c r="FM19" s="144">
        <v>214.70458007625007</v>
      </c>
      <c r="FN19" s="144">
        <v>179.05441232748092</v>
      </c>
      <c r="FO19" t="s">
        <v>222</v>
      </c>
      <c r="FP19" t="s">
        <v>223</v>
      </c>
      <c r="FQ19" s="144" t="s">
        <v>166</v>
      </c>
      <c r="FR19" s="144" t="s">
        <v>166</v>
      </c>
      <c r="FS19" s="144" t="s">
        <v>166</v>
      </c>
      <c r="FT19" s="144" t="s">
        <v>166</v>
      </c>
      <c r="FU19" s="144" t="s">
        <v>166</v>
      </c>
      <c r="FV19" s="144" t="s">
        <v>166</v>
      </c>
      <c r="FW19" s="144" t="s">
        <v>166</v>
      </c>
      <c r="FX19" s="144" t="s">
        <v>166</v>
      </c>
      <c r="FY19" s="144" t="s">
        <v>166</v>
      </c>
      <c r="FZ19" s="144" t="s">
        <v>166</v>
      </c>
      <c r="GA19" s="144" t="s">
        <v>166</v>
      </c>
      <c r="GB19" s="144" t="s">
        <v>166</v>
      </c>
      <c r="GC19" s="158" t="s">
        <v>224</v>
      </c>
      <c r="GD19"/>
      <c r="GE19"/>
      <c r="GF19"/>
      <c r="GG19"/>
      <c r="GH19"/>
      <c r="GI19"/>
      <c r="GJ19"/>
      <c r="GK19"/>
      <c r="GL19"/>
    </row>
    <row r="20" spans="1:194" s="140" customFormat="1" ht="17">
      <c r="A20" s="140" t="s">
        <v>162</v>
      </c>
      <c r="B20" s="143" t="s">
        <v>163</v>
      </c>
      <c r="C20" s="140" t="s">
        <v>164</v>
      </c>
      <c r="D20" s="140" t="s">
        <v>165</v>
      </c>
      <c r="E20" s="140">
        <v>2020</v>
      </c>
      <c r="F20" t="s">
        <v>184</v>
      </c>
      <c r="G20" s="139">
        <v>54678</v>
      </c>
      <c r="H20" s="147">
        <f t="shared" ref="H20" si="17">0.0083*G20^(0.9482)</f>
        <v>257.9122791399073</v>
      </c>
      <c r="I20" s="147">
        <f t="shared" si="1"/>
        <v>257.9122791399073</v>
      </c>
      <c r="J20" s="144">
        <v>647.83244615184901</v>
      </c>
      <c r="K20" s="144">
        <v>122.70046584686202</v>
      </c>
      <c r="L20" s="144">
        <v>97.488763650404962</v>
      </c>
      <c r="M20" s="140" t="b">
        <v>1</v>
      </c>
      <c r="N20" s="140">
        <v>1</v>
      </c>
      <c r="O20" s="302" t="s">
        <v>581</v>
      </c>
      <c r="P20" s="140" t="s">
        <v>166</v>
      </c>
      <c r="Q20" s="140" t="s">
        <v>166</v>
      </c>
      <c r="R20" s="140" t="s">
        <v>166</v>
      </c>
      <c r="S20" s="140" t="b">
        <v>1</v>
      </c>
      <c r="T20" s="140" t="b">
        <v>0</v>
      </c>
      <c r="U20" s="140" t="s">
        <v>166</v>
      </c>
      <c r="V20" s="140" t="b">
        <v>0</v>
      </c>
      <c r="W20" s="140" t="b">
        <v>0</v>
      </c>
      <c r="X20" s="140" t="s">
        <v>580</v>
      </c>
      <c r="Y20" s="148" t="s">
        <v>186</v>
      </c>
      <c r="Z20" t="s">
        <v>184</v>
      </c>
      <c r="AA20" s="149">
        <v>1258</v>
      </c>
      <c r="AB20" s="149" t="s">
        <v>250</v>
      </c>
      <c r="AC20" s="149">
        <v>4</v>
      </c>
      <c r="AD20" s="149">
        <v>6</v>
      </c>
      <c r="AE20">
        <v>24</v>
      </c>
      <c r="AF20">
        <v>31.5</v>
      </c>
      <c r="AG20" s="150">
        <v>156.3775</v>
      </c>
      <c r="AH20" t="s">
        <v>166</v>
      </c>
      <c r="AI20" t="s">
        <v>166</v>
      </c>
      <c r="AJ20" t="s">
        <v>188</v>
      </c>
      <c r="AK20" s="162">
        <v>9.4332999999999991</v>
      </c>
      <c r="AL20">
        <v>-54.732799999999997</v>
      </c>
      <c r="AM20">
        <v>0.57043468952178955</v>
      </c>
      <c r="AN20" t="s">
        <v>166</v>
      </c>
      <c r="AO20">
        <v>-3192.2</v>
      </c>
      <c r="AP20">
        <v>-3200</v>
      </c>
      <c r="AQ20" t="s">
        <v>189</v>
      </c>
      <c r="AR20" t="s">
        <v>166</v>
      </c>
      <c r="AS20" s="150">
        <v>54.677999999999997</v>
      </c>
      <c r="AT20" t="s">
        <v>166</v>
      </c>
      <c r="AU20" t="s">
        <v>166</v>
      </c>
      <c r="AV20" t="s">
        <v>166</v>
      </c>
      <c r="AW20" t="s">
        <v>166</v>
      </c>
      <c r="AX20" t="s">
        <v>166</v>
      </c>
      <c r="AY20" t="s">
        <v>190</v>
      </c>
      <c r="AZ20" t="s">
        <v>166</v>
      </c>
      <c r="BA20" t="s">
        <v>166</v>
      </c>
      <c r="BB20" t="s">
        <v>166</v>
      </c>
      <c r="BC20" t="s">
        <v>166</v>
      </c>
      <c r="BD20" t="s">
        <v>166</v>
      </c>
      <c r="BE20" t="s">
        <v>166</v>
      </c>
      <c r="BF20" t="s">
        <v>166</v>
      </c>
      <c r="BG20" s="151" t="s">
        <v>248</v>
      </c>
      <c r="BH20" s="149" t="s">
        <v>192</v>
      </c>
      <c r="BI20" t="s">
        <v>166</v>
      </c>
      <c r="BJ20" s="152" t="s">
        <v>166</v>
      </c>
      <c r="BK20" t="s">
        <v>251</v>
      </c>
      <c r="BL20" t="s">
        <v>194</v>
      </c>
      <c r="BM20" t="s">
        <v>195</v>
      </c>
      <c r="BN20" t="s">
        <v>166</v>
      </c>
      <c r="BO20" t="s">
        <v>166</v>
      </c>
      <c r="BP20" t="s">
        <v>166</v>
      </c>
      <c r="BQ20" s="150">
        <v>15.622569639909711</v>
      </c>
      <c r="BR20" t="s">
        <v>196</v>
      </c>
      <c r="BS20" s="150">
        <v>0.2281519435779657</v>
      </c>
      <c r="BT20">
        <v>1</v>
      </c>
      <c r="BU20" t="s">
        <v>197</v>
      </c>
      <c r="BV20" t="s">
        <v>166</v>
      </c>
      <c r="BW20">
        <v>0</v>
      </c>
      <c r="BX20" t="s">
        <v>197</v>
      </c>
      <c r="BY20" t="s">
        <v>166</v>
      </c>
      <c r="BZ20" t="s">
        <v>198</v>
      </c>
      <c r="CA20" t="s">
        <v>166</v>
      </c>
      <c r="CB20" s="150">
        <v>15.622569639909711</v>
      </c>
      <c r="CC20" t="s">
        <v>196</v>
      </c>
      <c r="CD20" s="150">
        <v>0.2281519435779657</v>
      </c>
      <c r="CE20" t="s">
        <v>199</v>
      </c>
      <c r="CF20" t="s">
        <v>166</v>
      </c>
      <c r="CG20" t="s">
        <v>200</v>
      </c>
      <c r="CH20" t="s">
        <v>166</v>
      </c>
      <c r="CI20" t="s">
        <v>166</v>
      </c>
      <c r="CJ20" s="139">
        <v>32.385830139997189</v>
      </c>
      <c r="CK20" t="s">
        <v>201</v>
      </c>
      <c r="CL20">
        <v>2</v>
      </c>
      <c r="CM20">
        <v>2</v>
      </c>
      <c r="CN20" t="s">
        <v>166</v>
      </c>
      <c r="CO20" s="139">
        <v>3.3754051641943992</v>
      </c>
      <c r="CP20" t="s">
        <v>166</v>
      </c>
      <c r="CQ20" t="s">
        <v>166</v>
      </c>
      <c r="CR20" t="s">
        <v>166</v>
      </c>
      <c r="CS20" s="153" t="s">
        <v>202</v>
      </c>
      <c r="CT20" t="s">
        <v>203</v>
      </c>
      <c r="CU20">
        <v>2.2000000000000002</v>
      </c>
      <c r="CV20" t="s">
        <v>204</v>
      </c>
      <c r="CW20" t="s">
        <v>166</v>
      </c>
      <c r="CX20" t="s">
        <v>166</v>
      </c>
      <c r="CY20" t="s">
        <v>166</v>
      </c>
      <c r="CZ20" t="s">
        <v>166</v>
      </c>
      <c r="DA20" s="154" t="s">
        <v>166</v>
      </c>
      <c r="DB20" t="s">
        <v>166</v>
      </c>
      <c r="DC20" t="s">
        <v>166</v>
      </c>
      <c r="DD20" t="s">
        <v>166</v>
      </c>
      <c r="DE20" t="s">
        <v>166</v>
      </c>
      <c r="DF20" t="s">
        <v>205</v>
      </c>
      <c r="DG20">
        <v>35</v>
      </c>
      <c r="DH20" t="s">
        <v>201</v>
      </c>
      <c r="DI20">
        <v>1</v>
      </c>
      <c r="DJ20" t="s">
        <v>206</v>
      </c>
      <c r="DK20">
        <v>17</v>
      </c>
      <c r="DL20" t="s">
        <v>166</v>
      </c>
      <c r="DM20" t="s">
        <v>166</v>
      </c>
      <c r="DN20" t="s">
        <v>207</v>
      </c>
      <c r="DO20">
        <v>38</v>
      </c>
      <c r="DP20" t="s">
        <v>208</v>
      </c>
      <c r="DQ20">
        <v>3</v>
      </c>
      <c r="DR20" t="s">
        <v>209</v>
      </c>
      <c r="DS20" t="s">
        <v>166</v>
      </c>
      <c r="DT20" t="s">
        <v>166</v>
      </c>
      <c r="DU20" t="s">
        <v>166</v>
      </c>
      <c r="DV20" t="s">
        <v>166</v>
      </c>
      <c r="DW20">
        <v>432.6</v>
      </c>
      <c r="DX20" t="s">
        <v>166</v>
      </c>
      <c r="DY20" t="s">
        <v>166</v>
      </c>
      <c r="DZ20" t="s">
        <v>210</v>
      </c>
      <c r="EA20" t="s">
        <v>211</v>
      </c>
      <c r="EB20" t="s">
        <v>212</v>
      </c>
      <c r="EC20" t="s">
        <v>166</v>
      </c>
      <c r="ED20" t="s">
        <v>213</v>
      </c>
      <c r="EE20" s="155" t="s">
        <v>214</v>
      </c>
      <c r="EF20" s="155" t="s">
        <v>214</v>
      </c>
      <c r="EG20">
        <v>1.0271999999999999</v>
      </c>
      <c r="EH20" t="s">
        <v>215</v>
      </c>
      <c r="EI20" t="s">
        <v>215</v>
      </c>
      <c r="EJ20" t="s">
        <v>216</v>
      </c>
      <c r="EK20" t="s">
        <v>215</v>
      </c>
      <c r="EL20" t="s">
        <v>215</v>
      </c>
      <c r="EM20" t="s">
        <v>217</v>
      </c>
      <c r="EN20" s="156" t="s">
        <v>214</v>
      </c>
      <c r="EO20" s="156" t="s">
        <v>214</v>
      </c>
      <c r="EP20" s="156" t="s">
        <v>214</v>
      </c>
      <c r="EQ20" s="156" t="s">
        <v>214</v>
      </c>
      <c r="ER20"/>
      <c r="ES20"/>
      <c r="ET20" t="s">
        <v>218</v>
      </c>
      <c r="EU20" t="s">
        <v>219</v>
      </c>
      <c r="EV20" t="s">
        <v>213</v>
      </c>
      <c r="EW20" t="s">
        <v>166</v>
      </c>
      <c r="EX20" t="s">
        <v>166</v>
      </c>
      <c r="EY20" t="s">
        <v>166</v>
      </c>
      <c r="EZ20" t="s">
        <v>166</v>
      </c>
      <c r="FA20" s="157">
        <v>6.5</v>
      </c>
      <c r="FB20" t="s">
        <v>220</v>
      </c>
      <c r="FC20" s="157">
        <v>1</v>
      </c>
      <c r="FD20" s="157">
        <v>1</v>
      </c>
      <c r="FE20" s="150">
        <v>7.8260974665160603</v>
      </c>
      <c r="FF20" t="s">
        <v>221</v>
      </c>
      <c r="FG20" s="150">
        <v>3.2064493558949358E-2</v>
      </c>
      <c r="FH20" s="150">
        <v>3.1707237402230248E-2</v>
      </c>
      <c r="FI20" s="144">
        <v>647.83244615184901</v>
      </c>
      <c r="FJ20" t="s">
        <v>166</v>
      </c>
      <c r="FK20" t="s">
        <v>166</v>
      </c>
      <c r="FL20" s="144">
        <f t="shared" si="2"/>
        <v>647.83244615184901</v>
      </c>
      <c r="FM20" s="144">
        <v>122.70046584686202</v>
      </c>
      <c r="FN20" s="144">
        <v>97.488763650404962</v>
      </c>
      <c r="FO20" t="s">
        <v>222</v>
      </c>
      <c r="FP20" t="s">
        <v>223</v>
      </c>
      <c r="FQ20" s="144" t="s">
        <v>166</v>
      </c>
      <c r="FR20" s="144" t="s">
        <v>166</v>
      </c>
      <c r="FS20" s="144" t="s">
        <v>166</v>
      </c>
      <c r="FT20" s="144" t="s">
        <v>166</v>
      </c>
      <c r="FU20" s="144" t="s">
        <v>166</v>
      </c>
      <c r="FV20" s="144" t="s">
        <v>166</v>
      </c>
      <c r="FW20" s="144" t="s">
        <v>166</v>
      </c>
      <c r="FX20" s="144" t="s">
        <v>166</v>
      </c>
      <c r="FY20" s="144" t="s">
        <v>166</v>
      </c>
      <c r="FZ20" s="144" t="s">
        <v>166</v>
      </c>
      <c r="GA20" s="144" t="s">
        <v>166</v>
      </c>
      <c r="GB20" s="144" t="s">
        <v>166</v>
      </c>
      <c r="GC20" s="158" t="s">
        <v>224</v>
      </c>
      <c r="GD20"/>
      <c r="GE20"/>
      <c r="GF20"/>
      <c r="GG20"/>
      <c r="GH20"/>
      <c r="GI20"/>
      <c r="GJ20"/>
      <c r="GK20"/>
      <c r="GL20"/>
    </row>
    <row r="21" spans="1:194" s="140" customFormat="1" ht="17">
      <c r="A21" s="140" t="s">
        <v>162</v>
      </c>
      <c r="B21" s="143" t="s">
        <v>163</v>
      </c>
      <c r="C21" s="140" t="s">
        <v>164</v>
      </c>
      <c r="D21" s="140" t="s">
        <v>165</v>
      </c>
      <c r="E21" s="140">
        <v>2020</v>
      </c>
      <c r="F21" t="s">
        <v>184</v>
      </c>
      <c r="G21" s="139">
        <v>55541</v>
      </c>
      <c r="H21" s="147">
        <f t="shared" ref="H21" si="18">0.0083*G21^(0.9482)</f>
        <v>261.77055743366628</v>
      </c>
      <c r="I21" s="147">
        <f t="shared" si="1"/>
        <v>261.77055743366628</v>
      </c>
      <c r="J21" s="144">
        <v>796.67056478419204</v>
      </c>
      <c r="K21" s="144">
        <v>163.03534970835699</v>
      </c>
      <c r="L21" s="144">
        <v>127.04337742777102</v>
      </c>
      <c r="M21" s="140" t="b">
        <v>1</v>
      </c>
      <c r="N21" s="140">
        <v>1</v>
      </c>
      <c r="O21" s="302" t="s">
        <v>581</v>
      </c>
      <c r="P21" s="140" t="s">
        <v>166</v>
      </c>
      <c r="Q21" s="140" t="s">
        <v>166</v>
      </c>
      <c r="R21" s="140" t="s">
        <v>166</v>
      </c>
      <c r="S21" s="140" t="b">
        <v>1</v>
      </c>
      <c r="T21" s="140" t="b">
        <v>0</v>
      </c>
      <c r="U21" s="140" t="s">
        <v>166</v>
      </c>
      <c r="V21" s="140" t="b">
        <v>0</v>
      </c>
      <c r="W21" s="140" t="b">
        <v>0</v>
      </c>
      <c r="X21" s="140" t="s">
        <v>580</v>
      </c>
      <c r="Y21" s="148" t="s">
        <v>186</v>
      </c>
      <c r="Z21" t="s">
        <v>184</v>
      </c>
      <c r="AA21" s="149">
        <v>1258</v>
      </c>
      <c r="AB21" s="149" t="s">
        <v>187</v>
      </c>
      <c r="AC21" s="149">
        <v>18</v>
      </c>
      <c r="AD21" s="149">
        <v>2</v>
      </c>
      <c r="AE21">
        <v>28</v>
      </c>
      <c r="AF21">
        <v>39.5</v>
      </c>
      <c r="AG21" s="150">
        <v>160.53749999999999</v>
      </c>
      <c r="AH21" t="s">
        <v>166</v>
      </c>
      <c r="AI21" t="s">
        <v>166</v>
      </c>
      <c r="AJ21" t="s">
        <v>188</v>
      </c>
      <c r="AK21">
        <v>9.4332999999999991</v>
      </c>
      <c r="AL21">
        <v>-54.7333</v>
      </c>
      <c r="AM21">
        <v>0.69369280338287354</v>
      </c>
      <c r="AN21" t="s">
        <v>166</v>
      </c>
      <c r="AO21">
        <v>-3192.2</v>
      </c>
      <c r="AP21">
        <v>-3200</v>
      </c>
      <c r="AQ21" t="s">
        <v>189</v>
      </c>
      <c r="AR21" t="s">
        <v>166</v>
      </c>
      <c r="AS21" s="150">
        <v>55.540999999999997</v>
      </c>
      <c r="AT21" t="s">
        <v>166</v>
      </c>
      <c r="AU21" t="s">
        <v>166</v>
      </c>
      <c r="AV21" t="s">
        <v>166</v>
      </c>
      <c r="AW21" t="s">
        <v>166</v>
      </c>
      <c r="AX21" t="s">
        <v>166</v>
      </c>
      <c r="AY21" t="s">
        <v>190</v>
      </c>
      <c r="AZ21" t="s">
        <v>166</v>
      </c>
      <c r="BA21" t="s">
        <v>166</v>
      </c>
      <c r="BB21" t="s">
        <v>166</v>
      </c>
      <c r="BC21" t="s">
        <v>166</v>
      </c>
      <c r="BD21" t="s">
        <v>166</v>
      </c>
      <c r="BE21" t="s">
        <v>166</v>
      </c>
      <c r="BF21" t="s">
        <v>166</v>
      </c>
      <c r="BG21" s="151" t="s">
        <v>248</v>
      </c>
      <c r="BH21" s="149" t="s">
        <v>192</v>
      </c>
      <c r="BI21" t="s">
        <v>166</v>
      </c>
      <c r="BJ21" s="152" t="s">
        <v>166</v>
      </c>
      <c r="BK21" t="s">
        <v>252</v>
      </c>
      <c r="BL21" t="s">
        <v>194</v>
      </c>
      <c r="BM21" t="s">
        <v>195</v>
      </c>
      <c r="BN21" t="s">
        <v>166</v>
      </c>
      <c r="BO21" t="s">
        <v>166</v>
      </c>
      <c r="BP21" t="s">
        <v>166</v>
      </c>
      <c r="BQ21" s="150">
        <v>15.286788954520292</v>
      </c>
      <c r="BR21" t="s">
        <v>196</v>
      </c>
      <c r="BS21" s="150">
        <v>0.22056540906947375</v>
      </c>
      <c r="BT21">
        <v>1</v>
      </c>
      <c r="BU21" t="s">
        <v>197</v>
      </c>
      <c r="BV21" t="s">
        <v>166</v>
      </c>
      <c r="BW21">
        <v>0</v>
      </c>
      <c r="BX21" t="s">
        <v>197</v>
      </c>
      <c r="BY21" t="s">
        <v>166</v>
      </c>
      <c r="BZ21" t="s">
        <v>198</v>
      </c>
      <c r="CA21" t="s">
        <v>166</v>
      </c>
      <c r="CB21" s="150">
        <v>15.286788954520292</v>
      </c>
      <c r="CC21" t="s">
        <v>196</v>
      </c>
      <c r="CD21" s="150">
        <v>0.22056540906947375</v>
      </c>
      <c r="CE21" t="s">
        <v>199</v>
      </c>
      <c r="CF21" t="s">
        <v>166</v>
      </c>
      <c r="CG21" t="s">
        <v>200</v>
      </c>
      <c r="CH21" t="s">
        <v>166</v>
      </c>
      <c r="CI21" t="s">
        <v>166</v>
      </c>
      <c r="CJ21" s="139">
        <v>34.088115409616272</v>
      </c>
      <c r="CK21" t="s">
        <v>201</v>
      </c>
      <c r="CL21">
        <v>2</v>
      </c>
      <c r="CM21">
        <v>2</v>
      </c>
      <c r="CN21" t="s">
        <v>166</v>
      </c>
      <c r="CO21" s="139">
        <v>3.7153131674021016</v>
      </c>
      <c r="CP21" t="s">
        <v>166</v>
      </c>
      <c r="CQ21" t="s">
        <v>166</v>
      </c>
      <c r="CR21" t="s">
        <v>166</v>
      </c>
      <c r="CS21" s="153" t="s">
        <v>202</v>
      </c>
      <c r="CT21" t="s">
        <v>203</v>
      </c>
      <c r="CU21">
        <v>2.2000000000000002</v>
      </c>
      <c r="CV21" t="s">
        <v>204</v>
      </c>
      <c r="CW21" t="s">
        <v>166</v>
      </c>
      <c r="CX21" t="s">
        <v>166</v>
      </c>
      <c r="CY21" t="s">
        <v>166</v>
      </c>
      <c r="CZ21" t="s">
        <v>166</v>
      </c>
      <c r="DA21" s="154" t="s">
        <v>166</v>
      </c>
      <c r="DB21" t="s">
        <v>166</v>
      </c>
      <c r="DC21" t="s">
        <v>166</v>
      </c>
      <c r="DD21" t="s">
        <v>166</v>
      </c>
      <c r="DE21" t="s">
        <v>166</v>
      </c>
      <c r="DF21" t="s">
        <v>205</v>
      </c>
      <c r="DG21">
        <v>35</v>
      </c>
      <c r="DH21" t="s">
        <v>201</v>
      </c>
      <c r="DI21">
        <v>1</v>
      </c>
      <c r="DJ21" t="s">
        <v>206</v>
      </c>
      <c r="DK21">
        <v>17</v>
      </c>
      <c r="DL21" t="s">
        <v>166</v>
      </c>
      <c r="DM21" t="s">
        <v>166</v>
      </c>
      <c r="DN21" t="s">
        <v>207</v>
      </c>
      <c r="DO21">
        <v>38</v>
      </c>
      <c r="DP21" t="s">
        <v>208</v>
      </c>
      <c r="DQ21">
        <v>3</v>
      </c>
      <c r="DR21" t="s">
        <v>209</v>
      </c>
      <c r="DS21" t="s">
        <v>166</v>
      </c>
      <c r="DT21" t="s">
        <v>166</v>
      </c>
      <c r="DU21" t="s">
        <v>166</v>
      </c>
      <c r="DV21" t="s">
        <v>166</v>
      </c>
      <c r="DW21">
        <v>432.6</v>
      </c>
      <c r="DX21" t="s">
        <v>166</v>
      </c>
      <c r="DY21" t="s">
        <v>166</v>
      </c>
      <c r="DZ21" t="s">
        <v>210</v>
      </c>
      <c r="EA21" t="s">
        <v>211</v>
      </c>
      <c r="EB21" t="s">
        <v>212</v>
      </c>
      <c r="EC21" t="s">
        <v>166</v>
      </c>
      <c r="ED21" t="s">
        <v>213</v>
      </c>
      <c r="EE21" s="155" t="s">
        <v>214</v>
      </c>
      <c r="EF21" s="155" t="s">
        <v>214</v>
      </c>
      <c r="EG21">
        <v>1.0271999999999999</v>
      </c>
      <c r="EH21" t="s">
        <v>215</v>
      </c>
      <c r="EI21" t="s">
        <v>215</v>
      </c>
      <c r="EJ21" t="s">
        <v>216</v>
      </c>
      <c r="EK21" t="s">
        <v>215</v>
      </c>
      <c r="EL21" t="s">
        <v>215</v>
      </c>
      <c r="EM21" t="s">
        <v>217</v>
      </c>
      <c r="EN21" s="156" t="s">
        <v>214</v>
      </c>
      <c r="EO21" s="156" t="s">
        <v>214</v>
      </c>
      <c r="EP21" s="156" t="s">
        <v>214</v>
      </c>
      <c r="EQ21" s="156" t="s">
        <v>214</v>
      </c>
      <c r="ER21"/>
      <c r="ES21"/>
      <c r="ET21" t="s">
        <v>218</v>
      </c>
      <c r="EU21" t="s">
        <v>219</v>
      </c>
      <c r="EV21" t="s">
        <v>213</v>
      </c>
      <c r="EW21" t="s">
        <v>166</v>
      </c>
      <c r="EX21" t="s">
        <v>166</v>
      </c>
      <c r="EY21" t="s">
        <v>166</v>
      </c>
      <c r="EZ21" t="s">
        <v>166</v>
      </c>
      <c r="FA21" s="157">
        <v>6.5</v>
      </c>
      <c r="FB21" t="s">
        <v>220</v>
      </c>
      <c r="FC21" s="157">
        <v>1</v>
      </c>
      <c r="FD21" s="157">
        <v>1</v>
      </c>
      <c r="FE21" s="150">
        <v>7.7682696488027698</v>
      </c>
      <c r="FF21" t="s">
        <v>221</v>
      </c>
      <c r="FG21" s="150">
        <v>3.1262847001570115E-2</v>
      </c>
      <c r="FH21" s="150">
        <v>3.1475683120949505E-2</v>
      </c>
      <c r="FI21" s="144">
        <v>796.67056478419204</v>
      </c>
      <c r="FJ21" t="s">
        <v>166</v>
      </c>
      <c r="FK21" t="s">
        <v>166</v>
      </c>
      <c r="FL21" s="144">
        <f t="shared" si="2"/>
        <v>796.67056478419204</v>
      </c>
      <c r="FM21" s="144">
        <v>163.03534970835699</v>
      </c>
      <c r="FN21" s="144">
        <v>127.04337742777102</v>
      </c>
      <c r="FO21" t="s">
        <v>222</v>
      </c>
      <c r="FP21" t="s">
        <v>223</v>
      </c>
      <c r="FQ21" s="144" t="s">
        <v>166</v>
      </c>
      <c r="FR21" s="144" t="s">
        <v>166</v>
      </c>
      <c r="FS21" s="144" t="s">
        <v>166</v>
      </c>
      <c r="FT21" s="144" t="s">
        <v>166</v>
      </c>
      <c r="FU21" s="144" t="s">
        <v>166</v>
      </c>
      <c r="FV21" s="144" t="s">
        <v>166</v>
      </c>
      <c r="FW21" s="144" t="s">
        <v>166</v>
      </c>
      <c r="FX21" s="144" t="s">
        <v>166</v>
      </c>
      <c r="FY21" s="144" t="s">
        <v>166</v>
      </c>
      <c r="FZ21" s="144" t="s">
        <v>166</v>
      </c>
      <c r="GA21" s="144" t="s">
        <v>166</v>
      </c>
      <c r="GB21" s="144" t="s">
        <v>166</v>
      </c>
      <c r="GC21" s="158" t="s">
        <v>224</v>
      </c>
      <c r="GD21"/>
      <c r="GE21"/>
      <c r="GF21"/>
      <c r="GG21"/>
      <c r="GH21"/>
      <c r="GI21"/>
      <c r="GJ21"/>
      <c r="GK21"/>
      <c r="GL21"/>
    </row>
    <row r="22" spans="1:194" s="140" customFormat="1" ht="17">
      <c r="A22" s="140" t="s">
        <v>162</v>
      </c>
      <c r="B22" s="143" t="s">
        <v>163</v>
      </c>
      <c r="C22" s="140" t="s">
        <v>164</v>
      </c>
      <c r="D22" s="140" t="s">
        <v>165</v>
      </c>
      <c r="E22" s="140">
        <v>2020</v>
      </c>
      <c r="F22" t="s">
        <v>184</v>
      </c>
      <c r="G22" s="139">
        <v>35607.546149164918</v>
      </c>
      <c r="H22" s="147">
        <f t="shared" ref="H22" si="19">0.0083*G22^(0.9482)</f>
        <v>171.73161740963536</v>
      </c>
      <c r="I22" s="147">
        <f t="shared" si="1"/>
        <v>171.73161740963536</v>
      </c>
      <c r="J22" s="144">
        <v>910.30280328803701</v>
      </c>
      <c r="K22" s="144">
        <v>180.67093475319302</v>
      </c>
      <c r="L22" s="144">
        <v>160.45747400424898</v>
      </c>
      <c r="M22" s="140" t="b">
        <v>1</v>
      </c>
      <c r="N22" s="140">
        <v>1</v>
      </c>
      <c r="O22" s="302" t="s">
        <v>581</v>
      </c>
      <c r="P22" s="140" t="s">
        <v>166</v>
      </c>
      <c r="Q22" s="140" t="s">
        <v>166</v>
      </c>
      <c r="R22" s="140" t="s">
        <v>166</v>
      </c>
      <c r="S22" s="140" t="b">
        <v>1</v>
      </c>
      <c r="T22" s="140" t="b">
        <v>0</v>
      </c>
      <c r="U22" s="140" t="s">
        <v>166</v>
      </c>
      <c r="V22" s="140" t="b">
        <v>0</v>
      </c>
      <c r="W22" s="140" t="b">
        <v>0</v>
      </c>
      <c r="X22" s="140" t="s">
        <v>580</v>
      </c>
      <c r="Y22" s="148" t="s">
        <v>186</v>
      </c>
      <c r="Z22" t="s">
        <v>184</v>
      </c>
      <c r="AA22" s="149">
        <v>865</v>
      </c>
      <c r="AB22" s="149" t="s">
        <v>233</v>
      </c>
      <c r="AC22" s="149">
        <v>3</v>
      </c>
      <c r="AD22" s="149">
        <v>1</v>
      </c>
      <c r="AE22">
        <v>0</v>
      </c>
      <c r="AF22">
        <v>14</v>
      </c>
      <c r="AG22" s="150">
        <v>18</v>
      </c>
      <c r="AH22" t="s">
        <v>166</v>
      </c>
      <c r="AI22" t="s">
        <v>166</v>
      </c>
      <c r="AJ22" t="s">
        <v>253</v>
      </c>
      <c r="AK22">
        <v>18.440300000000001</v>
      </c>
      <c r="AL22">
        <v>-179.5558</v>
      </c>
      <c r="AM22" s="163">
        <v>0.79499882459640503</v>
      </c>
      <c r="AN22" t="s">
        <v>166</v>
      </c>
      <c r="AO22">
        <v>-1530</v>
      </c>
      <c r="AP22">
        <v>-1400</v>
      </c>
      <c r="AQ22" t="s">
        <v>254</v>
      </c>
      <c r="AR22" t="s">
        <v>166</v>
      </c>
      <c r="AS22" s="150">
        <v>35.607546149164918</v>
      </c>
      <c r="AT22" t="s">
        <v>166</v>
      </c>
      <c r="AU22" t="s">
        <v>166</v>
      </c>
      <c r="AV22" t="s">
        <v>166</v>
      </c>
      <c r="AW22" t="s">
        <v>255</v>
      </c>
      <c r="AX22" t="s">
        <v>256</v>
      </c>
      <c r="AY22" t="s">
        <v>166</v>
      </c>
      <c r="AZ22" t="s">
        <v>166</v>
      </c>
      <c r="BA22" t="s">
        <v>166</v>
      </c>
      <c r="BB22" t="s">
        <v>166</v>
      </c>
      <c r="BC22" t="s">
        <v>166</v>
      </c>
      <c r="BD22" t="s">
        <v>166</v>
      </c>
      <c r="BE22" t="s">
        <v>166</v>
      </c>
      <c r="BF22" t="s">
        <v>166</v>
      </c>
      <c r="BG22" s="151" t="s">
        <v>257</v>
      </c>
      <c r="BH22" s="149" t="s">
        <v>192</v>
      </c>
      <c r="BI22" t="s">
        <v>166</v>
      </c>
      <c r="BJ22" s="152" t="s">
        <v>166</v>
      </c>
      <c r="BK22" t="s">
        <v>258</v>
      </c>
      <c r="BL22" t="s">
        <v>194</v>
      </c>
      <c r="BM22" t="s">
        <v>195</v>
      </c>
      <c r="BN22" t="s">
        <v>166</v>
      </c>
      <c r="BO22" t="s">
        <v>166</v>
      </c>
      <c r="BP22" t="s">
        <v>166</v>
      </c>
      <c r="BQ22" s="150">
        <v>15.044679592014312</v>
      </c>
      <c r="BR22" t="s">
        <v>196</v>
      </c>
      <c r="BS22" s="150">
        <v>0.22298735060157576</v>
      </c>
      <c r="BT22">
        <v>1</v>
      </c>
      <c r="BU22" t="s">
        <v>197</v>
      </c>
      <c r="BV22" t="s">
        <v>166</v>
      </c>
      <c r="BW22">
        <v>0</v>
      </c>
      <c r="BX22" t="s">
        <v>197</v>
      </c>
      <c r="BY22" t="s">
        <v>166</v>
      </c>
      <c r="BZ22" t="s">
        <v>198</v>
      </c>
      <c r="CA22" t="s">
        <v>166</v>
      </c>
      <c r="CB22" s="150">
        <v>15.044679592014312</v>
      </c>
      <c r="CC22" t="s">
        <v>196</v>
      </c>
      <c r="CD22" s="150">
        <v>0.22298735060157576</v>
      </c>
      <c r="CE22" t="s">
        <v>259</v>
      </c>
      <c r="CF22" t="s">
        <v>260</v>
      </c>
      <c r="CG22" t="s">
        <v>200</v>
      </c>
      <c r="CH22" t="s">
        <v>166</v>
      </c>
      <c r="CI22" t="s">
        <v>166</v>
      </c>
      <c r="CJ22" s="139">
        <v>33.599803334065449</v>
      </c>
      <c r="CK22" t="s">
        <v>201</v>
      </c>
      <c r="CL22">
        <v>2</v>
      </c>
      <c r="CM22">
        <v>2</v>
      </c>
      <c r="CN22" t="s">
        <v>166</v>
      </c>
      <c r="CO22" s="139">
        <v>3.6144501832139335</v>
      </c>
      <c r="CP22" t="s">
        <v>166</v>
      </c>
      <c r="CQ22" t="s">
        <v>166</v>
      </c>
      <c r="CR22" t="s">
        <v>166</v>
      </c>
      <c r="CS22" s="153" t="s">
        <v>202</v>
      </c>
      <c r="CT22" t="s">
        <v>203</v>
      </c>
      <c r="CU22">
        <v>2.2000000000000002</v>
      </c>
      <c r="CV22" t="s">
        <v>204</v>
      </c>
      <c r="CW22" t="s">
        <v>166</v>
      </c>
      <c r="CX22" t="s">
        <v>166</v>
      </c>
      <c r="CY22" t="s">
        <v>166</v>
      </c>
      <c r="CZ22" t="s">
        <v>166</v>
      </c>
      <c r="DA22" s="154" t="s">
        <v>166</v>
      </c>
      <c r="DB22" t="s">
        <v>166</v>
      </c>
      <c r="DC22" t="s">
        <v>166</v>
      </c>
      <c r="DD22" t="s">
        <v>166</v>
      </c>
      <c r="DE22" t="s">
        <v>166</v>
      </c>
      <c r="DF22" t="s">
        <v>205</v>
      </c>
      <c r="DG22">
        <v>35</v>
      </c>
      <c r="DH22" t="s">
        <v>201</v>
      </c>
      <c r="DI22">
        <v>1</v>
      </c>
      <c r="DJ22" t="s">
        <v>206</v>
      </c>
      <c r="DK22">
        <v>17</v>
      </c>
      <c r="DL22" t="s">
        <v>166</v>
      </c>
      <c r="DM22" t="s">
        <v>166</v>
      </c>
      <c r="DN22" t="s">
        <v>207</v>
      </c>
      <c r="DO22">
        <v>38</v>
      </c>
      <c r="DP22" t="s">
        <v>208</v>
      </c>
      <c r="DQ22">
        <v>3</v>
      </c>
      <c r="DR22" t="s">
        <v>209</v>
      </c>
      <c r="DS22" t="s">
        <v>166</v>
      </c>
      <c r="DT22" t="s">
        <v>166</v>
      </c>
      <c r="DU22" t="s">
        <v>166</v>
      </c>
      <c r="DV22" t="s">
        <v>166</v>
      </c>
      <c r="DW22">
        <v>432.6</v>
      </c>
      <c r="DX22" t="s">
        <v>166</v>
      </c>
      <c r="DY22" t="s">
        <v>166</v>
      </c>
      <c r="DZ22" t="s">
        <v>210</v>
      </c>
      <c r="EA22" t="s">
        <v>211</v>
      </c>
      <c r="EB22" t="s">
        <v>212</v>
      </c>
      <c r="EC22" t="s">
        <v>166</v>
      </c>
      <c r="ED22" t="s">
        <v>213</v>
      </c>
      <c r="EE22" s="155" t="s">
        <v>214</v>
      </c>
      <c r="EF22" s="155" t="s">
        <v>214</v>
      </c>
      <c r="EG22">
        <v>1.0271999999999999</v>
      </c>
      <c r="EH22" t="s">
        <v>215</v>
      </c>
      <c r="EI22" t="s">
        <v>215</v>
      </c>
      <c r="EJ22" t="s">
        <v>216</v>
      </c>
      <c r="EK22" t="s">
        <v>215</v>
      </c>
      <c r="EL22" t="s">
        <v>215</v>
      </c>
      <c r="EM22" t="s">
        <v>217</v>
      </c>
      <c r="EN22" s="156" t="s">
        <v>214</v>
      </c>
      <c r="EO22" s="156" t="s">
        <v>214</v>
      </c>
      <c r="EP22" s="156" t="s">
        <v>214</v>
      </c>
      <c r="EQ22" s="156" t="s">
        <v>214</v>
      </c>
      <c r="ER22"/>
      <c r="ES22"/>
      <c r="ET22" t="s">
        <v>218</v>
      </c>
      <c r="EU22" t="s">
        <v>219</v>
      </c>
      <c r="EV22" t="s">
        <v>213</v>
      </c>
      <c r="EW22" t="s">
        <v>166</v>
      </c>
      <c r="EX22" t="s">
        <v>166</v>
      </c>
      <c r="EY22" t="s">
        <v>166</v>
      </c>
      <c r="EZ22" t="s">
        <v>166</v>
      </c>
      <c r="FA22" s="157">
        <v>6.5</v>
      </c>
      <c r="FB22" t="s">
        <v>220</v>
      </c>
      <c r="FC22" s="157">
        <v>1</v>
      </c>
      <c r="FD22" s="157">
        <v>1</v>
      </c>
      <c r="FE22" s="150">
        <v>7.7443261945183997</v>
      </c>
      <c r="FF22" t="s">
        <v>221</v>
      </c>
      <c r="FG22" s="150">
        <v>3.143307422718955E-2</v>
      </c>
      <c r="FH22" s="150">
        <v>3.1688979125700456E-2</v>
      </c>
      <c r="FI22" s="144">
        <v>910.30280328803701</v>
      </c>
      <c r="FJ22" t="s">
        <v>166</v>
      </c>
      <c r="FK22" t="s">
        <v>166</v>
      </c>
      <c r="FL22" s="144">
        <f t="shared" si="2"/>
        <v>910.30280328803701</v>
      </c>
      <c r="FM22" s="144">
        <v>180.67093475319302</v>
      </c>
      <c r="FN22" s="144">
        <v>160.45747400424898</v>
      </c>
      <c r="FO22" t="s">
        <v>222</v>
      </c>
      <c r="FP22" t="s">
        <v>223</v>
      </c>
      <c r="FQ22" s="144" t="s">
        <v>166</v>
      </c>
      <c r="FR22" s="144" t="s">
        <v>166</v>
      </c>
      <c r="FS22" s="144" t="s">
        <v>166</v>
      </c>
      <c r="FT22" s="144" t="s">
        <v>166</v>
      </c>
      <c r="FU22" s="144" t="s">
        <v>166</v>
      </c>
      <c r="FV22" s="144" t="s">
        <v>166</v>
      </c>
      <c r="FW22" s="144" t="s">
        <v>166</v>
      </c>
      <c r="FX22" s="144" t="s">
        <v>166</v>
      </c>
      <c r="FY22" s="144" t="s">
        <v>166</v>
      </c>
      <c r="FZ22" s="144" t="s">
        <v>166</v>
      </c>
      <c r="GA22" s="144" t="s">
        <v>166</v>
      </c>
      <c r="GB22" s="144" t="s">
        <v>166</v>
      </c>
      <c r="GC22" s="158" t="s">
        <v>261</v>
      </c>
      <c r="GD22"/>
      <c r="GE22"/>
      <c r="GF22"/>
      <c r="GG22"/>
      <c r="GH22"/>
      <c r="GI22"/>
      <c r="GJ22"/>
      <c r="GK22"/>
      <c r="GL22"/>
    </row>
    <row r="23" spans="1:194" ht="17">
      <c r="A23" s="140" t="s">
        <v>162</v>
      </c>
      <c r="B23" s="143" t="s">
        <v>163</v>
      </c>
      <c r="C23" s="140" t="s">
        <v>164</v>
      </c>
      <c r="D23" s="140" t="s">
        <v>165</v>
      </c>
      <c r="E23" s="140">
        <v>2020</v>
      </c>
      <c r="F23" t="s">
        <v>184</v>
      </c>
      <c r="G23" s="139">
        <v>36396.420763179842</v>
      </c>
      <c r="H23" s="147">
        <f t="shared" ref="H23" si="20">0.0083*G23^(0.9482)</f>
        <v>175.33714471131941</v>
      </c>
      <c r="I23" s="147">
        <f t="shared" si="1"/>
        <v>175.33714471131941</v>
      </c>
      <c r="J23" s="144">
        <v>871.97461896363495</v>
      </c>
      <c r="K23" s="144">
        <v>199.34882259868516</v>
      </c>
      <c r="L23" s="144">
        <v>157.48284668911992</v>
      </c>
      <c r="M23" s="140" t="b">
        <v>1</v>
      </c>
      <c r="N23" s="140">
        <v>1</v>
      </c>
      <c r="O23" s="302" t="s">
        <v>581</v>
      </c>
      <c r="P23" s="140" t="s">
        <v>166</v>
      </c>
      <c r="Q23" s="140" t="s">
        <v>166</v>
      </c>
      <c r="R23" s="140" t="s">
        <v>166</v>
      </c>
      <c r="S23" s="140" t="b">
        <v>1</v>
      </c>
      <c r="T23" s="140" t="b">
        <v>0</v>
      </c>
      <c r="U23" s="140" t="s">
        <v>166</v>
      </c>
      <c r="V23" s="140" t="b">
        <v>0</v>
      </c>
      <c r="W23" s="140" t="b">
        <v>0</v>
      </c>
      <c r="X23" s="140" t="s">
        <v>580</v>
      </c>
      <c r="Y23" s="148" t="s">
        <v>186</v>
      </c>
      <c r="Z23" t="s">
        <v>184</v>
      </c>
      <c r="AA23" s="149">
        <v>865</v>
      </c>
      <c r="AB23" s="149" t="s">
        <v>233</v>
      </c>
      <c r="AC23" s="149">
        <v>3</v>
      </c>
      <c r="AD23" s="149">
        <v>3</v>
      </c>
      <c r="AE23" t="s">
        <v>166</v>
      </c>
      <c r="AF23" t="s">
        <v>166</v>
      </c>
      <c r="AG23" s="150">
        <v>21.5</v>
      </c>
      <c r="AH23" t="s">
        <v>166</v>
      </c>
      <c r="AI23" t="s">
        <v>166</v>
      </c>
      <c r="AJ23" t="s">
        <v>253</v>
      </c>
      <c r="AK23">
        <v>18.440300000000001</v>
      </c>
      <c r="AL23">
        <v>-179.5558</v>
      </c>
      <c r="AM23" s="163">
        <v>12.092122077941895</v>
      </c>
      <c r="AN23" t="s">
        <v>166</v>
      </c>
      <c r="AO23">
        <v>-1530</v>
      </c>
      <c r="AP23">
        <v>-1400</v>
      </c>
      <c r="AQ23" t="s">
        <v>254</v>
      </c>
      <c r="AR23" t="s">
        <v>166</v>
      </c>
      <c r="AS23" s="150">
        <v>36.39642076317984</v>
      </c>
      <c r="AT23" t="s">
        <v>166</v>
      </c>
      <c r="AU23" t="s">
        <v>166</v>
      </c>
      <c r="AV23" t="s">
        <v>166</v>
      </c>
      <c r="AW23" t="s">
        <v>255</v>
      </c>
      <c r="AX23" t="s">
        <v>256</v>
      </c>
      <c r="AY23" t="s">
        <v>166</v>
      </c>
      <c r="AZ23" t="s">
        <v>166</v>
      </c>
      <c r="BA23" t="s">
        <v>166</v>
      </c>
      <c r="BB23" t="s">
        <v>166</v>
      </c>
      <c r="BC23" t="s">
        <v>166</v>
      </c>
      <c r="BD23" t="s">
        <v>166</v>
      </c>
      <c r="BE23" t="s">
        <v>166</v>
      </c>
      <c r="BF23" t="s">
        <v>166</v>
      </c>
      <c r="BG23" s="151" t="s">
        <v>257</v>
      </c>
      <c r="BH23" s="149" t="s">
        <v>192</v>
      </c>
      <c r="BI23" t="s">
        <v>166</v>
      </c>
      <c r="BJ23" s="152" t="s">
        <v>166</v>
      </c>
      <c r="BK23" t="s">
        <v>262</v>
      </c>
      <c r="BL23" t="s">
        <v>194</v>
      </c>
      <c r="BM23" t="s">
        <v>195</v>
      </c>
      <c r="BN23" t="s">
        <v>166</v>
      </c>
      <c r="BO23" t="s">
        <v>166</v>
      </c>
      <c r="BP23" t="s">
        <v>166</v>
      </c>
      <c r="BQ23" s="150">
        <v>15.067111292056882</v>
      </c>
      <c r="BR23" t="s">
        <v>196</v>
      </c>
      <c r="BS23" s="150">
        <v>0.29804313495418239</v>
      </c>
      <c r="BT23">
        <v>1</v>
      </c>
      <c r="BU23" t="s">
        <v>197</v>
      </c>
      <c r="BV23" t="s">
        <v>166</v>
      </c>
      <c r="BW23">
        <v>0</v>
      </c>
      <c r="BX23" t="s">
        <v>197</v>
      </c>
      <c r="BY23" t="s">
        <v>166</v>
      </c>
      <c r="BZ23" t="s">
        <v>198</v>
      </c>
      <c r="CA23" t="s">
        <v>166</v>
      </c>
      <c r="CB23" s="150">
        <v>15.067111292056882</v>
      </c>
      <c r="CC23" t="s">
        <v>196</v>
      </c>
      <c r="CD23" s="150">
        <v>0.29804313495418239</v>
      </c>
      <c r="CE23" t="s">
        <v>259</v>
      </c>
      <c r="CF23" t="s">
        <v>260</v>
      </c>
      <c r="CG23" t="s">
        <v>200</v>
      </c>
      <c r="CH23" t="s">
        <v>166</v>
      </c>
      <c r="CI23" t="s">
        <v>166</v>
      </c>
      <c r="CJ23" s="139">
        <v>31.666517766234676</v>
      </c>
      <c r="CK23" t="s">
        <v>201</v>
      </c>
      <c r="CL23">
        <v>2</v>
      </c>
      <c r="CM23">
        <v>2</v>
      </c>
      <c r="CN23" t="s">
        <v>166</v>
      </c>
      <c r="CO23" s="139">
        <v>3.2412920887599972</v>
      </c>
      <c r="CP23" t="s">
        <v>166</v>
      </c>
      <c r="CQ23" t="s">
        <v>166</v>
      </c>
      <c r="CR23" t="s">
        <v>166</v>
      </c>
      <c r="CS23" s="153" t="s">
        <v>202</v>
      </c>
      <c r="CT23" t="s">
        <v>203</v>
      </c>
      <c r="CU23">
        <v>2.2000000000000002</v>
      </c>
      <c r="CV23" t="s">
        <v>204</v>
      </c>
      <c r="CW23" t="s">
        <v>166</v>
      </c>
      <c r="CX23" t="s">
        <v>166</v>
      </c>
      <c r="CY23" t="s">
        <v>166</v>
      </c>
      <c r="CZ23" t="s">
        <v>166</v>
      </c>
      <c r="DA23" s="154" t="s">
        <v>166</v>
      </c>
      <c r="DB23" t="s">
        <v>166</v>
      </c>
      <c r="DC23" t="s">
        <v>166</v>
      </c>
      <c r="DD23" t="s">
        <v>166</v>
      </c>
      <c r="DE23" t="s">
        <v>166</v>
      </c>
      <c r="DF23" t="s">
        <v>205</v>
      </c>
      <c r="DG23">
        <v>35</v>
      </c>
      <c r="DH23" t="s">
        <v>201</v>
      </c>
      <c r="DI23">
        <v>1</v>
      </c>
      <c r="DJ23" t="s">
        <v>206</v>
      </c>
      <c r="DK23">
        <v>17</v>
      </c>
      <c r="DL23" t="s">
        <v>166</v>
      </c>
      <c r="DM23" t="s">
        <v>166</v>
      </c>
      <c r="DN23" t="s">
        <v>207</v>
      </c>
      <c r="DO23">
        <v>38</v>
      </c>
      <c r="DP23" t="s">
        <v>208</v>
      </c>
      <c r="DQ23">
        <v>3</v>
      </c>
      <c r="DR23" t="s">
        <v>209</v>
      </c>
      <c r="DS23" t="s">
        <v>166</v>
      </c>
      <c r="DT23" t="s">
        <v>166</v>
      </c>
      <c r="DU23" t="s">
        <v>166</v>
      </c>
      <c r="DV23" t="s">
        <v>166</v>
      </c>
      <c r="DW23">
        <v>432.6</v>
      </c>
      <c r="DX23" t="s">
        <v>166</v>
      </c>
      <c r="DY23" t="s">
        <v>166</v>
      </c>
      <c r="DZ23" t="s">
        <v>210</v>
      </c>
      <c r="EA23" t="s">
        <v>211</v>
      </c>
      <c r="EB23" t="s">
        <v>212</v>
      </c>
      <c r="EC23" t="s">
        <v>166</v>
      </c>
      <c r="ED23" t="s">
        <v>213</v>
      </c>
      <c r="EE23" s="155" t="s">
        <v>214</v>
      </c>
      <c r="EF23" s="155" t="s">
        <v>214</v>
      </c>
      <c r="EG23">
        <v>1.0271999999999999</v>
      </c>
      <c r="EH23" t="s">
        <v>215</v>
      </c>
      <c r="EI23" t="s">
        <v>215</v>
      </c>
      <c r="EJ23" t="s">
        <v>216</v>
      </c>
      <c r="EK23" t="s">
        <v>215</v>
      </c>
      <c r="EL23" t="s">
        <v>215</v>
      </c>
      <c r="EM23" t="s">
        <v>217</v>
      </c>
      <c r="EN23" s="156" t="s">
        <v>214</v>
      </c>
      <c r="EO23" s="156" t="s">
        <v>214</v>
      </c>
      <c r="EP23" s="156" t="s">
        <v>214</v>
      </c>
      <c r="EQ23" s="156" t="s">
        <v>214</v>
      </c>
      <c r="ET23" t="s">
        <v>218</v>
      </c>
      <c r="EU23" t="s">
        <v>219</v>
      </c>
      <c r="EV23" t="s">
        <v>213</v>
      </c>
      <c r="EW23" t="s">
        <v>166</v>
      </c>
      <c r="EX23" t="s">
        <v>166</v>
      </c>
      <c r="EY23" t="s">
        <v>166</v>
      </c>
      <c r="EZ23" t="s">
        <v>166</v>
      </c>
      <c r="FA23" s="157">
        <v>6.5</v>
      </c>
      <c r="FB23" t="s">
        <v>220</v>
      </c>
      <c r="FC23" s="157">
        <v>1</v>
      </c>
      <c r="FD23" s="157">
        <v>1</v>
      </c>
      <c r="FE23" s="150">
        <v>7.7680965058497797</v>
      </c>
      <c r="FF23" t="s">
        <v>221</v>
      </c>
      <c r="FG23" s="150">
        <v>4.0327732694249718E-2</v>
      </c>
      <c r="FH23" s="150">
        <v>3.5719731811529876E-2</v>
      </c>
      <c r="FI23" s="144">
        <v>871.97461896363495</v>
      </c>
      <c r="FJ23" t="s">
        <v>166</v>
      </c>
      <c r="FK23" t="s">
        <v>166</v>
      </c>
      <c r="FL23" s="144">
        <f t="shared" si="2"/>
        <v>871.97461896363495</v>
      </c>
      <c r="FM23" s="144">
        <v>199.34882259868516</v>
      </c>
      <c r="FN23" s="144">
        <v>157.48284668911992</v>
      </c>
      <c r="FO23" t="s">
        <v>222</v>
      </c>
      <c r="FP23" t="s">
        <v>223</v>
      </c>
      <c r="FQ23" s="144" t="s">
        <v>166</v>
      </c>
      <c r="FR23" s="144" t="s">
        <v>166</v>
      </c>
      <c r="FS23" s="144" t="s">
        <v>166</v>
      </c>
      <c r="FT23" s="144" t="s">
        <v>166</v>
      </c>
      <c r="FU23" s="144" t="s">
        <v>166</v>
      </c>
      <c r="FV23" s="144" t="s">
        <v>166</v>
      </c>
      <c r="FW23" s="144" t="s">
        <v>166</v>
      </c>
      <c r="FX23" s="144" t="s">
        <v>166</v>
      </c>
      <c r="FY23" s="144" t="s">
        <v>166</v>
      </c>
      <c r="FZ23" s="144" t="s">
        <v>166</v>
      </c>
      <c r="GA23" s="144" t="s">
        <v>166</v>
      </c>
      <c r="GB23" s="144" t="s">
        <v>166</v>
      </c>
      <c r="GC23" s="158" t="s">
        <v>261</v>
      </c>
    </row>
    <row r="24" spans="1:194" ht="17">
      <c r="A24" s="140" t="s">
        <v>162</v>
      </c>
      <c r="B24" s="143" t="s">
        <v>163</v>
      </c>
      <c r="C24" s="140" t="s">
        <v>164</v>
      </c>
      <c r="D24" s="140" t="s">
        <v>165</v>
      </c>
      <c r="E24" s="140">
        <v>2020</v>
      </c>
      <c r="F24" t="s">
        <v>184</v>
      </c>
      <c r="G24" s="139">
        <v>36963.283521536279</v>
      </c>
      <c r="H24" s="147">
        <f t="shared" ref="H24" si="21">0.0083*G24^(0.9482)</f>
        <v>177.92547000341463</v>
      </c>
      <c r="I24" s="147">
        <f t="shared" si="1"/>
        <v>177.92547000341463</v>
      </c>
      <c r="J24" s="144">
        <v>883.00408334850692</v>
      </c>
      <c r="K24" s="144">
        <v>190.95053260251314</v>
      </c>
      <c r="L24" s="144">
        <v>138.91568667466595</v>
      </c>
      <c r="M24" s="140" t="b">
        <v>1</v>
      </c>
      <c r="N24" s="140">
        <v>1</v>
      </c>
      <c r="O24" s="302" t="s">
        <v>581</v>
      </c>
      <c r="P24" s="140" t="s">
        <v>166</v>
      </c>
      <c r="Q24" s="140" t="s">
        <v>166</v>
      </c>
      <c r="R24" s="140" t="s">
        <v>166</v>
      </c>
      <c r="S24" s="140" t="b">
        <v>1</v>
      </c>
      <c r="T24" s="140" t="b">
        <v>0</v>
      </c>
      <c r="U24" s="140" t="s">
        <v>166</v>
      </c>
      <c r="V24" s="140" t="b">
        <v>0</v>
      </c>
      <c r="W24" s="140" t="b">
        <v>0</v>
      </c>
      <c r="X24" s="140" t="s">
        <v>580</v>
      </c>
      <c r="Y24" s="148" t="s">
        <v>186</v>
      </c>
      <c r="Z24" t="s">
        <v>184</v>
      </c>
      <c r="AA24" s="149">
        <v>865</v>
      </c>
      <c r="AB24" s="149" t="s">
        <v>233</v>
      </c>
      <c r="AC24" s="149">
        <v>3</v>
      </c>
      <c r="AD24" s="149">
        <v>5</v>
      </c>
      <c r="AE24" t="s">
        <v>166</v>
      </c>
      <c r="AF24" t="s">
        <v>166</v>
      </c>
      <c r="AG24" s="150">
        <v>24.015000000000001</v>
      </c>
      <c r="AH24" t="s">
        <v>166</v>
      </c>
      <c r="AI24" t="s">
        <v>166</v>
      </c>
      <c r="AJ24" t="s">
        <v>253</v>
      </c>
      <c r="AK24">
        <v>18.440300000000001</v>
      </c>
      <c r="AL24">
        <v>-179.5558</v>
      </c>
      <c r="AM24" s="163">
        <v>11.968067169189453</v>
      </c>
      <c r="AN24" t="s">
        <v>166</v>
      </c>
      <c r="AO24">
        <v>-1530</v>
      </c>
      <c r="AP24">
        <v>-1400</v>
      </c>
      <c r="AQ24" t="s">
        <v>254</v>
      </c>
      <c r="AR24" t="s">
        <v>166</v>
      </c>
      <c r="AS24" s="150">
        <v>36.963283521536276</v>
      </c>
      <c r="AT24" t="s">
        <v>166</v>
      </c>
      <c r="AU24" t="s">
        <v>166</v>
      </c>
      <c r="AV24" t="s">
        <v>166</v>
      </c>
      <c r="AW24" t="s">
        <v>255</v>
      </c>
      <c r="AX24" t="s">
        <v>256</v>
      </c>
      <c r="AY24" t="s">
        <v>166</v>
      </c>
      <c r="AZ24" t="s">
        <v>166</v>
      </c>
      <c r="BA24" t="s">
        <v>166</v>
      </c>
      <c r="BB24" t="s">
        <v>166</v>
      </c>
      <c r="BC24" t="s">
        <v>166</v>
      </c>
      <c r="BD24" t="s">
        <v>166</v>
      </c>
      <c r="BE24" t="s">
        <v>166</v>
      </c>
      <c r="BF24" t="s">
        <v>166</v>
      </c>
      <c r="BG24" s="151" t="s">
        <v>257</v>
      </c>
      <c r="BH24" s="149" t="s">
        <v>263</v>
      </c>
      <c r="BI24" t="s">
        <v>166</v>
      </c>
      <c r="BJ24" s="152" t="s">
        <v>166</v>
      </c>
      <c r="BK24" t="s">
        <v>264</v>
      </c>
      <c r="BL24" t="s">
        <v>194</v>
      </c>
      <c r="BM24" t="s">
        <v>195</v>
      </c>
      <c r="BN24" t="s">
        <v>166</v>
      </c>
      <c r="BO24" t="s">
        <v>166</v>
      </c>
      <c r="BP24" t="s">
        <v>166</v>
      </c>
      <c r="BQ24" s="150">
        <v>15.063129719946092</v>
      </c>
      <c r="BR24" t="s">
        <v>196</v>
      </c>
      <c r="BS24" s="150">
        <v>0.26169735458371496</v>
      </c>
      <c r="BT24">
        <v>1</v>
      </c>
      <c r="BU24" t="s">
        <v>197</v>
      </c>
      <c r="BV24" t="s">
        <v>166</v>
      </c>
      <c r="BW24">
        <v>0</v>
      </c>
      <c r="BX24" t="s">
        <v>197</v>
      </c>
      <c r="BY24" t="s">
        <v>166</v>
      </c>
      <c r="BZ24" t="s">
        <v>198</v>
      </c>
      <c r="CA24" t="s">
        <v>166</v>
      </c>
      <c r="CB24" s="150">
        <v>15.063129719946092</v>
      </c>
      <c r="CC24" t="s">
        <v>196</v>
      </c>
      <c r="CD24" s="150">
        <v>0.26169735458371496</v>
      </c>
      <c r="CE24" t="s">
        <v>259</v>
      </c>
      <c r="CF24" t="s">
        <v>260</v>
      </c>
      <c r="CG24" t="s">
        <v>200</v>
      </c>
      <c r="CH24" t="s">
        <v>166</v>
      </c>
      <c r="CI24" t="s">
        <v>166</v>
      </c>
      <c r="CJ24" s="139">
        <v>32.915618211148391</v>
      </c>
      <c r="CK24" t="s">
        <v>201</v>
      </c>
      <c r="CL24">
        <v>2</v>
      </c>
      <c r="CM24">
        <v>2</v>
      </c>
      <c r="CN24" t="s">
        <v>166</v>
      </c>
      <c r="CO24" s="139">
        <v>3.4777180314664893</v>
      </c>
      <c r="CP24" t="s">
        <v>166</v>
      </c>
      <c r="CQ24" t="s">
        <v>166</v>
      </c>
      <c r="CR24" t="s">
        <v>166</v>
      </c>
      <c r="CS24" s="153" t="s">
        <v>202</v>
      </c>
      <c r="CT24" t="s">
        <v>203</v>
      </c>
      <c r="CU24">
        <v>2.2000000000000002</v>
      </c>
      <c r="CV24" t="s">
        <v>204</v>
      </c>
      <c r="CW24" t="s">
        <v>166</v>
      </c>
      <c r="CX24" t="s">
        <v>166</v>
      </c>
      <c r="CY24" t="s">
        <v>166</v>
      </c>
      <c r="CZ24" t="s">
        <v>166</v>
      </c>
      <c r="DA24" s="154" t="s">
        <v>166</v>
      </c>
      <c r="DB24" t="s">
        <v>166</v>
      </c>
      <c r="DC24" t="s">
        <v>166</v>
      </c>
      <c r="DD24" t="s">
        <v>166</v>
      </c>
      <c r="DE24" t="s">
        <v>166</v>
      </c>
      <c r="DF24" t="s">
        <v>205</v>
      </c>
      <c r="DG24">
        <v>35</v>
      </c>
      <c r="DH24" t="s">
        <v>201</v>
      </c>
      <c r="DI24">
        <v>1</v>
      </c>
      <c r="DJ24" t="s">
        <v>206</v>
      </c>
      <c r="DK24">
        <v>17</v>
      </c>
      <c r="DL24" t="s">
        <v>166</v>
      </c>
      <c r="DM24" t="s">
        <v>166</v>
      </c>
      <c r="DN24" t="s">
        <v>207</v>
      </c>
      <c r="DO24">
        <v>38</v>
      </c>
      <c r="DP24" t="s">
        <v>208</v>
      </c>
      <c r="DQ24">
        <v>3</v>
      </c>
      <c r="DR24" t="s">
        <v>209</v>
      </c>
      <c r="DS24" t="s">
        <v>166</v>
      </c>
      <c r="DT24" t="s">
        <v>166</v>
      </c>
      <c r="DU24" t="s">
        <v>166</v>
      </c>
      <c r="DV24" t="s">
        <v>166</v>
      </c>
      <c r="DW24">
        <v>432.6</v>
      </c>
      <c r="DX24" t="s">
        <v>166</v>
      </c>
      <c r="DY24" t="s">
        <v>166</v>
      </c>
      <c r="DZ24" t="s">
        <v>210</v>
      </c>
      <c r="EA24" t="s">
        <v>211</v>
      </c>
      <c r="EB24" t="s">
        <v>212</v>
      </c>
      <c r="EC24" t="s">
        <v>166</v>
      </c>
      <c r="ED24" t="s">
        <v>213</v>
      </c>
      <c r="EE24" s="155" t="s">
        <v>214</v>
      </c>
      <c r="EF24" s="155" t="s">
        <v>214</v>
      </c>
      <c r="EG24">
        <v>1.0271999999999999</v>
      </c>
      <c r="EH24" t="s">
        <v>215</v>
      </c>
      <c r="EI24" t="s">
        <v>215</v>
      </c>
      <c r="EJ24" t="s">
        <v>216</v>
      </c>
      <c r="EK24" t="s">
        <v>215</v>
      </c>
      <c r="EL24" t="s">
        <v>215</v>
      </c>
      <c r="EM24" t="s">
        <v>217</v>
      </c>
      <c r="EN24" s="156" t="s">
        <v>214</v>
      </c>
      <c r="EO24" s="156" t="s">
        <v>214</v>
      </c>
      <c r="EP24" s="156" t="s">
        <v>214</v>
      </c>
      <c r="EQ24" s="156" t="s">
        <v>214</v>
      </c>
      <c r="ET24" t="s">
        <v>218</v>
      </c>
      <c r="EU24" t="s">
        <v>219</v>
      </c>
      <c r="EV24" t="s">
        <v>213</v>
      </c>
      <c r="EW24" t="s">
        <v>166</v>
      </c>
      <c r="EX24" t="s">
        <v>166</v>
      </c>
      <c r="EY24" t="s">
        <v>166</v>
      </c>
      <c r="EZ24" t="s">
        <v>166</v>
      </c>
      <c r="FA24" s="157">
        <v>6.5</v>
      </c>
      <c r="FB24" t="s">
        <v>220</v>
      </c>
      <c r="FC24" s="157">
        <v>1</v>
      </c>
      <c r="FD24" s="157">
        <v>1</v>
      </c>
      <c r="FE24" s="150">
        <v>7.75535765179007</v>
      </c>
      <c r="FF24" t="s">
        <v>221</v>
      </c>
      <c r="FG24" s="150">
        <v>3.77464499465896E-2</v>
      </c>
      <c r="FH24" s="150">
        <v>3.2711050715420242E-2</v>
      </c>
      <c r="FI24" s="144">
        <v>883.00408334850692</v>
      </c>
      <c r="FJ24" t="s">
        <v>166</v>
      </c>
      <c r="FK24" t="s">
        <v>166</v>
      </c>
      <c r="FL24" s="144">
        <f t="shared" si="2"/>
        <v>883.00408334850692</v>
      </c>
      <c r="FM24" s="144">
        <v>190.95053260251314</v>
      </c>
      <c r="FN24" s="144">
        <v>138.91568667466595</v>
      </c>
      <c r="FO24" t="s">
        <v>222</v>
      </c>
      <c r="FP24" t="s">
        <v>223</v>
      </c>
      <c r="FQ24" s="144" t="s">
        <v>166</v>
      </c>
      <c r="FR24" s="144" t="s">
        <v>166</v>
      </c>
      <c r="FS24" s="144" t="s">
        <v>166</v>
      </c>
      <c r="FT24" s="144" t="s">
        <v>166</v>
      </c>
      <c r="FU24" s="144" t="s">
        <v>166</v>
      </c>
      <c r="FV24" s="144" t="s">
        <v>166</v>
      </c>
      <c r="FW24" s="144" t="s">
        <v>166</v>
      </c>
      <c r="FX24" s="144" t="s">
        <v>166</v>
      </c>
      <c r="FY24" s="144" t="s">
        <v>166</v>
      </c>
      <c r="FZ24" s="144" t="s">
        <v>166</v>
      </c>
      <c r="GA24" s="144" t="s">
        <v>166</v>
      </c>
      <c r="GB24" s="144" t="s">
        <v>166</v>
      </c>
      <c r="GC24" s="158" t="s">
        <v>261</v>
      </c>
    </row>
    <row r="25" spans="1:194" ht="17">
      <c r="A25" s="140" t="s">
        <v>162</v>
      </c>
      <c r="B25" s="143" t="s">
        <v>163</v>
      </c>
      <c r="C25" s="140" t="s">
        <v>164</v>
      </c>
      <c r="D25" s="140" t="s">
        <v>165</v>
      </c>
      <c r="E25" s="140">
        <v>2020</v>
      </c>
      <c r="F25" t="s">
        <v>184</v>
      </c>
      <c r="G25" s="139">
        <v>36963.283521536279</v>
      </c>
      <c r="H25" s="147">
        <f t="shared" ref="H25" si="22">0.0083*G25^(0.9482)</f>
        <v>177.92547000341463</v>
      </c>
      <c r="I25" s="147">
        <f t="shared" si="1"/>
        <v>177.92547000341463</v>
      </c>
      <c r="J25" s="144">
        <v>830.59834251235395</v>
      </c>
      <c r="K25" s="144">
        <v>167.98339020022297</v>
      </c>
      <c r="L25" s="144">
        <v>146.53528290331894</v>
      </c>
      <c r="M25" s="140" t="b">
        <v>1</v>
      </c>
      <c r="N25" s="140">
        <v>1</v>
      </c>
      <c r="O25" s="302" t="s">
        <v>581</v>
      </c>
      <c r="P25" s="140" t="s">
        <v>166</v>
      </c>
      <c r="Q25" s="140" t="s">
        <v>166</v>
      </c>
      <c r="R25" s="140" t="s">
        <v>166</v>
      </c>
      <c r="S25" s="140" t="b">
        <v>1</v>
      </c>
      <c r="T25" s="140" t="b">
        <v>0</v>
      </c>
      <c r="U25" s="140" t="s">
        <v>166</v>
      </c>
      <c r="V25" s="140" t="b">
        <v>0</v>
      </c>
      <c r="W25" s="140" t="b">
        <v>0</v>
      </c>
      <c r="X25" s="140" t="s">
        <v>580</v>
      </c>
      <c r="Y25" s="148" t="s">
        <v>186</v>
      </c>
      <c r="Z25" t="s">
        <v>184</v>
      </c>
      <c r="AA25" s="149">
        <v>865</v>
      </c>
      <c r="AB25" s="149" t="s">
        <v>233</v>
      </c>
      <c r="AC25" s="149">
        <v>3</v>
      </c>
      <c r="AD25" s="149">
        <v>5</v>
      </c>
      <c r="AE25" t="s">
        <v>166</v>
      </c>
      <c r="AF25" t="s">
        <v>166</v>
      </c>
      <c r="AG25" s="150">
        <v>24.015000000000001</v>
      </c>
      <c r="AH25" t="s">
        <v>166</v>
      </c>
      <c r="AI25" t="s">
        <v>166</v>
      </c>
      <c r="AJ25" t="s">
        <v>253</v>
      </c>
      <c r="AK25">
        <v>18.440300000000001</v>
      </c>
      <c r="AL25">
        <v>-179.5558</v>
      </c>
      <c r="AM25" s="163">
        <v>11.968067169189453</v>
      </c>
      <c r="AN25" t="s">
        <v>166</v>
      </c>
      <c r="AO25">
        <v>-1530</v>
      </c>
      <c r="AP25">
        <v>-1400</v>
      </c>
      <c r="AQ25" t="s">
        <v>254</v>
      </c>
      <c r="AR25" t="s">
        <v>166</v>
      </c>
      <c r="AS25" s="150">
        <v>36.963283521536276</v>
      </c>
      <c r="AT25" t="s">
        <v>166</v>
      </c>
      <c r="AU25" t="s">
        <v>166</v>
      </c>
      <c r="AV25" t="s">
        <v>166</v>
      </c>
      <c r="AW25" t="s">
        <v>255</v>
      </c>
      <c r="AX25" t="s">
        <v>256</v>
      </c>
      <c r="AY25" t="s">
        <v>166</v>
      </c>
      <c r="AZ25" t="s">
        <v>166</v>
      </c>
      <c r="BA25" t="s">
        <v>166</v>
      </c>
      <c r="BB25" t="s">
        <v>166</v>
      </c>
      <c r="BC25" t="s">
        <v>166</v>
      </c>
      <c r="BD25" t="s">
        <v>166</v>
      </c>
      <c r="BE25" t="s">
        <v>166</v>
      </c>
      <c r="BF25" t="s">
        <v>166</v>
      </c>
      <c r="BG25" s="151" t="s">
        <v>257</v>
      </c>
      <c r="BH25" s="149" t="s">
        <v>192</v>
      </c>
      <c r="BI25" t="s">
        <v>166</v>
      </c>
      <c r="BJ25" s="152" t="s">
        <v>166</v>
      </c>
      <c r="BK25" t="s">
        <v>265</v>
      </c>
      <c r="BL25" t="s">
        <v>194</v>
      </c>
      <c r="BM25" t="s">
        <v>195</v>
      </c>
      <c r="BN25" t="s">
        <v>166</v>
      </c>
      <c r="BO25" t="s">
        <v>166</v>
      </c>
      <c r="BP25" t="s">
        <v>166</v>
      </c>
      <c r="BQ25" s="150">
        <v>15.186008255654563</v>
      </c>
      <c r="BR25" t="s">
        <v>196</v>
      </c>
      <c r="BS25" s="150">
        <v>0.25684127871499324</v>
      </c>
      <c r="BT25">
        <v>1</v>
      </c>
      <c r="BU25" t="s">
        <v>197</v>
      </c>
      <c r="BV25" t="s">
        <v>166</v>
      </c>
      <c r="BW25">
        <v>0</v>
      </c>
      <c r="BX25" t="s">
        <v>197</v>
      </c>
      <c r="BY25" t="s">
        <v>166</v>
      </c>
      <c r="BZ25" t="s">
        <v>198</v>
      </c>
      <c r="CA25" t="s">
        <v>166</v>
      </c>
      <c r="CB25" s="150">
        <v>15.186008255654563</v>
      </c>
      <c r="CC25" t="s">
        <v>196</v>
      </c>
      <c r="CD25" s="150">
        <v>0.25684127871499324</v>
      </c>
      <c r="CE25" t="s">
        <v>259</v>
      </c>
      <c r="CF25" t="s">
        <v>260</v>
      </c>
      <c r="CG25" t="s">
        <v>200</v>
      </c>
      <c r="CH25" t="s">
        <v>166</v>
      </c>
      <c r="CI25" t="s">
        <v>166</v>
      </c>
      <c r="CJ25" s="139">
        <v>32.932580933034025</v>
      </c>
      <c r="CK25" t="s">
        <v>201</v>
      </c>
      <c r="CL25">
        <v>2</v>
      </c>
      <c r="CM25">
        <v>2</v>
      </c>
      <c r="CN25" t="s">
        <v>166</v>
      </c>
      <c r="CO25" s="139">
        <v>3.4810446219678304</v>
      </c>
      <c r="CP25" t="s">
        <v>166</v>
      </c>
      <c r="CQ25" t="s">
        <v>166</v>
      </c>
      <c r="CR25" t="s">
        <v>166</v>
      </c>
      <c r="CS25" s="153" t="s">
        <v>202</v>
      </c>
      <c r="CT25" t="s">
        <v>203</v>
      </c>
      <c r="CU25">
        <v>2.2000000000000002</v>
      </c>
      <c r="CV25" t="s">
        <v>204</v>
      </c>
      <c r="CW25" t="s">
        <v>166</v>
      </c>
      <c r="CX25" t="s">
        <v>166</v>
      </c>
      <c r="CY25" t="s">
        <v>166</v>
      </c>
      <c r="CZ25" t="s">
        <v>166</v>
      </c>
      <c r="DA25" s="154" t="s">
        <v>166</v>
      </c>
      <c r="DB25" t="s">
        <v>166</v>
      </c>
      <c r="DC25" t="s">
        <v>166</v>
      </c>
      <c r="DD25" t="s">
        <v>166</v>
      </c>
      <c r="DE25" t="s">
        <v>166</v>
      </c>
      <c r="DF25" t="s">
        <v>205</v>
      </c>
      <c r="DG25">
        <v>35</v>
      </c>
      <c r="DH25" t="s">
        <v>201</v>
      </c>
      <c r="DI25">
        <v>1</v>
      </c>
      <c r="DJ25" t="s">
        <v>206</v>
      </c>
      <c r="DK25">
        <v>17</v>
      </c>
      <c r="DL25" t="s">
        <v>166</v>
      </c>
      <c r="DM25" t="s">
        <v>166</v>
      </c>
      <c r="DN25" t="s">
        <v>207</v>
      </c>
      <c r="DO25">
        <v>38</v>
      </c>
      <c r="DP25" t="s">
        <v>208</v>
      </c>
      <c r="DQ25">
        <v>3</v>
      </c>
      <c r="DR25" t="s">
        <v>209</v>
      </c>
      <c r="DS25" t="s">
        <v>166</v>
      </c>
      <c r="DT25" t="s">
        <v>166</v>
      </c>
      <c r="DU25" t="s">
        <v>166</v>
      </c>
      <c r="DV25" t="s">
        <v>166</v>
      </c>
      <c r="DW25">
        <v>432.6</v>
      </c>
      <c r="DX25" t="s">
        <v>166</v>
      </c>
      <c r="DY25" t="s">
        <v>166</v>
      </c>
      <c r="DZ25" t="s">
        <v>210</v>
      </c>
      <c r="EA25" t="s">
        <v>211</v>
      </c>
      <c r="EB25" t="s">
        <v>212</v>
      </c>
      <c r="EC25" t="s">
        <v>166</v>
      </c>
      <c r="ED25" t="s">
        <v>213</v>
      </c>
      <c r="EE25" s="155" t="s">
        <v>214</v>
      </c>
      <c r="EF25" s="155" t="s">
        <v>214</v>
      </c>
      <c r="EG25">
        <v>1.0271999999999999</v>
      </c>
      <c r="EH25" t="s">
        <v>215</v>
      </c>
      <c r="EI25" t="s">
        <v>215</v>
      </c>
      <c r="EJ25" t="s">
        <v>216</v>
      </c>
      <c r="EK25" t="s">
        <v>215</v>
      </c>
      <c r="EL25" t="s">
        <v>215</v>
      </c>
      <c r="EM25" t="s">
        <v>217</v>
      </c>
      <c r="EN25" s="156" t="s">
        <v>214</v>
      </c>
      <c r="EO25" s="156" t="s">
        <v>214</v>
      </c>
      <c r="EP25" s="156" t="s">
        <v>214</v>
      </c>
      <c r="EQ25" s="156" t="s">
        <v>214</v>
      </c>
      <c r="ET25" t="s">
        <v>218</v>
      </c>
      <c r="EU25" t="s">
        <v>219</v>
      </c>
      <c r="EV25" t="s">
        <v>213</v>
      </c>
      <c r="EW25" t="s">
        <v>166</v>
      </c>
      <c r="EX25" t="s">
        <v>166</v>
      </c>
      <c r="EY25" t="s">
        <v>166</v>
      </c>
      <c r="EZ25" t="s">
        <v>166</v>
      </c>
      <c r="FA25" s="157">
        <v>6.5</v>
      </c>
      <c r="FB25" t="s">
        <v>220</v>
      </c>
      <c r="FC25" s="157">
        <v>1</v>
      </c>
      <c r="FD25" s="157">
        <v>1</v>
      </c>
      <c r="FE25" s="150">
        <v>7.76837466233507</v>
      </c>
      <c r="FF25" t="s">
        <v>221</v>
      </c>
      <c r="FG25" s="150">
        <v>3.5547531903380225E-2</v>
      </c>
      <c r="FH25" s="150">
        <v>3.3761764489590007E-2</v>
      </c>
      <c r="FI25" s="144">
        <v>830.59834251235395</v>
      </c>
      <c r="FJ25" t="s">
        <v>166</v>
      </c>
      <c r="FK25" t="s">
        <v>166</v>
      </c>
      <c r="FL25" s="144">
        <f t="shared" si="2"/>
        <v>830.59834251235395</v>
      </c>
      <c r="FM25" s="144">
        <v>167.98339020022297</v>
      </c>
      <c r="FN25" s="144">
        <v>146.53528290331894</v>
      </c>
      <c r="FO25" t="s">
        <v>222</v>
      </c>
      <c r="FP25" t="s">
        <v>223</v>
      </c>
      <c r="FQ25" s="144" t="s">
        <v>166</v>
      </c>
      <c r="FR25" s="144" t="s">
        <v>166</v>
      </c>
      <c r="FS25" s="144" t="s">
        <v>166</v>
      </c>
      <c r="FT25" s="144" t="s">
        <v>166</v>
      </c>
      <c r="FU25" s="144" t="s">
        <v>166</v>
      </c>
      <c r="FV25" s="144" t="s">
        <v>166</v>
      </c>
      <c r="FW25" s="144" t="s">
        <v>166</v>
      </c>
      <c r="FX25" s="144" t="s">
        <v>166</v>
      </c>
      <c r="FY25" s="144" t="s">
        <v>166</v>
      </c>
      <c r="FZ25" s="144" t="s">
        <v>166</v>
      </c>
      <c r="GA25" s="144" t="s">
        <v>166</v>
      </c>
      <c r="GB25" s="144" t="s">
        <v>166</v>
      </c>
      <c r="GC25" s="158" t="s">
        <v>261</v>
      </c>
    </row>
    <row r="26" spans="1:194" ht="17">
      <c r="A26" s="140" t="s">
        <v>162</v>
      </c>
      <c r="B26" s="143" t="s">
        <v>163</v>
      </c>
      <c r="C26" s="140" t="s">
        <v>164</v>
      </c>
      <c r="D26" s="140" t="s">
        <v>165</v>
      </c>
      <c r="E26" s="140">
        <v>2020</v>
      </c>
      <c r="F26" t="s">
        <v>184</v>
      </c>
      <c r="G26" s="139">
        <v>37636.080870917576</v>
      </c>
      <c r="H26" s="147">
        <f t="shared" ref="H26" si="23">0.0083*G26^(0.9482)</f>
        <v>180.99483340322359</v>
      </c>
      <c r="I26" s="147">
        <f t="shared" si="1"/>
        <v>180.99483340322359</v>
      </c>
      <c r="J26" s="144">
        <v>814.00923849256708</v>
      </c>
      <c r="K26" s="144">
        <v>334.08949010085291</v>
      </c>
      <c r="L26" s="144">
        <v>203.9056035425441</v>
      </c>
      <c r="M26" s="140" t="b">
        <v>1</v>
      </c>
      <c r="N26" s="140">
        <v>1</v>
      </c>
      <c r="O26" s="302" t="s">
        <v>581</v>
      </c>
      <c r="P26" s="140" t="s">
        <v>166</v>
      </c>
      <c r="Q26" s="140" t="s">
        <v>166</v>
      </c>
      <c r="R26" s="140" t="s">
        <v>166</v>
      </c>
      <c r="S26" s="140" t="b">
        <v>1</v>
      </c>
      <c r="T26" s="140" t="b">
        <v>0</v>
      </c>
      <c r="U26" s="140" t="s">
        <v>166</v>
      </c>
      <c r="V26" s="140" t="b">
        <v>0</v>
      </c>
      <c r="W26" s="140" t="b">
        <v>0</v>
      </c>
      <c r="X26" s="140" t="s">
        <v>580</v>
      </c>
      <c r="Y26" s="148" t="s">
        <v>186</v>
      </c>
      <c r="Z26" t="s">
        <v>184</v>
      </c>
      <c r="AA26" s="149">
        <v>865</v>
      </c>
      <c r="AB26" s="149" t="s">
        <v>233</v>
      </c>
      <c r="AC26" s="149">
        <v>3</v>
      </c>
      <c r="AD26" s="149">
        <v>7</v>
      </c>
      <c r="AE26">
        <v>0</v>
      </c>
      <c r="AF26">
        <v>9</v>
      </c>
      <c r="AG26" s="150">
        <v>27</v>
      </c>
      <c r="AH26" t="s">
        <v>166</v>
      </c>
      <c r="AI26" t="s">
        <v>166</v>
      </c>
      <c r="AJ26" t="s">
        <v>253</v>
      </c>
      <c r="AK26">
        <v>18.440300000000001</v>
      </c>
      <c r="AL26">
        <v>-179.5558</v>
      </c>
      <c r="AM26" s="163">
        <v>11.820829391479492</v>
      </c>
      <c r="AN26" t="s">
        <v>166</v>
      </c>
      <c r="AO26">
        <v>-1530</v>
      </c>
      <c r="AP26">
        <v>-1400</v>
      </c>
      <c r="AQ26" t="s">
        <v>254</v>
      </c>
      <c r="AR26" t="s">
        <v>166</v>
      </c>
      <c r="AS26" s="150">
        <v>37.636080870917574</v>
      </c>
      <c r="AT26" t="s">
        <v>166</v>
      </c>
      <c r="AU26" t="s">
        <v>166</v>
      </c>
      <c r="AV26" t="s">
        <v>166</v>
      </c>
      <c r="AW26" t="s">
        <v>255</v>
      </c>
      <c r="AX26" t="s">
        <v>256</v>
      </c>
      <c r="AY26" t="s">
        <v>166</v>
      </c>
      <c r="AZ26" t="s">
        <v>166</v>
      </c>
      <c r="BA26" t="s">
        <v>166</v>
      </c>
      <c r="BB26" t="s">
        <v>166</v>
      </c>
      <c r="BC26" t="s">
        <v>166</v>
      </c>
      <c r="BD26" t="s">
        <v>166</v>
      </c>
      <c r="BE26" t="s">
        <v>166</v>
      </c>
      <c r="BF26" t="s">
        <v>166</v>
      </c>
      <c r="BG26" s="151" t="s">
        <v>257</v>
      </c>
      <c r="BH26" s="149" t="s">
        <v>263</v>
      </c>
      <c r="BI26" t="s">
        <v>166</v>
      </c>
      <c r="BJ26" s="152" t="s">
        <v>166</v>
      </c>
      <c r="BK26" t="s">
        <v>266</v>
      </c>
      <c r="BL26" t="s">
        <v>194</v>
      </c>
      <c r="BM26" t="s">
        <v>195</v>
      </c>
      <c r="BN26" t="s">
        <v>166</v>
      </c>
      <c r="BO26" t="s">
        <v>166</v>
      </c>
      <c r="BP26" t="s">
        <v>166</v>
      </c>
      <c r="BQ26" s="150">
        <v>15.180685146645871</v>
      </c>
      <c r="BR26" t="s">
        <v>196</v>
      </c>
      <c r="BS26" s="150">
        <v>0.5659322798177705</v>
      </c>
      <c r="BT26">
        <v>1</v>
      </c>
      <c r="BU26" t="s">
        <v>197</v>
      </c>
      <c r="BV26" t="s">
        <v>166</v>
      </c>
      <c r="BW26">
        <v>0</v>
      </c>
      <c r="BX26" t="s">
        <v>197</v>
      </c>
      <c r="BY26" t="s">
        <v>166</v>
      </c>
      <c r="BZ26" t="s">
        <v>198</v>
      </c>
      <c r="CA26" t="s">
        <v>166</v>
      </c>
      <c r="CB26" s="150">
        <v>15.180685146645871</v>
      </c>
      <c r="CC26" t="s">
        <v>196</v>
      </c>
      <c r="CD26" s="150">
        <v>0.5659322798177705</v>
      </c>
      <c r="CE26" t="s">
        <v>259</v>
      </c>
      <c r="CF26" t="s">
        <v>260</v>
      </c>
      <c r="CG26" t="s">
        <v>200</v>
      </c>
      <c r="CH26" t="s">
        <v>166</v>
      </c>
      <c r="CI26" t="s">
        <v>166</v>
      </c>
      <c r="CJ26" s="139">
        <v>33.028928619983446</v>
      </c>
      <c r="CK26" t="s">
        <v>201</v>
      </c>
      <c r="CL26">
        <v>2</v>
      </c>
      <c r="CM26">
        <v>2</v>
      </c>
      <c r="CN26" t="s">
        <v>166</v>
      </c>
      <c r="CO26" s="139">
        <v>3.5</v>
      </c>
      <c r="CP26" t="s">
        <v>166</v>
      </c>
      <c r="CQ26" t="s">
        <v>166</v>
      </c>
      <c r="CR26" t="s">
        <v>166</v>
      </c>
      <c r="CS26" s="153" t="s">
        <v>202</v>
      </c>
      <c r="CT26" t="s">
        <v>203</v>
      </c>
      <c r="CU26">
        <v>2.2000000000000002</v>
      </c>
      <c r="CV26" t="s">
        <v>204</v>
      </c>
      <c r="CW26" t="s">
        <v>166</v>
      </c>
      <c r="CX26" t="s">
        <v>166</v>
      </c>
      <c r="CY26" t="s">
        <v>166</v>
      </c>
      <c r="CZ26" t="s">
        <v>166</v>
      </c>
      <c r="DA26" s="154" t="s">
        <v>166</v>
      </c>
      <c r="DB26" t="s">
        <v>166</v>
      </c>
      <c r="DC26" t="s">
        <v>166</v>
      </c>
      <c r="DD26" t="s">
        <v>166</v>
      </c>
      <c r="DE26" t="s">
        <v>166</v>
      </c>
      <c r="DF26" t="s">
        <v>205</v>
      </c>
      <c r="DG26">
        <v>35</v>
      </c>
      <c r="DH26" t="s">
        <v>201</v>
      </c>
      <c r="DI26">
        <v>1</v>
      </c>
      <c r="DJ26" t="s">
        <v>206</v>
      </c>
      <c r="DK26">
        <v>17</v>
      </c>
      <c r="DL26" t="s">
        <v>166</v>
      </c>
      <c r="DM26" t="s">
        <v>166</v>
      </c>
      <c r="DN26" t="s">
        <v>207</v>
      </c>
      <c r="DO26">
        <v>38</v>
      </c>
      <c r="DP26" t="s">
        <v>208</v>
      </c>
      <c r="DQ26">
        <v>3</v>
      </c>
      <c r="DR26" t="s">
        <v>209</v>
      </c>
      <c r="DS26" t="s">
        <v>166</v>
      </c>
      <c r="DT26" t="s">
        <v>166</v>
      </c>
      <c r="DU26" t="s">
        <v>166</v>
      </c>
      <c r="DV26" t="s">
        <v>166</v>
      </c>
      <c r="DW26">
        <v>432.6</v>
      </c>
      <c r="DX26" t="s">
        <v>166</v>
      </c>
      <c r="DY26" t="s">
        <v>166</v>
      </c>
      <c r="DZ26" t="s">
        <v>210</v>
      </c>
      <c r="EA26" t="s">
        <v>211</v>
      </c>
      <c r="EB26" t="s">
        <v>212</v>
      </c>
      <c r="EC26" t="s">
        <v>166</v>
      </c>
      <c r="ED26" t="s">
        <v>213</v>
      </c>
      <c r="EE26" s="155" t="s">
        <v>214</v>
      </c>
      <c r="EF26" s="155" t="s">
        <v>214</v>
      </c>
      <c r="EG26">
        <v>1.0271999999999999</v>
      </c>
      <c r="EH26" t="s">
        <v>215</v>
      </c>
      <c r="EI26" t="s">
        <v>215</v>
      </c>
      <c r="EJ26" t="s">
        <v>216</v>
      </c>
      <c r="EK26" t="s">
        <v>215</v>
      </c>
      <c r="EL26" t="s">
        <v>215</v>
      </c>
      <c r="EM26" t="s">
        <v>217</v>
      </c>
      <c r="EN26" s="156" t="s">
        <v>214</v>
      </c>
      <c r="EO26" s="156" t="s">
        <v>214</v>
      </c>
      <c r="EP26" s="156" t="s">
        <v>214</v>
      </c>
      <c r="EQ26" s="156" t="s">
        <v>214</v>
      </c>
      <c r="ET26" t="s">
        <v>218</v>
      </c>
      <c r="EU26" t="s">
        <v>219</v>
      </c>
      <c r="EV26" t="s">
        <v>213</v>
      </c>
      <c r="EW26" t="s">
        <v>166</v>
      </c>
      <c r="EX26" t="s">
        <v>166</v>
      </c>
      <c r="EY26" t="s">
        <v>166</v>
      </c>
      <c r="EZ26" t="s">
        <v>166</v>
      </c>
      <c r="FA26" s="157">
        <v>6.5</v>
      </c>
      <c r="FB26" t="s">
        <v>220</v>
      </c>
      <c r="FC26" s="157">
        <v>1</v>
      </c>
      <c r="FD26" s="157">
        <v>1</v>
      </c>
      <c r="FE26" s="150">
        <v>7.7709551839516404</v>
      </c>
      <c r="FF26" t="s">
        <v>221</v>
      </c>
      <c r="FG26" s="150">
        <v>6.6919083981680672E-2</v>
      </c>
      <c r="FH26" s="150">
        <v>6.1929080771239597E-2</v>
      </c>
      <c r="FI26" s="144">
        <v>814.00923849256708</v>
      </c>
      <c r="FJ26" t="s">
        <v>166</v>
      </c>
      <c r="FK26" t="s">
        <v>166</v>
      </c>
      <c r="FL26" s="144">
        <f t="shared" si="2"/>
        <v>814.00923849256708</v>
      </c>
      <c r="FM26" s="144">
        <v>334.08949010085291</v>
      </c>
      <c r="FN26" s="144">
        <v>203.9056035425441</v>
      </c>
      <c r="FO26" t="s">
        <v>222</v>
      </c>
      <c r="FP26" t="s">
        <v>223</v>
      </c>
      <c r="FQ26" s="144" t="s">
        <v>166</v>
      </c>
      <c r="FR26" s="144" t="s">
        <v>166</v>
      </c>
      <c r="FS26" s="144" t="s">
        <v>166</v>
      </c>
      <c r="FT26" s="144" t="s">
        <v>166</v>
      </c>
      <c r="FU26" s="144" t="s">
        <v>166</v>
      </c>
      <c r="FV26" s="144" t="s">
        <v>166</v>
      </c>
      <c r="FW26" s="144" t="s">
        <v>166</v>
      </c>
      <c r="FX26" s="144" t="s">
        <v>166</v>
      </c>
      <c r="FY26" s="144" t="s">
        <v>166</v>
      </c>
      <c r="FZ26" s="144" t="s">
        <v>166</v>
      </c>
      <c r="GA26" s="144" t="s">
        <v>166</v>
      </c>
      <c r="GB26" s="144" t="s">
        <v>166</v>
      </c>
      <c r="GC26" s="158" t="s">
        <v>261</v>
      </c>
    </row>
    <row r="27" spans="1:194" ht="17">
      <c r="A27" s="140" t="s">
        <v>162</v>
      </c>
      <c r="B27" s="143" t="s">
        <v>163</v>
      </c>
      <c r="C27" s="140" t="s">
        <v>164</v>
      </c>
      <c r="D27" s="140" t="s">
        <v>165</v>
      </c>
      <c r="E27" s="140">
        <v>2020</v>
      </c>
      <c r="F27" t="s">
        <v>184</v>
      </c>
      <c r="G27" s="139">
        <v>38109.405639326527</v>
      </c>
      <c r="H27" s="147">
        <f t="shared" ref="H27" si="24">0.0083*G27^(0.9482)</f>
        <v>183.15247895393838</v>
      </c>
      <c r="I27" s="147">
        <f t="shared" si="1"/>
        <v>183.15247895393838</v>
      </c>
      <c r="J27" s="144">
        <v>898.79664636703501</v>
      </c>
      <c r="K27" s="144">
        <v>209.27541823071488</v>
      </c>
      <c r="L27" s="144">
        <v>160.36323966522696</v>
      </c>
      <c r="M27" s="140" t="b">
        <v>1</v>
      </c>
      <c r="N27" s="140">
        <v>1</v>
      </c>
      <c r="O27" s="302" t="s">
        <v>581</v>
      </c>
      <c r="P27" s="140" t="s">
        <v>166</v>
      </c>
      <c r="Q27" s="140" t="s">
        <v>166</v>
      </c>
      <c r="R27" s="140" t="s">
        <v>166</v>
      </c>
      <c r="S27" s="140" t="b">
        <v>1</v>
      </c>
      <c r="T27" s="140" t="b">
        <v>0</v>
      </c>
      <c r="U27" s="140" t="s">
        <v>166</v>
      </c>
      <c r="V27" s="140" t="b">
        <v>0</v>
      </c>
      <c r="W27" s="140" t="b">
        <v>0</v>
      </c>
      <c r="X27" s="140" t="s">
        <v>580</v>
      </c>
      <c r="Y27" s="148" t="s">
        <v>186</v>
      </c>
      <c r="Z27" t="s">
        <v>184</v>
      </c>
      <c r="AA27" s="149">
        <v>865</v>
      </c>
      <c r="AB27" s="149" t="s">
        <v>233</v>
      </c>
      <c r="AC27" s="149">
        <v>4</v>
      </c>
      <c r="AD27" s="149">
        <v>2</v>
      </c>
      <c r="AE27">
        <v>10</v>
      </c>
      <c r="AF27">
        <v>17</v>
      </c>
      <c r="AG27" s="150">
        <v>29.1</v>
      </c>
      <c r="AH27" t="s">
        <v>166</v>
      </c>
      <c r="AI27" t="s">
        <v>166</v>
      </c>
      <c r="AJ27" t="s">
        <v>253</v>
      </c>
      <c r="AK27">
        <v>18.440300000000001</v>
      </c>
      <c r="AL27">
        <v>-179.5558</v>
      </c>
      <c r="AM27" s="163">
        <v>11.717245101928711</v>
      </c>
      <c r="AN27" t="s">
        <v>166</v>
      </c>
      <c r="AO27">
        <v>-1530</v>
      </c>
      <c r="AP27">
        <v>-1400</v>
      </c>
      <c r="AQ27" t="s">
        <v>254</v>
      </c>
      <c r="AR27" t="s">
        <v>166</v>
      </c>
      <c r="AS27" s="150">
        <v>38.109405639326525</v>
      </c>
      <c r="AT27" t="s">
        <v>166</v>
      </c>
      <c r="AU27" t="s">
        <v>166</v>
      </c>
      <c r="AV27" t="s">
        <v>166</v>
      </c>
      <c r="AW27" t="s">
        <v>255</v>
      </c>
      <c r="AX27" t="s">
        <v>256</v>
      </c>
      <c r="AY27" t="s">
        <v>166</v>
      </c>
      <c r="AZ27" t="s">
        <v>166</v>
      </c>
      <c r="BA27" t="s">
        <v>166</v>
      </c>
      <c r="BB27" t="s">
        <v>166</v>
      </c>
      <c r="BC27" t="s">
        <v>166</v>
      </c>
      <c r="BD27" t="s">
        <v>166</v>
      </c>
      <c r="BE27" t="s">
        <v>166</v>
      </c>
      <c r="BF27" t="s">
        <v>166</v>
      </c>
      <c r="BG27" s="151" t="s">
        <v>267</v>
      </c>
      <c r="BH27" s="149" t="s">
        <v>192</v>
      </c>
      <c r="BI27" t="s">
        <v>166</v>
      </c>
      <c r="BJ27" s="152" t="s">
        <v>166</v>
      </c>
      <c r="BK27" t="s">
        <v>268</v>
      </c>
      <c r="BL27" t="s">
        <v>194</v>
      </c>
      <c r="BM27" t="s">
        <v>195</v>
      </c>
      <c r="BN27" t="s">
        <v>166</v>
      </c>
      <c r="BO27" t="s">
        <v>166</v>
      </c>
      <c r="BP27" t="s">
        <v>166</v>
      </c>
      <c r="BQ27" s="150">
        <v>15.139701232224079</v>
      </c>
      <c r="BR27" t="s">
        <v>196</v>
      </c>
      <c r="BS27" s="150">
        <v>0.29520585698974949</v>
      </c>
      <c r="BT27">
        <v>1</v>
      </c>
      <c r="BU27" t="s">
        <v>197</v>
      </c>
      <c r="BV27" t="s">
        <v>166</v>
      </c>
      <c r="BW27">
        <v>0</v>
      </c>
      <c r="BX27" t="s">
        <v>197</v>
      </c>
      <c r="BY27" t="s">
        <v>166</v>
      </c>
      <c r="BZ27" t="s">
        <v>198</v>
      </c>
      <c r="CA27" t="s">
        <v>166</v>
      </c>
      <c r="CB27" s="150">
        <v>15.139701232224079</v>
      </c>
      <c r="CC27" t="s">
        <v>196</v>
      </c>
      <c r="CD27" s="150">
        <v>0.29520585698974949</v>
      </c>
      <c r="CE27" t="s">
        <v>199</v>
      </c>
      <c r="CF27" t="s">
        <v>166</v>
      </c>
      <c r="CG27" t="s">
        <v>200</v>
      </c>
      <c r="CH27" t="s">
        <v>166</v>
      </c>
      <c r="CI27" t="s">
        <v>166</v>
      </c>
      <c r="CJ27" s="139">
        <v>35.836110601654262</v>
      </c>
      <c r="CK27" t="s">
        <v>201</v>
      </c>
      <c r="CL27">
        <v>2</v>
      </c>
      <c r="CM27">
        <v>2</v>
      </c>
      <c r="CN27" t="s">
        <v>166</v>
      </c>
      <c r="CO27" s="139">
        <v>4.0999999999999996</v>
      </c>
      <c r="CP27" t="s">
        <v>166</v>
      </c>
      <c r="CQ27" t="s">
        <v>166</v>
      </c>
      <c r="CR27" t="s">
        <v>166</v>
      </c>
      <c r="CS27" s="153" t="s">
        <v>202</v>
      </c>
      <c r="CT27" t="s">
        <v>203</v>
      </c>
      <c r="CU27">
        <v>2.2000000000000002</v>
      </c>
      <c r="CV27" t="s">
        <v>204</v>
      </c>
      <c r="CW27" t="s">
        <v>166</v>
      </c>
      <c r="CX27" t="s">
        <v>166</v>
      </c>
      <c r="CY27" t="s">
        <v>166</v>
      </c>
      <c r="CZ27" t="s">
        <v>166</v>
      </c>
      <c r="DA27" s="154" t="s">
        <v>166</v>
      </c>
      <c r="DB27" t="s">
        <v>166</v>
      </c>
      <c r="DC27" t="s">
        <v>166</v>
      </c>
      <c r="DD27" t="s">
        <v>166</v>
      </c>
      <c r="DE27" t="s">
        <v>166</v>
      </c>
      <c r="DF27" t="s">
        <v>205</v>
      </c>
      <c r="DG27">
        <v>35</v>
      </c>
      <c r="DH27" t="s">
        <v>201</v>
      </c>
      <c r="DI27">
        <v>1</v>
      </c>
      <c r="DJ27" t="s">
        <v>206</v>
      </c>
      <c r="DK27">
        <v>17</v>
      </c>
      <c r="DL27" t="s">
        <v>166</v>
      </c>
      <c r="DM27" t="s">
        <v>166</v>
      </c>
      <c r="DN27" t="s">
        <v>207</v>
      </c>
      <c r="DO27">
        <v>38</v>
      </c>
      <c r="DP27" t="s">
        <v>208</v>
      </c>
      <c r="DQ27">
        <v>3</v>
      </c>
      <c r="DR27" t="s">
        <v>209</v>
      </c>
      <c r="DS27" t="s">
        <v>166</v>
      </c>
      <c r="DT27" t="s">
        <v>166</v>
      </c>
      <c r="DU27" t="s">
        <v>166</v>
      </c>
      <c r="DV27" t="s">
        <v>166</v>
      </c>
      <c r="DW27">
        <v>432.6</v>
      </c>
      <c r="DX27" t="s">
        <v>166</v>
      </c>
      <c r="DY27" t="s">
        <v>166</v>
      </c>
      <c r="DZ27" t="s">
        <v>210</v>
      </c>
      <c r="EA27" t="s">
        <v>211</v>
      </c>
      <c r="EB27" t="s">
        <v>212</v>
      </c>
      <c r="EC27" t="s">
        <v>166</v>
      </c>
      <c r="ED27" t="s">
        <v>213</v>
      </c>
      <c r="EE27" s="155" t="s">
        <v>214</v>
      </c>
      <c r="EF27" s="155" t="s">
        <v>214</v>
      </c>
      <c r="EG27">
        <v>1.0271999999999999</v>
      </c>
      <c r="EH27" t="s">
        <v>215</v>
      </c>
      <c r="EI27" t="s">
        <v>215</v>
      </c>
      <c r="EJ27" t="s">
        <v>216</v>
      </c>
      <c r="EK27" t="s">
        <v>215</v>
      </c>
      <c r="EL27" t="s">
        <v>215</v>
      </c>
      <c r="EM27" t="s">
        <v>217</v>
      </c>
      <c r="EN27" s="156" t="s">
        <v>214</v>
      </c>
      <c r="EO27" s="156" t="s">
        <v>214</v>
      </c>
      <c r="EP27" s="156" t="s">
        <v>214</v>
      </c>
      <c r="EQ27" s="156" t="s">
        <v>214</v>
      </c>
      <c r="ET27" t="s">
        <v>218</v>
      </c>
      <c r="EU27" t="s">
        <v>219</v>
      </c>
      <c r="EV27" t="s">
        <v>213</v>
      </c>
      <c r="EW27" t="s">
        <v>166</v>
      </c>
      <c r="EX27" t="s">
        <v>166</v>
      </c>
      <c r="EY27" t="s">
        <v>166</v>
      </c>
      <c r="EZ27" t="s">
        <v>166</v>
      </c>
      <c r="FA27" s="157">
        <v>6.5</v>
      </c>
      <c r="FB27" t="s">
        <v>220</v>
      </c>
      <c r="FC27" s="157">
        <v>1</v>
      </c>
      <c r="FD27" s="157">
        <v>1</v>
      </c>
      <c r="FE27" s="150">
        <v>7.73050826045964</v>
      </c>
      <c r="FF27" t="s">
        <v>221</v>
      </c>
      <c r="FG27" s="150">
        <v>3.9786026012009756E-2</v>
      </c>
      <c r="FH27" s="150">
        <v>3.6733656587600194E-2</v>
      </c>
      <c r="FI27" s="144">
        <v>898.79664636703501</v>
      </c>
      <c r="FJ27" t="s">
        <v>166</v>
      </c>
      <c r="FK27" t="s">
        <v>166</v>
      </c>
      <c r="FL27" s="144">
        <f t="shared" si="2"/>
        <v>898.79664636703501</v>
      </c>
      <c r="FM27" s="144">
        <v>209.27541823071488</v>
      </c>
      <c r="FN27" s="144">
        <v>160.36323966522696</v>
      </c>
      <c r="FO27" t="s">
        <v>222</v>
      </c>
      <c r="FP27" t="s">
        <v>223</v>
      </c>
      <c r="FQ27" s="144" t="s">
        <v>166</v>
      </c>
      <c r="FR27" s="144" t="s">
        <v>166</v>
      </c>
      <c r="FS27" s="144" t="s">
        <v>166</v>
      </c>
      <c r="FT27" s="144" t="s">
        <v>166</v>
      </c>
      <c r="FU27" s="144" t="s">
        <v>166</v>
      </c>
      <c r="FV27" s="144" t="s">
        <v>166</v>
      </c>
      <c r="FW27" s="144" t="s">
        <v>166</v>
      </c>
      <c r="FX27" s="144" t="s">
        <v>166</v>
      </c>
      <c r="FY27" s="144" t="s">
        <v>166</v>
      </c>
      <c r="FZ27" s="144" t="s">
        <v>166</v>
      </c>
      <c r="GA27" s="144" t="s">
        <v>166</v>
      </c>
      <c r="GB27" s="144" t="s">
        <v>166</v>
      </c>
      <c r="GC27" s="158" t="s">
        <v>224</v>
      </c>
    </row>
    <row r="28" spans="1:194" ht="17">
      <c r="A28" s="140" t="s">
        <v>162</v>
      </c>
      <c r="B28" s="143" t="s">
        <v>163</v>
      </c>
      <c r="C28" s="140" t="s">
        <v>164</v>
      </c>
      <c r="D28" s="140" t="s">
        <v>165</v>
      </c>
      <c r="E28" s="140">
        <v>2020</v>
      </c>
      <c r="F28" t="s">
        <v>184</v>
      </c>
      <c r="G28" s="139">
        <v>38781.076024973518</v>
      </c>
      <c r="H28" s="147">
        <f t="shared" ref="H28" si="25">0.0083*G28^(0.9482)</f>
        <v>186.21190316195211</v>
      </c>
      <c r="I28" s="147">
        <f t="shared" si="1"/>
        <v>186.21190316195211</v>
      </c>
      <c r="J28" s="144">
        <v>893.23335022550896</v>
      </c>
      <c r="K28" s="144">
        <v>156.40132994540113</v>
      </c>
      <c r="L28" s="144">
        <v>157.318079388461</v>
      </c>
      <c r="M28" s="140" t="b">
        <v>1</v>
      </c>
      <c r="N28" s="140">
        <v>1</v>
      </c>
      <c r="O28" s="302" t="s">
        <v>581</v>
      </c>
      <c r="P28" s="140" t="s">
        <v>166</v>
      </c>
      <c r="Q28" s="140" t="s">
        <v>166</v>
      </c>
      <c r="R28" s="140" t="s">
        <v>166</v>
      </c>
      <c r="S28" s="140" t="b">
        <v>1</v>
      </c>
      <c r="T28" s="140" t="b">
        <v>0</v>
      </c>
      <c r="U28" s="140" t="s">
        <v>166</v>
      </c>
      <c r="V28" s="140" t="b">
        <v>0</v>
      </c>
      <c r="W28" s="140" t="b">
        <v>0</v>
      </c>
      <c r="X28" s="140" t="s">
        <v>580</v>
      </c>
      <c r="Y28" s="148" t="s">
        <v>186</v>
      </c>
      <c r="Z28" t="s">
        <v>184</v>
      </c>
      <c r="AA28" s="149">
        <v>865</v>
      </c>
      <c r="AB28" s="149" t="s">
        <v>233</v>
      </c>
      <c r="AC28" s="149">
        <v>4</v>
      </c>
      <c r="AD28" s="149">
        <v>4</v>
      </c>
      <c r="AE28">
        <v>8</v>
      </c>
      <c r="AF28">
        <v>15</v>
      </c>
      <c r="AG28" s="150">
        <v>32.08</v>
      </c>
      <c r="AH28" t="s">
        <v>166</v>
      </c>
      <c r="AI28" t="s">
        <v>166</v>
      </c>
      <c r="AJ28" t="s">
        <v>253</v>
      </c>
      <c r="AK28">
        <v>18.440300000000001</v>
      </c>
      <c r="AL28">
        <v>-179.5558</v>
      </c>
      <c r="AM28" s="163">
        <v>11.570254325866699</v>
      </c>
      <c r="AN28" t="s">
        <v>166</v>
      </c>
      <c r="AO28">
        <v>-1530</v>
      </c>
      <c r="AP28">
        <v>-1400</v>
      </c>
      <c r="AQ28" t="s">
        <v>254</v>
      </c>
      <c r="AR28" t="s">
        <v>166</v>
      </c>
      <c r="AS28" s="150">
        <v>38.781076024973515</v>
      </c>
      <c r="AT28" t="s">
        <v>166</v>
      </c>
      <c r="AU28" t="s">
        <v>166</v>
      </c>
      <c r="AV28" t="s">
        <v>166</v>
      </c>
      <c r="AW28" t="s">
        <v>255</v>
      </c>
      <c r="AX28" t="s">
        <v>256</v>
      </c>
      <c r="AY28" t="s">
        <v>166</v>
      </c>
      <c r="AZ28" t="s">
        <v>166</v>
      </c>
      <c r="BA28" t="s">
        <v>166</v>
      </c>
      <c r="BB28" t="s">
        <v>166</v>
      </c>
      <c r="BC28" t="s">
        <v>166</v>
      </c>
      <c r="BD28" t="s">
        <v>166</v>
      </c>
      <c r="BE28" t="s">
        <v>166</v>
      </c>
      <c r="BF28" t="s">
        <v>166</v>
      </c>
      <c r="BG28" s="151" t="s">
        <v>267</v>
      </c>
      <c r="BH28" s="149" t="s">
        <v>192</v>
      </c>
      <c r="BI28" t="s">
        <v>166</v>
      </c>
      <c r="BJ28" s="152" t="s">
        <v>166</v>
      </c>
      <c r="BK28" t="s">
        <v>269</v>
      </c>
      <c r="BL28" t="s">
        <v>194</v>
      </c>
      <c r="BM28" t="s">
        <v>195</v>
      </c>
      <c r="BN28" t="s">
        <v>166</v>
      </c>
      <c r="BO28" t="s">
        <v>166</v>
      </c>
      <c r="BP28" t="s">
        <v>166</v>
      </c>
      <c r="BQ28" s="150">
        <v>15.160373951082828</v>
      </c>
      <c r="BR28" t="s">
        <v>196</v>
      </c>
      <c r="BS28" s="150">
        <v>0.19045774304333907</v>
      </c>
      <c r="BT28">
        <v>1</v>
      </c>
      <c r="BU28" t="s">
        <v>197</v>
      </c>
      <c r="BV28" t="s">
        <v>166</v>
      </c>
      <c r="BW28">
        <v>0</v>
      </c>
      <c r="BX28" t="s">
        <v>197</v>
      </c>
      <c r="BY28" t="s">
        <v>166</v>
      </c>
      <c r="BZ28" t="s">
        <v>198</v>
      </c>
      <c r="CA28" t="s">
        <v>166</v>
      </c>
      <c r="CB28" s="150">
        <v>15.160373951082828</v>
      </c>
      <c r="CC28" t="s">
        <v>196</v>
      </c>
      <c r="CD28" s="150">
        <v>0.19045774304333907</v>
      </c>
      <c r="CE28" t="s">
        <v>199</v>
      </c>
      <c r="CF28" t="s">
        <v>166</v>
      </c>
      <c r="CG28" t="s">
        <v>200</v>
      </c>
      <c r="CH28" t="s">
        <v>166</v>
      </c>
      <c r="CI28" t="s">
        <v>166</v>
      </c>
      <c r="CJ28" s="139">
        <v>35.965456163762688</v>
      </c>
      <c r="CK28" t="s">
        <v>201</v>
      </c>
      <c r="CL28">
        <v>2</v>
      </c>
      <c r="CM28">
        <v>2</v>
      </c>
      <c r="CN28" t="s">
        <v>166</v>
      </c>
      <c r="CO28" s="139">
        <v>4.13</v>
      </c>
      <c r="CP28" t="s">
        <v>166</v>
      </c>
      <c r="CQ28" t="s">
        <v>166</v>
      </c>
      <c r="CR28" t="s">
        <v>166</v>
      </c>
      <c r="CS28" s="153" t="s">
        <v>202</v>
      </c>
      <c r="CT28" t="s">
        <v>203</v>
      </c>
      <c r="CU28">
        <v>2.2000000000000002</v>
      </c>
      <c r="CV28" t="s">
        <v>204</v>
      </c>
      <c r="CW28" t="s">
        <v>166</v>
      </c>
      <c r="CX28" t="s">
        <v>166</v>
      </c>
      <c r="CY28" t="s">
        <v>166</v>
      </c>
      <c r="CZ28" t="s">
        <v>166</v>
      </c>
      <c r="DA28" s="154" t="s">
        <v>166</v>
      </c>
      <c r="DB28" t="s">
        <v>166</v>
      </c>
      <c r="DC28" t="s">
        <v>166</v>
      </c>
      <c r="DD28" t="s">
        <v>166</v>
      </c>
      <c r="DE28" t="s">
        <v>166</v>
      </c>
      <c r="DF28" t="s">
        <v>205</v>
      </c>
      <c r="DG28">
        <v>35</v>
      </c>
      <c r="DH28" t="s">
        <v>201</v>
      </c>
      <c r="DI28">
        <v>1</v>
      </c>
      <c r="DJ28" t="s">
        <v>206</v>
      </c>
      <c r="DK28">
        <v>17</v>
      </c>
      <c r="DL28" t="s">
        <v>166</v>
      </c>
      <c r="DM28" t="s">
        <v>166</v>
      </c>
      <c r="DN28" t="s">
        <v>207</v>
      </c>
      <c r="DO28">
        <v>38</v>
      </c>
      <c r="DP28" t="s">
        <v>208</v>
      </c>
      <c r="DQ28">
        <v>3</v>
      </c>
      <c r="DR28" t="s">
        <v>209</v>
      </c>
      <c r="DS28" t="s">
        <v>166</v>
      </c>
      <c r="DT28" t="s">
        <v>166</v>
      </c>
      <c r="DU28" t="s">
        <v>166</v>
      </c>
      <c r="DV28" t="s">
        <v>166</v>
      </c>
      <c r="DW28">
        <v>432.6</v>
      </c>
      <c r="DX28" t="s">
        <v>166</v>
      </c>
      <c r="DY28" t="s">
        <v>166</v>
      </c>
      <c r="DZ28" t="s">
        <v>210</v>
      </c>
      <c r="EA28" t="s">
        <v>211</v>
      </c>
      <c r="EB28" t="s">
        <v>212</v>
      </c>
      <c r="EC28" t="s">
        <v>166</v>
      </c>
      <c r="ED28" t="s">
        <v>213</v>
      </c>
      <c r="EE28" s="155" t="s">
        <v>214</v>
      </c>
      <c r="EF28" s="155" t="s">
        <v>214</v>
      </c>
      <c r="EG28">
        <v>1.0271999999999999</v>
      </c>
      <c r="EH28" t="s">
        <v>215</v>
      </c>
      <c r="EI28" t="s">
        <v>215</v>
      </c>
      <c r="EJ28" t="s">
        <v>216</v>
      </c>
      <c r="EK28" t="s">
        <v>215</v>
      </c>
      <c r="EL28" t="s">
        <v>215</v>
      </c>
      <c r="EM28" t="s">
        <v>217</v>
      </c>
      <c r="EN28" s="156" t="s">
        <v>214</v>
      </c>
      <c r="EO28" s="156" t="s">
        <v>214</v>
      </c>
      <c r="EP28" s="156" t="s">
        <v>214</v>
      </c>
      <c r="EQ28" s="156" t="s">
        <v>214</v>
      </c>
      <c r="ET28" t="s">
        <v>218</v>
      </c>
      <c r="EU28" t="s">
        <v>219</v>
      </c>
      <c r="EV28" t="s">
        <v>213</v>
      </c>
      <c r="EW28" t="s">
        <v>166</v>
      </c>
      <c r="EX28" t="s">
        <v>166</v>
      </c>
      <c r="EY28" t="s">
        <v>166</v>
      </c>
      <c r="EZ28" t="s">
        <v>166</v>
      </c>
      <c r="FA28" s="157">
        <v>6.5</v>
      </c>
      <c r="FB28" t="s">
        <v>220</v>
      </c>
      <c r="FC28" s="157">
        <v>1</v>
      </c>
      <c r="FD28" s="157">
        <v>1</v>
      </c>
      <c r="FE28" s="150">
        <v>7.7326118434092699</v>
      </c>
      <c r="FF28" t="s">
        <v>221</v>
      </c>
      <c r="FG28" s="150">
        <v>2.9655889059330143E-2</v>
      </c>
      <c r="FH28" s="150">
        <v>3.2412088891190294E-2</v>
      </c>
      <c r="FI28" s="144">
        <v>893.23335022550896</v>
      </c>
      <c r="FJ28" t="s">
        <v>166</v>
      </c>
      <c r="FK28" t="s">
        <v>166</v>
      </c>
      <c r="FL28" s="144">
        <f t="shared" si="2"/>
        <v>893.23335022550896</v>
      </c>
      <c r="FM28" s="144">
        <v>156.40132994540113</v>
      </c>
      <c r="FN28" s="144">
        <v>157.318079388461</v>
      </c>
      <c r="FO28" t="s">
        <v>222</v>
      </c>
      <c r="FP28" t="s">
        <v>223</v>
      </c>
      <c r="FQ28" s="144" t="s">
        <v>166</v>
      </c>
      <c r="FR28" s="144" t="s">
        <v>166</v>
      </c>
      <c r="FS28" s="144" t="s">
        <v>166</v>
      </c>
      <c r="FT28" s="144" t="s">
        <v>166</v>
      </c>
      <c r="FU28" s="144" t="s">
        <v>166</v>
      </c>
      <c r="FV28" s="144" t="s">
        <v>166</v>
      </c>
      <c r="FW28" s="144" t="s">
        <v>166</v>
      </c>
      <c r="FX28" s="144" t="s">
        <v>166</v>
      </c>
      <c r="FY28" s="144" t="s">
        <v>166</v>
      </c>
      <c r="FZ28" s="144" t="s">
        <v>166</v>
      </c>
      <c r="GA28" s="144" t="s">
        <v>166</v>
      </c>
      <c r="GB28" s="144" t="s">
        <v>166</v>
      </c>
      <c r="GC28" s="158" t="s">
        <v>224</v>
      </c>
    </row>
    <row r="29" spans="1:194" ht="17">
      <c r="A29" s="140" t="s">
        <v>162</v>
      </c>
      <c r="B29" s="143" t="s">
        <v>163</v>
      </c>
      <c r="C29" s="140" t="s">
        <v>164</v>
      </c>
      <c r="D29" s="140" t="s">
        <v>165</v>
      </c>
      <c r="E29" s="140">
        <v>2020</v>
      </c>
      <c r="F29" t="s">
        <v>184</v>
      </c>
      <c r="G29" s="139">
        <v>38781.076024973518</v>
      </c>
      <c r="H29" s="147">
        <f t="shared" ref="H29" si="26">0.0083*G29^(0.9482)</f>
        <v>186.21190316195211</v>
      </c>
      <c r="I29" s="147">
        <f t="shared" si="1"/>
        <v>186.21190316195211</v>
      </c>
      <c r="J29" s="144">
        <v>887.00646628929007</v>
      </c>
      <c r="K29" s="144">
        <v>169.96647183979985</v>
      </c>
      <c r="L29" s="144">
        <v>153.24664725448815</v>
      </c>
      <c r="M29" s="140" t="b">
        <v>1</v>
      </c>
      <c r="N29" s="140">
        <v>1</v>
      </c>
      <c r="O29" s="302" t="s">
        <v>581</v>
      </c>
      <c r="P29" s="140" t="s">
        <v>166</v>
      </c>
      <c r="Q29" s="140" t="s">
        <v>166</v>
      </c>
      <c r="R29" s="140" t="s">
        <v>166</v>
      </c>
      <c r="S29" s="140" t="b">
        <v>1</v>
      </c>
      <c r="T29" s="140" t="b">
        <v>0</v>
      </c>
      <c r="U29" s="140" t="s">
        <v>166</v>
      </c>
      <c r="V29" s="140" t="b">
        <v>0</v>
      </c>
      <c r="W29" s="140" t="b">
        <v>0</v>
      </c>
      <c r="X29" s="140" t="s">
        <v>580</v>
      </c>
      <c r="Y29" s="148" t="s">
        <v>186</v>
      </c>
      <c r="Z29" t="s">
        <v>184</v>
      </c>
      <c r="AA29" s="149">
        <v>865</v>
      </c>
      <c r="AB29" s="149" t="s">
        <v>233</v>
      </c>
      <c r="AC29" s="149">
        <v>4</v>
      </c>
      <c r="AD29" s="149">
        <v>4</v>
      </c>
      <c r="AE29">
        <v>8</v>
      </c>
      <c r="AF29">
        <v>15</v>
      </c>
      <c r="AG29" s="150">
        <v>32.08</v>
      </c>
      <c r="AH29" t="s">
        <v>166</v>
      </c>
      <c r="AI29" t="s">
        <v>166</v>
      </c>
      <c r="AJ29" t="s">
        <v>253</v>
      </c>
      <c r="AK29">
        <v>18.440300000000001</v>
      </c>
      <c r="AL29">
        <v>-179.5558</v>
      </c>
      <c r="AM29" s="163">
        <v>11.570254325866699</v>
      </c>
      <c r="AN29" t="s">
        <v>166</v>
      </c>
      <c r="AO29">
        <v>-1530</v>
      </c>
      <c r="AP29">
        <v>-1400</v>
      </c>
      <c r="AQ29" t="s">
        <v>254</v>
      </c>
      <c r="AR29" t="s">
        <v>166</v>
      </c>
      <c r="AS29" s="150">
        <v>38.781076024973515</v>
      </c>
      <c r="AT29" t="s">
        <v>166</v>
      </c>
      <c r="AU29" t="s">
        <v>166</v>
      </c>
      <c r="AV29" t="s">
        <v>166</v>
      </c>
      <c r="AW29" t="s">
        <v>255</v>
      </c>
      <c r="AX29" t="s">
        <v>256</v>
      </c>
      <c r="AY29" t="s">
        <v>166</v>
      </c>
      <c r="AZ29" t="s">
        <v>166</v>
      </c>
      <c r="BA29" t="s">
        <v>166</v>
      </c>
      <c r="BB29" t="s">
        <v>166</v>
      </c>
      <c r="BC29" t="s">
        <v>166</v>
      </c>
      <c r="BD29" t="s">
        <v>166</v>
      </c>
      <c r="BE29" t="s">
        <v>166</v>
      </c>
      <c r="BF29" t="s">
        <v>166</v>
      </c>
      <c r="BG29" s="151" t="s">
        <v>229</v>
      </c>
      <c r="BH29" s="149" t="s">
        <v>192</v>
      </c>
      <c r="BI29" t="s">
        <v>166</v>
      </c>
      <c r="BJ29" s="152" t="s">
        <v>166</v>
      </c>
      <c r="BK29" t="s">
        <v>270</v>
      </c>
      <c r="BL29" t="s">
        <v>194</v>
      </c>
      <c r="BM29" t="s">
        <v>195</v>
      </c>
      <c r="BN29" t="s">
        <v>166</v>
      </c>
      <c r="BO29" t="s">
        <v>166</v>
      </c>
      <c r="BP29" t="s">
        <v>166</v>
      </c>
      <c r="BQ29" s="150">
        <v>15.177396891684847</v>
      </c>
      <c r="BR29" t="s">
        <v>196</v>
      </c>
      <c r="BS29" s="150">
        <v>0.21314736214490443</v>
      </c>
      <c r="BT29">
        <v>1</v>
      </c>
      <c r="BU29" t="s">
        <v>197</v>
      </c>
      <c r="BV29" t="s">
        <v>166</v>
      </c>
      <c r="BW29">
        <v>0</v>
      </c>
      <c r="BX29" t="s">
        <v>197</v>
      </c>
      <c r="BY29" t="s">
        <v>166</v>
      </c>
      <c r="BZ29" t="s">
        <v>198</v>
      </c>
      <c r="CA29" t="s">
        <v>166</v>
      </c>
      <c r="CB29" s="150">
        <v>15.177396891684847</v>
      </c>
      <c r="CC29" t="s">
        <v>196</v>
      </c>
      <c r="CD29" s="150">
        <v>0.21314736214490443</v>
      </c>
      <c r="CE29" t="s">
        <v>199</v>
      </c>
      <c r="CF29" t="s">
        <v>166</v>
      </c>
      <c r="CG29" t="s">
        <v>200</v>
      </c>
      <c r="CH29" t="s">
        <v>166</v>
      </c>
      <c r="CI29" t="s">
        <v>166</v>
      </c>
      <c r="CJ29" s="139">
        <v>35.981167751806538</v>
      </c>
      <c r="CK29" t="s">
        <v>201</v>
      </c>
      <c r="CL29">
        <v>2</v>
      </c>
      <c r="CM29">
        <v>2</v>
      </c>
      <c r="CN29" t="s">
        <v>166</v>
      </c>
      <c r="CO29" s="139">
        <v>4.1336590155416362</v>
      </c>
      <c r="CP29" t="s">
        <v>166</v>
      </c>
      <c r="CQ29" t="s">
        <v>166</v>
      </c>
      <c r="CR29" t="s">
        <v>166</v>
      </c>
      <c r="CS29" s="153" t="s">
        <v>202</v>
      </c>
      <c r="CT29" t="s">
        <v>203</v>
      </c>
      <c r="CU29">
        <v>2.2000000000000002</v>
      </c>
      <c r="CV29" t="s">
        <v>204</v>
      </c>
      <c r="CW29" t="s">
        <v>166</v>
      </c>
      <c r="CX29" t="s">
        <v>166</v>
      </c>
      <c r="CY29" t="s">
        <v>166</v>
      </c>
      <c r="CZ29" t="s">
        <v>166</v>
      </c>
      <c r="DA29" s="154" t="s">
        <v>166</v>
      </c>
      <c r="DB29" t="s">
        <v>166</v>
      </c>
      <c r="DC29" t="s">
        <v>166</v>
      </c>
      <c r="DD29" t="s">
        <v>166</v>
      </c>
      <c r="DE29" t="s">
        <v>166</v>
      </c>
      <c r="DF29" t="s">
        <v>205</v>
      </c>
      <c r="DG29">
        <v>35</v>
      </c>
      <c r="DH29" t="s">
        <v>201</v>
      </c>
      <c r="DI29">
        <v>1</v>
      </c>
      <c r="DJ29" t="s">
        <v>206</v>
      </c>
      <c r="DK29">
        <v>17</v>
      </c>
      <c r="DL29" t="s">
        <v>166</v>
      </c>
      <c r="DM29" t="s">
        <v>166</v>
      </c>
      <c r="DN29" t="s">
        <v>207</v>
      </c>
      <c r="DO29">
        <v>38</v>
      </c>
      <c r="DP29" t="s">
        <v>208</v>
      </c>
      <c r="DQ29">
        <v>3</v>
      </c>
      <c r="DR29" t="s">
        <v>209</v>
      </c>
      <c r="DS29" t="s">
        <v>166</v>
      </c>
      <c r="DT29" t="s">
        <v>166</v>
      </c>
      <c r="DU29" t="s">
        <v>166</v>
      </c>
      <c r="DV29" t="s">
        <v>166</v>
      </c>
      <c r="DW29">
        <v>432.6</v>
      </c>
      <c r="DX29" t="s">
        <v>166</v>
      </c>
      <c r="DY29" t="s">
        <v>166</v>
      </c>
      <c r="DZ29" t="s">
        <v>210</v>
      </c>
      <c r="EA29" t="s">
        <v>211</v>
      </c>
      <c r="EB29" t="s">
        <v>212</v>
      </c>
      <c r="EC29" t="s">
        <v>166</v>
      </c>
      <c r="ED29" t="s">
        <v>213</v>
      </c>
      <c r="EE29" s="155" t="s">
        <v>214</v>
      </c>
      <c r="EF29" s="155" t="s">
        <v>214</v>
      </c>
      <c r="EG29">
        <v>1.0271999999999999</v>
      </c>
      <c r="EH29" t="s">
        <v>215</v>
      </c>
      <c r="EI29" t="s">
        <v>215</v>
      </c>
      <c r="EJ29" t="s">
        <v>216</v>
      </c>
      <c r="EK29" t="s">
        <v>215</v>
      </c>
      <c r="EL29" t="s">
        <v>215</v>
      </c>
      <c r="EM29" t="s">
        <v>217</v>
      </c>
      <c r="EN29" s="156" t="s">
        <v>214</v>
      </c>
      <c r="EO29" s="156" t="s">
        <v>214</v>
      </c>
      <c r="EP29" s="156" t="s">
        <v>214</v>
      </c>
      <c r="EQ29" s="156" t="s">
        <v>214</v>
      </c>
      <c r="ET29" t="s">
        <v>218</v>
      </c>
      <c r="EU29" t="s">
        <v>219</v>
      </c>
      <c r="EV29" t="s">
        <v>213</v>
      </c>
      <c r="EW29" t="s">
        <v>166</v>
      </c>
      <c r="EX29" t="s">
        <v>166</v>
      </c>
      <c r="EY29" t="s">
        <v>166</v>
      </c>
      <c r="EZ29" t="s">
        <v>166</v>
      </c>
      <c r="FA29" s="157">
        <v>6.5</v>
      </c>
      <c r="FB29" t="s">
        <v>220</v>
      </c>
      <c r="FC29" s="157">
        <v>1</v>
      </c>
      <c r="FD29" s="157">
        <v>1</v>
      </c>
      <c r="FE29" s="150">
        <v>7.7325537096473198</v>
      </c>
      <c r="FF29" t="s">
        <v>221</v>
      </c>
      <c r="FG29" s="150">
        <v>3.3173830729679388E-2</v>
      </c>
      <c r="FH29" s="150">
        <v>3.1995403787839827E-2</v>
      </c>
      <c r="FI29" s="144">
        <v>887.00646628929007</v>
      </c>
      <c r="FJ29" t="s">
        <v>166</v>
      </c>
      <c r="FK29" t="s">
        <v>166</v>
      </c>
      <c r="FL29" s="144">
        <f t="shared" si="2"/>
        <v>887.00646628929007</v>
      </c>
      <c r="FM29" s="144">
        <v>169.96647183979985</v>
      </c>
      <c r="FN29" s="144">
        <v>153.24664725448815</v>
      </c>
      <c r="FO29" t="s">
        <v>222</v>
      </c>
      <c r="FP29" t="s">
        <v>223</v>
      </c>
      <c r="FQ29" s="144" t="s">
        <v>166</v>
      </c>
      <c r="FR29" s="144" t="s">
        <v>166</v>
      </c>
      <c r="FS29" s="144" t="s">
        <v>166</v>
      </c>
      <c r="FT29" s="144" t="s">
        <v>166</v>
      </c>
      <c r="FU29" s="144" t="s">
        <v>166</v>
      </c>
      <c r="FV29" s="144" t="s">
        <v>166</v>
      </c>
      <c r="FW29" s="144" t="s">
        <v>166</v>
      </c>
      <c r="FX29" s="144" t="s">
        <v>166</v>
      </c>
      <c r="FY29" s="144" t="s">
        <v>166</v>
      </c>
      <c r="FZ29" s="144" t="s">
        <v>166</v>
      </c>
      <c r="GA29" s="144" t="s">
        <v>166</v>
      </c>
      <c r="GB29" s="144" t="s">
        <v>166</v>
      </c>
      <c r="GC29" s="158" t="s">
        <v>224</v>
      </c>
    </row>
    <row r="30" spans="1:194" ht="17">
      <c r="A30" s="140" t="s">
        <v>162</v>
      </c>
      <c r="B30" s="143" t="s">
        <v>163</v>
      </c>
      <c r="C30" s="140" t="s">
        <v>164</v>
      </c>
      <c r="D30" s="140" t="s">
        <v>165</v>
      </c>
      <c r="E30" s="140">
        <v>2020</v>
      </c>
      <c r="F30" t="s">
        <v>184</v>
      </c>
      <c r="G30" s="139">
        <v>38781.076024973518</v>
      </c>
      <c r="H30" s="147">
        <f t="shared" ref="H30" si="27">0.0083*G30^(0.9482)</f>
        <v>186.21190316195211</v>
      </c>
      <c r="I30" s="147">
        <f t="shared" si="1"/>
        <v>186.21190316195211</v>
      </c>
      <c r="J30" s="144">
        <v>950.08859292076306</v>
      </c>
      <c r="K30" s="144">
        <v>207.79335577938707</v>
      </c>
      <c r="L30" s="144">
        <v>172.85668168485506</v>
      </c>
      <c r="M30" s="140" t="b">
        <v>1</v>
      </c>
      <c r="N30" s="140">
        <v>1</v>
      </c>
      <c r="O30" s="302" t="s">
        <v>581</v>
      </c>
      <c r="P30" s="140" t="s">
        <v>166</v>
      </c>
      <c r="Q30" s="140" t="s">
        <v>166</v>
      </c>
      <c r="R30" s="140" t="s">
        <v>166</v>
      </c>
      <c r="S30" s="140" t="b">
        <v>1</v>
      </c>
      <c r="T30" s="140" t="b">
        <v>0</v>
      </c>
      <c r="U30" s="140" t="s">
        <v>166</v>
      </c>
      <c r="V30" s="140" t="b">
        <v>0</v>
      </c>
      <c r="W30" s="140" t="b">
        <v>0</v>
      </c>
      <c r="X30" s="140" t="s">
        <v>580</v>
      </c>
      <c r="Y30" s="148" t="s">
        <v>186</v>
      </c>
      <c r="Z30" t="s">
        <v>184</v>
      </c>
      <c r="AA30" s="149">
        <v>865</v>
      </c>
      <c r="AB30" s="149" t="s">
        <v>233</v>
      </c>
      <c r="AC30" s="149">
        <v>4</v>
      </c>
      <c r="AD30" s="149">
        <v>4</v>
      </c>
      <c r="AE30">
        <v>8</v>
      </c>
      <c r="AF30">
        <v>15</v>
      </c>
      <c r="AG30" s="150">
        <v>32.08</v>
      </c>
      <c r="AH30" t="s">
        <v>166</v>
      </c>
      <c r="AI30" t="s">
        <v>166</v>
      </c>
      <c r="AJ30" t="s">
        <v>253</v>
      </c>
      <c r="AK30">
        <v>18.440300000000001</v>
      </c>
      <c r="AL30">
        <v>-179.5558</v>
      </c>
      <c r="AM30" s="163">
        <v>11.570254325866699</v>
      </c>
      <c r="AN30" t="s">
        <v>166</v>
      </c>
      <c r="AO30">
        <v>-1530</v>
      </c>
      <c r="AP30">
        <v>-1400</v>
      </c>
      <c r="AQ30" t="s">
        <v>254</v>
      </c>
      <c r="AR30" t="s">
        <v>166</v>
      </c>
      <c r="AS30" s="150">
        <v>38.781076024973515</v>
      </c>
      <c r="AT30" t="s">
        <v>166</v>
      </c>
      <c r="AU30" t="s">
        <v>166</v>
      </c>
      <c r="AV30" t="s">
        <v>166</v>
      </c>
      <c r="AW30" t="s">
        <v>255</v>
      </c>
      <c r="AX30" t="s">
        <v>256</v>
      </c>
      <c r="AY30" t="s">
        <v>166</v>
      </c>
      <c r="AZ30" t="s">
        <v>166</v>
      </c>
      <c r="BA30" t="s">
        <v>166</v>
      </c>
      <c r="BB30" t="s">
        <v>166</v>
      </c>
      <c r="BC30" t="s">
        <v>166</v>
      </c>
      <c r="BD30" t="s">
        <v>166</v>
      </c>
      <c r="BE30" t="s">
        <v>166</v>
      </c>
      <c r="BF30" t="s">
        <v>166</v>
      </c>
      <c r="BG30" s="151" t="s">
        <v>271</v>
      </c>
      <c r="BH30" s="149" t="s">
        <v>263</v>
      </c>
      <c r="BI30" t="s">
        <v>166</v>
      </c>
      <c r="BJ30" s="152" t="s">
        <v>166</v>
      </c>
      <c r="BK30" t="s">
        <v>272</v>
      </c>
      <c r="BL30" t="s">
        <v>194</v>
      </c>
      <c r="BM30" t="s">
        <v>195</v>
      </c>
      <c r="BN30" t="s">
        <v>166</v>
      </c>
      <c r="BO30" t="s">
        <v>166</v>
      </c>
      <c r="BP30" t="s">
        <v>166</v>
      </c>
      <c r="BQ30" s="150">
        <v>15.061289786641341</v>
      </c>
      <c r="BR30" t="s">
        <v>196</v>
      </c>
      <c r="BS30" s="150">
        <v>0.25927962221264073</v>
      </c>
      <c r="BT30">
        <v>1</v>
      </c>
      <c r="BU30" t="s">
        <v>197</v>
      </c>
      <c r="BV30" t="s">
        <v>166</v>
      </c>
      <c r="BW30">
        <v>0</v>
      </c>
      <c r="BX30" t="s">
        <v>197</v>
      </c>
      <c r="BY30" t="s">
        <v>166</v>
      </c>
      <c r="BZ30" t="s">
        <v>198</v>
      </c>
      <c r="CA30" t="s">
        <v>166</v>
      </c>
      <c r="CB30" s="150">
        <v>15.061289786641341</v>
      </c>
      <c r="CC30" t="s">
        <v>196</v>
      </c>
      <c r="CD30" s="150">
        <v>0.259279622212641</v>
      </c>
      <c r="CE30" t="s">
        <v>199</v>
      </c>
      <c r="CF30" t="s">
        <v>166</v>
      </c>
      <c r="CG30" t="s">
        <v>200</v>
      </c>
      <c r="CH30" t="s">
        <v>166</v>
      </c>
      <c r="CI30" t="s">
        <v>166</v>
      </c>
      <c r="CJ30" s="139">
        <v>36.24195196683781</v>
      </c>
      <c r="CK30" t="s">
        <v>201</v>
      </c>
      <c r="CL30">
        <v>2</v>
      </c>
      <c r="CM30">
        <v>2</v>
      </c>
      <c r="CN30" t="s">
        <v>166</v>
      </c>
      <c r="CO30" s="139">
        <v>4.1948677609946898</v>
      </c>
      <c r="CP30" t="s">
        <v>166</v>
      </c>
      <c r="CQ30" t="s">
        <v>166</v>
      </c>
      <c r="CR30" t="s">
        <v>166</v>
      </c>
      <c r="CS30" s="153" t="s">
        <v>202</v>
      </c>
      <c r="CT30" t="s">
        <v>203</v>
      </c>
      <c r="CU30">
        <v>2.2000000000000002</v>
      </c>
      <c r="CV30" t="s">
        <v>204</v>
      </c>
      <c r="CW30" t="s">
        <v>166</v>
      </c>
      <c r="CX30" t="s">
        <v>166</v>
      </c>
      <c r="CY30" t="s">
        <v>166</v>
      </c>
      <c r="CZ30" t="s">
        <v>166</v>
      </c>
      <c r="DA30" s="154" t="s">
        <v>166</v>
      </c>
      <c r="DB30" t="s">
        <v>166</v>
      </c>
      <c r="DC30" t="s">
        <v>166</v>
      </c>
      <c r="DD30" t="s">
        <v>166</v>
      </c>
      <c r="DE30" t="s">
        <v>166</v>
      </c>
      <c r="DF30" t="s">
        <v>205</v>
      </c>
      <c r="DG30">
        <v>35</v>
      </c>
      <c r="DH30" t="s">
        <v>201</v>
      </c>
      <c r="DI30">
        <v>1</v>
      </c>
      <c r="DJ30" t="s">
        <v>206</v>
      </c>
      <c r="DK30">
        <v>17</v>
      </c>
      <c r="DL30" t="s">
        <v>166</v>
      </c>
      <c r="DM30" t="s">
        <v>166</v>
      </c>
      <c r="DN30" t="s">
        <v>207</v>
      </c>
      <c r="DO30">
        <v>38</v>
      </c>
      <c r="DP30" t="s">
        <v>208</v>
      </c>
      <c r="DQ30">
        <v>3</v>
      </c>
      <c r="DR30" t="s">
        <v>209</v>
      </c>
      <c r="DS30" t="s">
        <v>166</v>
      </c>
      <c r="DT30" t="s">
        <v>166</v>
      </c>
      <c r="DU30" t="s">
        <v>166</v>
      </c>
      <c r="DV30" t="s">
        <v>166</v>
      </c>
      <c r="DW30">
        <v>432.6</v>
      </c>
      <c r="DX30" t="s">
        <v>166</v>
      </c>
      <c r="DY30" t="s">
        <v>166</v>
      </c>
      <c r="DZ30" t="s">
        <v>210</v>
      </c>
      <c r="EA30" t="s">
        <v>211</v>
      </c>
      <c r="EB30" t="s">
        <v>212</v>
      </c>
      <c r="EC30" t="s">
        <v>166</v>
      </c>
      <c r="ED30" t="s">
        <v>213</v>
      </c>
      <c r="EE30" s="155" t="s">
        <v>214</v>
      </c>
      <c r="EF30" s="155" t="s">
        <v>214</v>
      </c>
      <c r="EG30">
        <v>1.0271999999999999</v>
      </c>
      <c r="EH30" t="s">
        <v>215</v>
      </c>
      <c r="EI30" t="s">
        <v>215</v>
      </c>
      <c r="EJ30" t="s">
        <v>216</v>
      </c>
      <c r="EK30" t="s">
        <v>215</v>
      </c>
      <c r="EL30" t="s">
        <v>215</v>
      </c>
      <c r="EM30" t="s">
        <v>217</v>
      </c>
      <c r="EN30" s="156" t="s">
        <v>214</v>
      </c>
      <c r="EO30" s="156" t="s">
        <v>214</v>
      </c>
      <c r="EP30" s="156" t="s">
        <v>214</v>
      </c>
      <c r="EQ30" s="156" t="s">
        <v>214</v>
      </c>
      <c r="ET30" t="s">
        <v>218</v>
      </c>
      <c r="EU30" t="s">
        <v>219</v>
      </c>
      <c r="EV30" t="s">
        <v>213</v>
      </c>
      <c r="EW30" t="s">
        <v>166</v>
      </c>
      <c r="EX30" t="s">
        <v>166</v>
      </c>
      <c r="EY30" t="s">
        <v>166</v>
      </c>
      <c r="EZ30" t="s">
        <v>166</v>
      </c>
      <c r="FA30" s="157">
        <v>6.5</v>
      </c>
      <c r="FB30" t="s">
        <v>220</v>
      </c>
      <c r="FC30" s="157">
        <v>1</v>
      </c>
      <c r="FD30" s="157">
        <v>1</v>
      </c>
      <c r="FE30" s="150">
        <v>7.7159981302829603</v>
      </c>
      <c r="FF30" t="s">
        <v>221</v>
      </c>
      <c r="FG30" s="150">
        <v>3.58003096350199E-2</v>
      </c>
      <c r="FH30" s="150">
        <v>3.4595670246529764E-2</v>
      </c>
      <c r="FI30" s="144">
        <v>950.08859292076306</v>
      </c>
      <c r="FJ30" t="s">
        <v>166</v>
      </c>
      <c r="FK30" t="s">
        <v>166</v>
      </c>
      <c r="FL30" s="144">
        <f t="shared" si="2"/>
        <v>950.08859292076306</v>
      </c>
      <c r="FM30" s="144">
        <v>207.79335577938707</v>
      </c>
      <c r="FN30" s="144">
        <v>172.85668168485506</v>
      </c>
      <c r="FO30" t="s">
        <v>222</v>
      </c>
      <c r="FP30" t="s">
        <v>223</v>
      </c>
      <c r="FQ30" s="144" t="s">
        <v>166</v>
      </c>
      <c r="FR30" s="144" t="s">
        <v>166</v>
      </c>
      <c r="FS30" s="144" t="s">
        <v>166</v>
      </c>
      <c r="FT30" s="144" t="s">
        <v>166</v>
      </c>
      <c r="FU30" s="144" t="s">
        <v>166</v>
      </c>
      <c r="FV30" s="144" t="s">
        <v>166</v>
      </c>
      <c r="FW30" s="144" t="s">
        <v>166</v>
      </c>
      <c r="FX30" s="144" t="s">
        <v>166</v>
      </c>
      <c r="FY30" s="144" t="s">
        <v>166</v>
      </c>
      <c r="FZ30" s="144" t="s">
        <v>166</v>
      </c>
      <c r="GA30" s="144" t="s">
        <v>166</v>
      </c>
      <c r="GB30" s="144" t="s">
        <v>166</v>
      </c>
      <c r="GC30" s="158" t="s">
        <v>224</v>
      </c>
    </row>
    <row r="31" spans="1:194" ht="17">
      <c r="A31" s="140" t="s">
        <v>162</v>
      </c>
      <c r="B31" s="143" t="s">
        <v>163</v>
      </c>
      <c r="C31" s="140" t="s">
        <v>164</v>
      </c>
      <c r="D31" s="140" t="s">
        <v>165</v>
      </c>
      <c r="E31" s="140">
        <v>2020</v>
      </c>
      <c r="F31" t="s">
        <v>184</v>
      </c>
      <c r="G31" s="139">
        <v>38781.076024973518</v>
      </c>
      <c r="H31" s="147">
        <f t="shared" ref="H31" si="28">0.0083*G31^(0.9482)</f>
        <v>186.21190316195211</v>
      </c>
      <c r="I31" s="147">
        <f t="shared" si="1"/>
        <v>186.21190316195211</v>
      </c>
      <c r="J31" s="144">
        <v>947.83722766744904</v>
      </c>
      <c r="K31" s="144">
        <v>191.91221854733089</v>
      </c>
      <c r="L31" s="144">
        <v>180.29985163450306</v>
      </c>
      <c r="M31" s="140" t="b">
        <v>1</v>
      </c>
      <c r="N31" s="140">
        <v>1</v>
      </c>
      <c r="O31" s="302" t="s">
        <v>581</v>
      </c>
      <c r="P31" s="140" t="s">
        <v>166</v>
      </c>
      <c r="Q31" s="140" t="s">
        <v>166</v>
      </c>
      <c r="R31" s="140" t="s">
        <v>166</v>
      </c>
      <c r="S31" s="140" t="b">
        <v>1</v>
      </c>
      <c r="T31" s="140" t="b">
        <v>0</v>
      </c>
      <c r="U31" s="140" t="s">
        <v>166</v>
      </c>
      <c r="V31" s="140" t="b">
        <v>0</v>
      </c>
      <c r="W31" s="140" t="b">
        <v>0</v>
      </c>
      <c r="X31" s="140" t="s">
        <v>580</v>
      </c>
      <c r="Y31" s="148" t="s">
        <v>186</v>
      </c>
      <c r="Z31" t="s">
        <v>184</v>
      </c>
      <c r="AA31" s="149">
        <v>865</v>
      </c>
      <c r="AB31" s="149" t="s">
        <v>233</v>
      </c>
      <c r="AC31" s="149">
        <v>4</v>
      </c>
      <c r="AD31" s="149">
        <v>4</v>
      </c>
      <c r="AE31">
        <v>8</v>
      </c>
      <c r="AF31">
        <v>15</v>
      </c>
      <c r="AG31" s="150">
        <v>32.08</v>
      </c>
      <c r="AH31" t="s">
        <v>166</v>
      </c>
      <c r="AI31" t="s">
        <v>166</v>
      </c>
      <c r="AJ31" t="s">
        <v>253</v>
      </c>
      <c r="AK31">
        <v>18.440300000000001</v>
      </c>
      <c r="AL31">
        <v>-179.5558</v>
      </c>
      <c r="AM31" s="163">
        <v>11.570254325866699</v>
      </c>
      <c r="AN31" t="s">
        <v>166</v>
      </c>
      <c r="AO31">
        <v>-1530</v>
      </c>
      <c r="AP31">
        <v>-1400</v>
      </c>
      <c r="AQ31" t="s">
        <v>254</v>
      </c>
      <c r="AR31" t="s">
        <v>166</v>
      </c>
      <c r="AS31" s="150">
        <v>38.781076024973515</v>
      </c>
      <c r="AT31" t="s">
        <v>166</v>
      </c>
      <c r="AU31" t="s">
        <v>166</v>
      </c>
      <c r="AV31" t="s">
        <v>166</v>
      </c>
      <c r="AW31" t="s">
        <v>255</v>
      </c>
      <c r="AX31" t="s">
        <v>256</v>
      </c>
      <c r="AY31" t="s">
        <v>166</v>
      </c>
      <c r="AZ31" t="s">
        <v>166</v>
      </c>
      <c r="BA31" t="s">
        <v>166</v>
      </c>
      <c r="BB31" t="s">
        <v>166</v>
      </c>
      <c r="BC31" t="s">
        <v>166</v>
      </c>
      <c r="BD31" t="s">
        <v>166</v>
      </c>
      <c r="BE31" t="s">
        <v>166</v>
      </c>
      <c r="BF31" t="s">
        <v>166</v>
      </c>
      <c r="BG31" s="151" t="s">
        <v>273</v>
      </c>
      <c r="BH31" s="149" t="s">
        <v>192</v>
      </c>
      <c r="BI31" t="s">
        <v>166</v>
      </c>
      <c r="BJ31" s="152" t="s">
        <v>166</v>
      </c>
      <c r="BK31" t="s">
        <v>274</v>
      </c>
      <c r="BL31" t="s">
        <v>194</v>
      </c>
      <c r="BM31" t="s">
        <v>195</v>
      </c>
      <c r="BN31" t="s">
        <v>166</v>
      </c>
      <c r="BO31" t="s">
        <v>166</v>
      </c>
      <c r="BP31" t="s">
        <v>166</v>
      </c>
      <c r="BQ31" s="150">
        <v>15.029441314874751</v>
      </c>
      <c r="BR31" t="s">
        <v>196</v>
      </c>
      <c r="BS31" s="150">
        <v>0.290377573102302</v>
      </c>
      <c r="BT31">
        <v>1</v>
      </c>
      <c r="BU31" t="s">
        <v>197</v>
      </c>
      <c r="BV31" t="s">
        <v>166</v>
      </c>
      <c r="BW31">
        <v>0</v>
      </c>
      <c r="BX31" t="s">
        <v>197</v>
      </c>
      <c r="BY31" t="s">
        <v>166</v>
      </c>
      <c r="BZ31" t="s">
        <v>198</v>
      </c>
      <c r="CA31" t="s">
        <v>166</v>
      </c>
      <c r="CB31" s="150">
        <v>15.029441314874751</v>
      </c>
      <c r="CC31" t="s">
        <v>196</v>
      </c>
      <c r="CD31" s="150">
        <v>0.290377573102302</v>
      </c>
      <c r="CE31" t="s">
        <v>259</v>
      </c>
      <c r="CF31" t="s">
        <v>260</v>
      </c>
      <c r="CG31" t="s">
        <v>200</v>
      </c>
      <c r="CH31" t="s">
        <v>166</v>
      </c>
      <c r="CI31" t="s">
        <v>166</v>
      </c>
      <c r="CJ31" s="139">
        <v>34.876529741688508</v>
      </c>
      <c r="CK31" t="s">
        <v>201</v>
      </c>
      <c r="CL31">
        <v>2</v>
      </c>
      <c r="CM31">
        <v>2</v>
      </c>
      <c r="CN31" t="s">
        <v>166</v>
      </c>
      <c r="CO31" s="139">
        <v>3.8841383027305527</v>
      </c>
      <c r="CP31" t="s">
        <v>166</v>
      </c>
      <c r="CQ31" t="s">
        <v>166</v>
      </c>
      <c r="CR31" t="s">
        <v>166</v>
      </c>
      <c r="CS31" s="153" t="s">
        <v>202</v>
      </c>
      <c r="CT31" t="s">
        <v>203</v>
      </c>
      <c r="CU31">
        <v>2.2000000000000002</v>
      </c>
      <c r="CV31" t="s">
        <v>204</v>
      </c>
      <c r="CW31" t="s">
        <v>166</v>
      </c>
      <c r="CX31" t="s">
        <v>166</v>
      </c>
      <c r="CY31" t="s">
        <v>166</v>
      </c>
      <c r="CZ31" t="s">
        <v>166</v>
      </c>
      <c r="DA31" s="154" t="s">
        <v>166</v>
      </c>
      <c r="DB31" t="s">
        <v>166</v>
      </c>
      <c r="DC31" t="s">
        <v>166</v>
      </c>
      <c r="DD31" t="s">
        <v>166</v>
      </c>
      <c r="DE31" t="s">
        <v>166</v>
      </c>
      <c r="DF31" t="s">
        <v>205</v>
      </c>
      <c r="DG31">
        <v>35</v>
      </c>
      <c r="DH31" t="s">
        <v>201</v>
      </c>
      <c r="DI31">
        <v>1</v>
      </c>
      <c r="DJ31" t="s">
        <v>206</v>
      </c>
      <c r="DK31">
        <v>17</v>
      </c>
      <c r="DL31" t="s">
        <v>166</v>
      </c>
      <c r="DM31" t="s">
        <v>166</v>
      </c>
      <c r="DN31" t="s">
        <v>207</v>
      </c>
      <c r="DO31">
        <v>38</v>
      </c>
      <c r="DP31" t="s">
        <v>208</v>
      </c>
      <c r="DQ31">
        <v>3</v>
      </c>
      <c r="DR31" t="s">
        <v>209</v>
      </c>
      <c r="DS31" t="s">
        <v>166</v>
      </c>
      <c r="DT31" t="s">
        <v>166</v>
      </c>
      <c r="DU31" t="s">
        <v>166</v>
      </c>
      <c r="DV31" t="s">
        <v>166</v>
      </c>
      <c r="DW31">
        <v>432.6</v>
      </c>
      <c r="DX31" t="s">
        <v>166</v>
      </c>
      <c r="DY31" t="s">
        <v>166</v>
      </c>
      <c r="DZ31" t="s">
        <v>210</v>
      </c>
      <c r="EA31" t="s">
        <v>211</v>
      </c>
      <c r="EB31" t="s">
        <v>212</v>
      </c>
      <c r="EC31" t="s">
        <v>166</v>
      </c>
      <c r="ED31" t="s">
        <v>213</v>
      </c>
      <c r="EE31" s="155" t="s">
        <v>214</v>
      </c>
      <c r="EF31" s="155" t="s">
        <v>214</v>
      </c>
      <c r="EG31">
        <v>1.0271999999999999</v>
      </c>
      <c r="EH31" t="s">
        <v>215</v>
      </c>
      <c r="EI31" t="s">
        <v>215</v>
      </c>
      <c r="EJ31" t="s">
        <v>216</v>
      </c>
      <c r="EK31" t="s">
        <v>215</v>
      </c>
      <c r="EL31" t="s">
        <v>215</v>
      </c>
      <c r="EM31" t="s">
        <v>217</v>
      </c>
      <c r="EN31" s="156" t="s">
        <v>214</v>
      </c>
      <c r="EO31" s="156" t="s">
        <v>214</v>
      </c>
      <c r="EP31" s="156" t="s">
        <v>214</v>
      </c>
      <c r="EQ31" s="156" t="s">
        <v>214</v>
      </c>
      <c r="ET31" t="s">
        <v>218</v>
      </c>
      <c r="EU31" t="s">
        <v>219</v>
      </c>
      <c r="EV31" t="s">
        <v>213</v>
      </c>
      <c r="EW31" t="s">
        <v>166</v>
      </c>
      <c r="EX31" t="s">
        <v>166</v>
      </c>
      <c r="EY31" t="s">
        <v>166</v>
      </c>
      <c r="EZ31" t="s">
        <v>166</v>
      </c>
      <c r="FA31" s="157">
        <v>6.5</v>
      </c>
      <c r="FB31" t="s">
        <v>220</v>
      </c>
      <c r="FC31" s="157">
        <v>1</v>
      </c>
      <c r="FD31" s="157">
        <v>1</v>
      </c>
      <c r="FE31" s="150">
        <v>7.7267610656253103</v>
      </c>
      <c r="FF31" t="s">
        <v>221</v>
      </c>
      <c r="FG31" s="150">
        <v>3.7926845459140601E-2</v>
      </c>
      <c r="FH31" s="150">
        <v>3.69053069499099E-2</v>
      </c>
      <c r="FI31" s="144">
        <v>947.83722766744904</v>
      </c>
      <c r="FJ31" t="s">
        <v>166</v>
      </c>
      <c r="FK31" t="s">
        <v>166</v>
      </c>
      <c r="FL31" s="144">
        <f t="shared" si="2"/>
        <v>947.83722766744904</v>
      </c>
      <c r="FM31" s="144">
        <v>191.91221854733089</v>
      </c>
      <c r="FN31" s="144">
        <v>180.29985163450306</v>
      </c>
      <c r="FO31" t="s">
        <v>222</v>
      </c>
      <c r="FP31" t="s">
        <v>223</v>
      </c>
      <c r="FQ31" s="144" t="s">
        <v>166</v>
      </c>
      <c r="FR31" s="144" t="s">
        <v>166</v>
      </c>
      <c r="FS31" s="144" t="s">
        <v>166</v>
      </c>
      <c r="FT31" s="144" t="s">
        <v>166</v>
      </c>
      <c r="FU31" s="144" t="s">
        <v>166</v>
      </c>
      <c r="FV31" s="144" t="s">
        <v>166</v>
      </c>
      <c r="FW31" s="144" t="s">
        <v>166</v>
      </c>
      <c r="FX31" s="144" t="s">
        <v>166</v>
      </c>
      <c r="FY31" s="144" t="s">
        <v>166</v>
      </c>
      <c r="FZ31" s="144" t="s">
        <v>166</v>
      </c>
      <c r="GA31" s="144" t="s">
        <v>166</v>
      </c>
      <c r="GB31" s="144" t="s">
        <v>166</v>
      </c>
      <c r="GC31" s="158" t="s">
        <v>261</v>
      </c>
    </row>
    <row r="32" spans="1:194" ht="17">
      <c r="A32" s="140" t="s">
        <v>162</v>
      </c>
      <c r="B32" s="143" t="s">
        <v>163</v>
      </c>
      <c r="C32" s="140" t="s">
        <v>164</v>
      </c>
      <c r="D32" s="140" t="s">
        <v>165</v>
      </c>
      <c r="E32" s="140">
        <v>2020</v>
      </c>
      <c r="F32" t="s">
        <v>184</v>
      </c>
      <c r="G32" s="139">
        <v>39445.984628214661</v>
      </c>
      <c r="H32" s="147">
        <f t="shared" ref="H32" si="29">0.0083*G32^(0.9482)</f>
        <v>189.23782524717279</v>
      </c>
      <c r="I32" s="147">
        <f t="shared" si="1"/>
        <v>189.23782524717279</v>
      </c>
      <c r="J32" s="144">
        <v>787.86608868674296</v>
      </c>
      <c r="K32" s="144">
        <v>188.68212639291198</v>
      </c>
      <c r="L32" s="144">
        <v>159.62919697695895</v>
      </c>
      <c r="M32" s="140" t="b">
        <v>1</v>
      </c>
      <c r="N32" s="140">
        <v>1</v>
      </c>
      <c r="O32" s="302" t="s">
        <v>581</v>
      </c>
      <c r="P32" s="140" t="s">
        <v>166</v>
      </c>
      <c r="Q32" s="140" t="s">
        <v>166</v>
      </c>
      <c r="R32" s="140" t="s">
        <v>166</v>
      </c>
      <c r="S32" s="140" t="b">
        <v>1</v>
      </c>
      <c r="T32" s="140" t="b">
        <v>0</v>
      </c>
      <c r="U32" s="140" t="s">
        <v>166</v>
      </c>
      <c r="V32" s="140" t="b">
        <v>0</v>
      </c>
      <c r="W32" s="140" t="b">
        <v>0</v>
      </c>
      <c r="X32" s="140" t="s">
        <v>580</v>
      </c>
      <c r="Y32" s="148" t="s">
        <v>186</v>
      </c>
      <c r="Z32" t="s">
        <v>184</v>
      </c>
      <c r="AA32" s="149">
        <v>865</v>
      </c>
      <c r="AB32" s="149" t="s">
        <v>233</v>
      </c>
      <c r="AC32" s="149">
        <v>4</v>
      </c>
      <c r="AD32" s="149">
        <v>6</v>
      </c>
      <c r="AE32">
        <v>3</v>
      </c>
      <c r="AF32">
        <v>10</v>
      </c>
      <c r="AG32" s="150">
        <v>35.03</v>
      </c>
      <c r="AH32" t="s">
        <v>166</v>
      </c>
      <c r="AI32" t="s">
        <v>166</v>
      </c>
      <c r="AJ32" t="s">
        <v>253</v>
      </c>
      <c r="AK32">
        <v>18.440300000000001</v>
      </c>
      <c r="AL32">
        <v>-179.5558</v>
      </c>
      <c r="AM32" s="163">
        <v>11.424742698669434</v>
      </c>
      <c r="AN32" t="s">
        <v>166</v>
      </c>
      <c r="AO32">
        <v>-1530</v>
      </c>
      <c r="AP32">
        <v>-1400</v>
      </c>
      <c r="AQ32" t="s">
        <v>254</v>
      </c>
      <c r="AR32" t="s">
        <v>166</v>
      </c>
      <c r="AS32" s="150">
        <v>39.44598462821466</v>
      </c>
      <c r="AT32" t="s">
        <v>166</v>
      </c>
      <c r="AU32" t="s">
        <v>166</v>
      </c>
      <c r="AV32" t="s">
        <v>166</v>
      </c>
      <c r="AW32" t="s">
        <v>255</v>
      </c>
      <c r="AX32" t="s">
        <v>256</v>
      </c>
      <c r="AY32" t="s">
        <v>166</v>
      </c>
      <c r="AZ32" t="s">
        <v>166</v>
      </c>
      <c r="BA32" t="s">
        <v>166</v>
      </c>
      <c r="BB32" t="s">
        <v>166</v>
      </c>
      <c r="BC32" t="s">
        <v>166</v>
      </c>
      <c r="BD32" t="s">
        <v>166</v>
      </c>
      <c r="BE32" t="s">
        <v>166</v>
      </c>
      <c r="BF32" t="s">
        <v>166</v>
      </c>
      <c r="BG32" s="151" t="s">
        <v>191</v>
      </c>
      <c r="BH32" s="149" t="s">
        <v>192</v>
      </c>
      <c r="BI32" t="s">
        <v>166</v>
      </c>
      <c r="BJ32" s="152" t="s">
        <v>166</v>
      </c>
      <c r="BK32" t="s">
        <v>275</v>
      </c>
      <c r="BL32" t="s">
        <v>194</v>
      </c>
      <c r="BM32" t="s">
        <v>195</v>
      </c>
      <c r="BN32" t="s">
        <v>166</v>
      </c>
      <c r="BO32" t="s">
        <v>166</v>
      </c>
      <c r="BP32" t="s">
        <v>166</v>
      </c>
      <c r="BQ32" s="150">
        <v>15.35636944351182</v>
      </c>
      <c r="BR32" t="s">
        <v>196</v>
      </c>
      <c r="BS32" s="150">
        <v>0.34988296301721683</v>
      </c>
      <c r="BT32">
        <v>1</v>
      </c>
      <c r="BU32" t="s">
        <v>197</v>
      </c>
      <c r="BV32" t="s">
        <v>166</v>
      </c>
      <c r="BW32">
        <v>0</v>
      </c>
      <c r="BX32" t="s">
        <v>197</v>
      </c>
      <c r="BY32" t="s">
        <v>166</v>
      </c>
      <c r="BZ32" t="s">
        <v>198</v>
      </c>
      <c r="CA32" t="s">
        <v>166</v>
      </c>
      <c r="CB32" s="150">
        <v>15.35636944351182</v>
      </c>
      <c r="CC32" t="s">
        <v>196</v>
      </c>
      <c r="CD32" s="150">
        <v>0.34988296301721683</v>
      </c>
      <c r="CE32" t="s">
        <v>199</v>
      </c>
      <c r="CF32" t="s">
        <v>166</v>
      </c>
      <c r="CG32" t="s">
        <v>200</v>
      </c>
      <c r="CH32" t="s">
        <v>166</v>
      </c>
      <c r="CI32" t="s">
        <v>166</v>
      </c>
      <c r="CJ32" s="139">
        <v>35.398018688547111</v>
      </c>
      <c r="CK32" t="s">
        <v>201</v>
      </c>
      <c r="CL32">
        <v>2</v>
      </c>
      <c r="CM32">
        <v>2</v>
      </c>
      <c r="CN32" t="s">
        <v>166</v>
      </c>
      <c r="CO32" s="139">
        <v>4</v>
      </c>
      <c r="CP32" t="s">
        <v>166</v>
      </c>
      <c r="CQ32" t="s">
        <v>166</v>
      </c>
      <c r="CR32" t="s">
        <v>166</v>
      </c>
      <c r="CS32" s="153" t="s">
        <v>202</v>
      </c>
      <c r="CT32" t="s">
        <v>203</v>
      </c>
      <c r="CU32">
        <v>2.2000000000000002</v>
      </c>
      <c r="CV32" t="s">
        <v>204</v>
      </c>
      <c r="CW32" t="s">
        <v>166</v>
      </c>
      <c r="CX32" t="s">
        <v>166</v>
      </c>
      <c r="CY32" t="s">
        <v>166</v>
      </c>
      <c r="CZ32" t="s">
        <v>166</v>
      </c>
      <c r="DA32" s="154" t="s">
        <v>166</v>
      </c>
      <c r="DB32" t="s">
        <v>166</v>
      </c>
      <c r="DC32" t="s">
        <v>166</v>
      </c>
      <c r="DD32" t="s">
        <v>166</v>
      </c>
      <c r="DE32" t="s">
        <v>166</v>
      </c>
      <c r="DF32" t="s">
        <v>205</v>
      </c>
      <c r="DG32">
        <v>35</v>
      </c>
      <c r="DH32" t="s">
        <v>201</v>
      </c>
      <c r="DI32">
        <v>1</v>
      </c>
      <c r="DJ32" t="s">
        <v>206</v>
      </c>
      <c r="DK32">
        <v>17</v>
      </c>
      <c r="DL32" t="s">
        <v>166</v>
      </c>
      <c r="DM32" t="s">
        <v>166</v>
      </c>
      <c r="DN32" t="s">
        <v>207</v>
      </c>
      <c r="DO32">
        <v>38</v>
      </c>
      <c r="DP32" t="s">
        <v>208</v>
      </c>
      <c r="DQ32">
        <v>3</v>
      </c>
      <c r="DR32" t="s">
        <v>209</v>
      </c>
      <c r="DS32" t="s">
        <v>166</v>
      </c>
      <c r="DT32" t="s">
        <v>166</v>
      </c>
      <c r="DU32" t="s">
        <v>166</v>
      </c>
      <c r="DV32" t="s">
        <v>166</v>
      </c>
      <c r="DW32">
        <v>432.6</v>
      </c>
      <c r="DX32" t="s">
        <v>166</v>
      </c>
      <c r="DY32" t="s">
        <v>166</v>
      </c>
      <c r="DZ32" t="s">
        <v>210</v>
      </c>
      <c r="EA32" t="s">
        <v>211</v>
      </c>
      <c r="EB32" t="s">
        <v>212</v>
      </c>
      <c r="EC32" t="s">
        <v>166</v>
      </c>
      <c r="ED32" t="s">
        <v>213</v>
      </c>
      <c r="EE32" s="155" t="s">
        <v>214</v>
      </c>
      <c r="EF32" s="155" t="s">
        <v>214</v>
      </c>
      <c r="EG32">
        <v>1.0271999999999999</v>
      </c>
      <c r="EH32" t="s">
        <v>215</v>
      </c>
      <c r="EI32" t="s">
        <v>215</v>
      </c>
      <c r="EJ32" t="s">
        <v>216</v>
      </c>
      <c r="EK32" t="s">
        <v>215</v>
      </c>
      <c r="EL32" t="s">
        <v>215</v>
      </c>
      <c r="EM32" t="s">
        <v>217</v>
      </c>
      <c r="EN32" s="156" t="s">
        <v>214</v>
      </c>
      <c r="EO32" s="156" t="s">
        <v>214</v>
      </c>
      <c r="EP32" s="156" t="s">
        <v>214</v>
      </c>
      <c r="EQ32" s="156" t="s">
        <v>214</v>
      </c>
      <c r="ET32" t="s">
        <v>218</v>
      </c>
      <c r="EU32" t="s">
        <v>219</v>
      </c>
      <c r="EV32" t="s">
        <v>213</v>
      </c>
      <c r="EW32" t="s">
        <v>166</v>
      </c>
      <c r="EX32" t="s">
        <v>166</v>
      </c>
      <c r="EY32" t="s">
        <v>166</v>
      </c>
      <c r="EZ32" t="s">
        <v>166</v>
      </c>
      <c r="FA32" s="157">
        <v>6.5</v>
      </c>
      <c r="FB32" t="s">
        <v>220</v>
      </c>
      <c r="FC32" s="157">
        <v>1</v>
      </c>
      <c r="FD32" s="157">
        <v>1</v>
      </c>
      <c r="FE32" s="150">
        <v>7.7624670764016797</v>
      </c>
      <c r="FF32" t="s">
        <v>221</v>
      </c>
      <c r="FG32" s="150">
        <v>4.3386627592640004E-2</v>
      </c>
      <c r="FH32" s="150">
        <v>3.8026839186080075E-2</v>
      </c>
      <c r="FI32" s="144">
        <v>787.86608868674296</v>
      </c>
      <c r="FJ32" t="s">
        <v>166</v>
      </c>
      <c r="FK32" t="s">
        <v>166</v>
      </c>
      <c r="FL32" s="144">
        <f t="shared" si="2"/>
        <v>787.86608868674296</v>
      </c>
      <c r="FM32" s="144">
        <v>188.68212639291198</v>
      </c>
      <c r="FN32" s="144">
        <v>159.62919697695895</v>
      </c>
      <c r="FO32" t="s">
        <v>222</v>
      </c>
      <c r="FP32" t="s">
        <v>223</v>
      </c>
      <c r="FQ32" s="144" t="s">
        <v>166</v>
      </c>
      <c r="FR32" s="144" t="s">
        <v>166</v>
      </c>
      <c r="FS32" s="144" t="s">
        <v>166</v>
      </c>
      <c r="FT32" s="144" t="s">
        <v>166</v>
      </c>
      <c r="FU32" s="144" t="s">
        <v>166</v>
      </c>
      <c r="FV32" s="144" t="s">
        <v>166</v>
      </c>
      <c r="FW32" s="144" t="s">
        <v>166</v>
      </c>
      <c r="FX32" s="144" t="s">
        <v>166</v>
      </c>
      <c r="FY32" s="144" t="s">
        <v>166</v>
      </c>
      <c r="FZ32" s="144" t="s">
        <v>166</v>
      </c>
      <c r="GA32" s="144" t="s">
        <v>166</v>
      </c>
      <c r="GB32" s="144" t="s">
        <v>166</v>
      </c>
      <c r="GC32" s="158" t="s">
        <v>224</v>
      </c>
    </row>
    <row r="33" spans="1:185" ht="17">
      <c r="A33" s="140" t="s">
        <v>162</v>
      </c>
      <c r="B33" s="143" t="s">
        <v>163</v>
      </c>
      <c r="C33" s="140" t="s">
        <v>164</v>
      </c>
      <c r="D33" s="140" t="s">
        <v>165</v>
      </c>
      <c r="E33" s="140">
        <v>2020</v>
      </c>
      <c r="F33" t="s">
        <v>184</v>
      </c>
      <c r="G33" s="139">
        <v>39445.984628214661</v>
      </c>
      <c r="H33" s="147">
        <f t="shared" ref="H33" si="30">0.0083*G33^(0.9482)</f>
        <v>189.23782524717279</v>
      </c>
      <c r="I33" s="147">
        <f t="shared" si="1"/>
        <v>189.23782524717279</v>
      </c>
      <c r="J33" s="144">
        <v>945.83320886979004</v>
      </c>
      <c r="K33" s="144">
        <v>195.63226400636995</v>
      </c>
      <c r="L33" s="144">
        <v>151.97683561700705</v>
      </c>
      <c r="M33" s="140" t="b">
        <v>1</v>
      </c>
      <c r="N33" s="140">
        <v>1</v>
      </c>
      <c r="O33" s="302" t="s">
        <v>581</v>
      </c>
      <c r="P33" s="140" t="s">
        <v>166</v>
      </c>
      <c r="Q33" s="140" t="s">
        <v>166</v>
      </c>
      <c r="R33" s="140" t="s">
        <v>166</v>
      </c>
      <c r="S33" s="140" t="b">
        <v>1</v>
      </c>
      <c r="T33" s="140" t="b">
        <v>0</v>
      </c>
      <c r="U33" s="140" t="s">
        <v>166</v>
      </c>
      <c r="V33" s="140" t="b">
        <v>0</v>
      </c>
      <c r="W33" s="140" t="b">
        <v>0</v>
      </c>
      <c r="X33" s="140" t="s">
        <v>580</v>
      </c>
      <c r="Y33" s="148" t="s">
        <v>186</v>
      </c>
      <c r="Z33" t="s">
        <v>184</v>
      </c>
      <c r="AA33" s="149">
        <v>865</v>
      </c>
      <c r="AB33" s="149" t="s">
        <v>233</v>
      </c>
      <c r="AC33" s="149">
        <v>4</v>
      </c>
      <c r="AD33" s="149">
        <v>6</v>
      </c>
      <c r="AE33">
        <v>3</v>
      </c>
      <c r="AF33">
        <v>10</v>
      </c>
      <c r="AG33" s="150">
        <v>35.03</v>
      </c>
      <c r="AH33" t="s">
        <v>166</v>
      </c>
      <c r="AI33" t="s">
        <v>166</v>
      </c>
      <c r="AJ33" t="s">
        <v>253</v>
      </c>
      <c r="AK33">
        <v>18.440300000000001</v>
      </c>
      <c r="AL33">
        <v>-179.5558</v>
      </c>
      <c r="AM33" s="163">
        <v>11.424742698669434</v>
      </c>
      <c r="AN33" t="s">
        <v>166</v>
      </c>
      <c r="AO33">
        <v>-1530</v>
      </c>
      <c r="AP33">
        <v>-1400</v>
      </c>
      <c r="AQ33" t="s">
        <v>254</v>
      </c>
      <c r="AR33" t="s">
        <v>166</v>
      </c>
      <c r="AS33" s="150">
        <v>39.44598462821466</v>
      </c>
      <c r="AT33" t="s">
        <v>166</v>
      </c>
      <c r="AU33" t="s">
        <v>166</v>
      </c>
      <c r="AV33" t="s">
        <v>166</v>
      </c>
      <c r="AW33" t="s">
        <v>255</v>
      </c>
      <c r="AX33" t="s">
        <v>256</v>
      </c>
      <c r="AY33" t="s">
        <v>166</v>
      </c>
      <c r="AZ33" t="s">
        <v>166</v>
      </c>
      <c r="BA33" t="s">
        <v>166</v>
      </c>
      <c r="BB33" t="s">
        <v>166</v>
      </c>
      <c r="BC33" t="s">
        <v>166</v>
      </c>
      <c r="BD33" t="s">
        <v>166</v>
      </c>
      <c r="BE33" t="s">
        <v>166</v>
      </c>
      <c r="BF33" t="s">
        <v>166</v>
      </c>
      <c r="BG33" s="151" t="s">
        <v>267</v>
      </c>
      <c r="BH33" s="149" t="s">
        <v>192</v>
      </c>
      <c r="BI33" t="s">
        <v>166</v>
      </c>
      <c r="BJ33" s="152" t="s">
        <v>166</v>
      </c>
      <c r="BK33" t="s">
        <v>276</v>
      </c>
      <c r="BL33" t="s">
        <v>194</v>
      </c>
      <c r="BM33" t="s">
        <v>195</v>
      </c>
      <c r="BN33" t="s">
        <v>166</v>
      </c>
      <c r="BO33" t="s">
        <v>166</v>
      </c>
      <c r="BP33" t="s">
        <v>166</v>
      </c>
      <c r="BQ33" s="150">
        <v>15.022786896878415</v>
      </c>
      <c r="BR33" t="s">
        <v>196</v>
      </c>
      <c r="BS33" s="150">
        <v>0.24635877991202274</v>
      </c>
      <c r="BT33">
        <v>1</v>
      </c>
      <c r="BU33" t="s">
        <v>197</v>
      </c>
      <c r="BV33" t="s">
        <v>166</v>
      </c>
      <c r="BW33">
        <v>0</v>
      </c>
      <c r="BX33" t="s">
        <v>197</v>
      </c>
      <c r="BY33" t="s">
        <v>166</v>
      </c>
      <c r="BZ33" t="s">
        <v>198</v>
      </c>
      <c r="CA33" t="s">
        <v>166</v>
      </c>
      <c r="CB33" s="150">
        <v>15.022786896878415</v>
      </c>
      <c r="CC33" t="s">
        <v>196</v>
      </c>
      <c r="CD33" s="150">
        <v>0.24635877991202274</v>
      </c>
      <c r="CE33" t="s">
        <v>199</v>
      </c>
      <c r="CF33" t="s">
        <v>166</v>
      </c>
      <c r="CG33" t="s">
        <v>200</v>
      </c>
      <c r="CH33" t="s">
        <v>166</v>
      </c>
      <c r="CI33" t="s">
        <v>166</v>
      </c>
      <c r="CJ33" s="139">
        <v>35.084787987413037</v>
      </c>
      <c r="CK33" t="s">
        <v>201</v>
      </c>
      <c r="CL33">
        <v>2</v>
      </c>
      <c r="CM33">
        <v>2</v>
      </c>
      <c r="CN33" t="s">
        <v>166</v>
      </c>
      <c r="CO33" s="139">
        <v>3.93</v>
      </c>
      <c r="CP33" t="s">
        <v>166</v>
      </c>
      <c r="CQ33" t="s">
        <v>166</v>
      </c>
      <c r="CR33" t="s">
        <v>166</v>
      </c>
      <c r="CS33" s="153" t="s">
        <v>202</v>
      </c>
      <c r="CT33" t="s">
        <v>203</v>
      </c>
      <c r="CU33">
        <v>2.2000000000000002</v>
      </c>
      <c r="CV33" t="s">
        <v>204</v>
      </c>
      <c r="CW33" t="s">
        <v>166</v>
      </c>
      <c r="CX33" t="s">
        <v>166</v>
      </c>
      <c r="CY33" t="s">
        <v>166</v>
      </c>
      <c r="CZ33" t="s">
        <v>166</v>
      </c>
      <c r="DA33" s="154" t="s">
        <v>166</v>
      </c>
      <c r="DB33" t="s">
        <v>166</v>
      </c>
      <c r="DC33" t="s">
        <v>166</v>
      </c>
      <c r="DD33" t="s">
        <v>166</v>
      </c>
      <c r="DE33" t="s">
        <v>166</v>
      </c>
      <c r="DF33" t="s">
        <v>205</v>
      </c>
      <c r="DG33">
        <v>35</v>
      </c>
      <c r="DH33" t="s">
        <v>201</v>
      </c>
      <c r="DI33">
        <v>1</v>
      </c>
      <c r="DJ33" t="s">
        <v>206</v>
      </c>
      <c r="DK33">
        <v>17</v>
      </c>
      <c r="DL33" t="s">
        <v>166</v>
      </c>
      <c r="DM33" t="s">
        <v>166</v>
      </c>
      <c r="DN33" t="s">
        <v>207</v>
      </c>
      <c r="DO33">
        <v>38</v>
      </c>
      <c r="DP33" t="s">
        <v>208</v>
      </c>
      <c r="DQ33">
        <v>3</v>
      </c>
      <c r="DR33" t="s">
        <v>209</v>
      </c>
      <c r="DS33" t="s">
        <v>166</v>
      </c>
      <c r="DT33" t="s">
        <v>166</v>
      </c>
      <c r="DU33" t="s">
        <v>166</v>
      </c>
      <c r="DV33" t="s">
        <v>166</v>
      </c>
      <c r="DW33">
        <v>432.6</v>
      </c>
      <c r="DX33" t="s">
        <v>166</v>
      </c>
      <c r="DY33" t="s">
        <v>166</v>
      </c>
      <c r="DZ33" t="s">
        <v>210</v>
      </c>
      <c r="EA33" t="s">
        <v>211</v>
      </c>
      <c r="EB33" t="s">
        <v>212</v>
      </c>
      <c r="EC33" t="s">
        <v>166</v>
      </c>
      <c r="ED33" t="s">
        <v>213</v>
      </c>
      <c r="EE33" s="155" t="s">
        <v>214</v>
      </c>
      <c r="EF33" s="155" t="s">
        <v>214</v>
      </c>
      <c r="EG33">
        <v>1.0271999999999999</v>
      </c>
      <c r="EH33" t="s">
        <v>215</v>
      </c>
      <c r="EI33" t="s">
        <v>215</v>
      </c>
      <c r="EJ33" t="s">
        <v>216</v>
      </c>
      <c r="EK33" t="s">
        <v>215</v>
      </c>
      <c r="EL33" t="s">
        <v>215</v>
      </c>
      <c r="EM33" t="s">
        <v>217</v>
      </c>
      <c r="EN33" s="156" t="s">
        <v>214</v>
      </c>
      <c r="EO33" s="156" t="s">
        <v>214</v>
      </c>
      <c r="EP33" s="156" t="s">
        <v>214</v>
      </c>
      <c r="EQ33" s="156" t="s">
        <v>214</v>
      </c>
      <c r="ET33" t="s">
        <v>218</v>
      </c>
      <c r="EU33" t="s">
        <v>219</v>
      </c>
      <c r="EV33" t="s">
        <v>213</v>
      </c>
      <c r="EW33" t="s">
        <v>166</v>
      </c>
      <c r="EX33" t="s">
        <v>166</v>
      </c>
      <c r="EY33" t="s">
        <v>166</v>
      </c>
      <c r="EZ33" t="s">
        <v>166</v>
      </c>
      <c r="FA33" s="157">
        <v>6.5</v>
      </c>
      <c r="FB33" t="s">
        <v>220</v>
      </c>
      <c r="FC33" s="157">
        <v>1</v>
      </c>
      <c r="FD33" s="157">
        <v>1</v>
      </c>
      <c r="FE33" s="150">
        <v>7.7253072582332996</v>
      </c>
      <c r="FF33" t="s">
        <v>221</v>
      </c>
      <c r="FG33" s="150">
        <v>3.629266042358914E-2</v>
      </c>
      <c r="FH33" s="150">
        <v>3.5282734143970096E-2</v>
      </c>
      <c r="FI33" s="144">
        <v>945.83320886979004</v>
      </c>
      <c r="FJ33" t="s">
        <v>166</v>
      </c>
      <c r="FK33" t="s">
        <v>166</v>
      </c>
      <c r="FL33" s="144">
        <f t="shared" si="2"/>
        <v>945.83320886979004</v>
      </c>
      <c r="FM33" s="144">
        <v>195.63226400636995</v>
      </c>
      <c r="FN33" s="144">
        <v>151.97683561700705</v>
      </c>
      <c r="FO33" t="s">
        <v>222</v>
      </c>
      <c r="FP33" t="s">
        <v>223</v>
      </c>
      <c r="FQ33" s="144" t="s">
        <v>166</v>
      </c>
      <c r="FR33" s="144" t="s">
        <v>166</v>
      </c>
      <c r="FS33" s="144" t="s">
        <v>166</v>
      </c>
      <c r="FT33" s="144" t="s">
        <v>166</v>
      </c>
      <c r="FU33" s="144" t="s">
        <v>166</v>
      </c>
      <c r="FV33" s="144" t="s">
        <v>166</v>
      </c>
      <c r="FW33" s="144" t="s">
        <v>166</v>
      </c>
      <c r="FX33" s="144" t="s">
        <v>166</v>
      </c>
      <c r="FY33" s="144" t="s">
        <v>166</v>
      </c>
      <c r="FZ33" s="144" t="s">
        <v>166</v>
      </c>
      <c r="GA33" s="144" t="s">
        <v>166</v>
      </c>
      <c r="GB33" s="144" t="s">
        <v>166</v>
      </c>
      <c r="GC33" s="158" t="s">
        <v>224</v>
      </c>
    </row>
    <row r="34" spans="1:185" ht="17">
      <c r="A34" s="140" t="s">
        <v>162</v>
      </c>
      <c r="B34" s="143" t="s">
        <v>163</v>
      </c>
      <c r="C34" s="140" t="s">
        <v>164</v>
      </c>
      <c r="D34" s="140" t="s">
        <v>165</v>
      </c>
      <c r="E34" s="140">
        <v>2020</v>
      </c>
      <c r="F34" t="s">
        <v>184</v>
      </c>
      <c r="G34" s="139">
        <v>40250.636734509884</v>
      </c>
      <c r="H34" s="147">
        <f t="shared" ref="H34" si="31">0.0083*G34^(0.9482)</f>
        <v>192.89617618633793</v>
      </c>
      <c r="I34" s="147">
        <f t="shared" si="1"/>
        <v>192.89617618633793</v>
      </c>
      <c r="J34" s="144">
        <v>966.73149516740398</v>
      </c>
      <c r="K34" s="144">
        <v>219.37597689161601</v>
      </c>
      <c r="L34" s="144">
        <v>165.52799855345199</v>
      </c>
      <c r="M34" s="140" t="b">
        <v>1</v>
      </c>
      <c r="N34" s="140">
        <v>1</v>
      </c>
      <c r="O34" s="302" t="s">
        <v>581</v>
      </c>
      <c r="P34" s="140" t="s">
        <v>166</v>
      </c>
      <c r="Q34" s="140" t="s">
        <v>166</v>
      </c>
      <c r="R34" s="140" t="s">
        <v>166</v>
      </c>
      <c r="S34" s="140" t="b">
        <v>1</v>
      </c>
      <c r="T34" s="140" t="b">
        <v>0</v>
      </c>
      <c r="U34" s="140" t="s">
        <v>166</v>
      </c>
      <c r="V34" s="140" t="b">
        <v>0</v>
      </c>
      <c r="W34" s="140" t="b">
        <v>0</v>
      </c>
      <c r="X34" s="140" t="s">
        <v>580</v>
      </c>
      <c r="Y34" s="148" t="s">
        <v>186</v>
      </c>
      <c r="Z34" t="s">
        <v>184</v>
      </c>
      <c r="AA34" s="149">
        <v>865</v>
      </c>
      <c r="AB34" s="149" t="s">
        <v>233</v>
      </c>
      <c r="AC34" s="149">
        <v>5</v>
      </c>
      <c r="AD34" s="149">
        <v>2</v>
      </c>
      <c r="AE34">
        <v>10</v>
      </c>
      <c r="AF34">
        <v>18</v>
      </c>
      <c r="AG34" s="150">
        <v>38.6</v>
      </c>
      <c r="AH34" t="s">
        <v>166</v>
      </c>
      <c r="AI34" t="s">
        <v>166</v>
      </c>
      <c r="AJ34" t="s">
        <v>253</v>
      </c>
      <c r="AK34">
        <v>18.440300000000001</v>
      </c>
      <c r="AL34">
        <v>-179.5558</v>
      </c>
      <c r="AM34" s="163">
        <v>11.322948455810547</v>
      </c>
      <c r="AN34" t="s">
        <v>166</v>
      </c>
      <c r="AO34">
        <v>-1530</v>
      </c>
      <c r="AP34">
        <v>-1400</v>
      </c>
      <c r="AQ34" t="s">
        <v>254</v>
      </c>
      <c r="AR34" t="s">
        <v>166</v>
      </c>
      <c r="AS34" s="150">
        <v>40.250636734509882</v>
      </c>
      <c r="AT34" t="s">
        <v>166</v>
      </c>
      <c r="AU34" t="s">
        <v>166</v>
      </c>
      <c r="AV34" t="s">
        <v>166</v>
      </c>
      <c r="AW34" t="s">
        <v>255</v>
      </c>
      <c r="AX34" t="s">
        <v>256</v>
      </c>
      <c r="AY34" t="s">
        <v>166</v>
      </c>
      <c r="AZ34" t="s">
        <v>166</v>
      </c>
      <c r="BA34" t="s">
        <v>166</v>
      </c>
      <c r="BB34" t="s">
        <v>166</v>
      </c>
      <c r="BC34" t="s">
        <v>166</v>
      </c>
      <c r="BD34" t="s">
        <v>166</v>
      </c>
      <c r="BE34" t="s">
        <v>166</v>
      </c>
      <c r="BF34" t="s">
        <v>166</v>
      </c>
      <c r="BG34" s="151" t="s">
        <v>191</v>
      </c>
      <c r="BH34" s="149" t="s">
        <v>192</v>
      </c>
      <c r="BI34" t="s">
        <v>166</v>
      </c>
      <c r="BJ34" s="152" t="s">
        <v>166</v>
      </c>
      <c r="BK34" t="s">
        <v>277</v>
      </c>
      <c r="BL34" t="s">
        <v>194</v>
      </c>
      <c r="BM34" t="s">
        <v>195</v>
      </c>
      <c r="BN34" t="s">
        <v>166</v>
      </c>
      <c r="BO34" t="s">
        <v>166</v>
      </c>
      <c r="BP34" t="s">
        <v>166</v>
      </c>
      <c r="BQ34" s="150">
        <v>14.997579318003829</v>
      </c>
      <c r="BR34" t="s">
        <v>196</v>
      </c>
      <c r="BS34" s="150">
        <v>0.23834327547878509</v>
      </c>
      <c r="BT34">
        <v>1</v>
      </c>
      <c r="BU34" t="s">
        <v>197</v>
      </c>
      <c r="BV34" t="s">
        <v>166</v>
      </c>
      <c r="BW34">
        <v>0</v>
      </c>
      <c r="BX34" t="s">
        <v>197</v>
      </c>
      <c r="BY34" t="s">
        <v>166</v>
      </c>
      <c r="BZ34" t="s">
        <v>198</v>
      </c>
      <c r="CA34" t="s">
        <v>166</v>
      </c>
      <c r="CB34" s="150">
        <v>14.997579318003829</v>
      </c>
      <c r="CC34" t="s">
        <v>196</v>
      </c>
      <c r="CD34" s="150">
        <v>0.23834327547878509</v>
      </c>
      <c r="CE34" t="s">
        <v>199</v>
      </c>
      <c r="CF34" t="s">
        <v>166</v>
      </c>
      <c r="CG34" t="s">
        <v>200</v>
      </c>
      <c r="CH34" t="s">
        <v>166</v>
      </c>
      <c r="CI34" t="s">
        <v>166</v>
      </c>
      <c r="CJ34" s="139">
        <v>35.836110601654262</v>
      </c>
      <c r="CK34" t="s">
        <v>201</v>
      </c>
      <c r="CL34">
        <v>2</v>
      </c>
      <c r="CM34">
        <v>2</v>
      </c>
      <c r="CN34" t="s">
        <v>166</v>
      </c>
      <c r="CO34" s="139">
        <v>4.0999999999999996</v>
      </c>
      <c r="CP34" t="s">
        <v>166</v>
      </c>
      <c r="CQ34" t="s">
        <v>166</v>
      </c>
      <c r="CR34" t="s">
        <v>166</v>
      </c>
      <c r="CS34" s="153" t="s">
        <v>202</v>
      </c>
      <c r="CT34" t="s">
        <v>203</v>
      </c>
      <c r="CU34">
        <v>2.2000000000000002</v>
      </c>
      <c r="CV34" t="s">
        <v>204</v>
      </c>
      <c r="CW34" t="s">
        <v>166</v>
      </c>
      <c r="CX34" t="s">
        <v>166</v>
      </c>
      <c r="CY34" t="s">
        <v>166</v>
      </c>
      <c r="CZ34" t="s">
        <v>166</v>
      </c>
      <c r="DA34" s="154" t="s">
        <v>166</v>
      </c>
      <c r="DB34" t="s">
        <v>166</v>
      </c>
      <c r="DC34" t="s">
        <v>166</v>
      </c>
      <c r="DD34" t="s">
        <v>166</v>
      </c>
      <c r="DE34" t="s">
        <v>166</v>
      </c>
      <c r="DF34" t="s">
        <v>205</v>
      </c>
      <c r="DG34">
        <v>35</v>
      </c>
      <c r="DH34" t="s">
        <v>201</v>
      </c>
      <c r="DI34">
        <v>1</v>
      </c>
      <c r="DJ34" t="s">
        <v>206</v>
      </c>
      <c r="DK34">
        <v>17</v>
      </c>
      <c r="DL34" t="s">
        <v>166</v>
      </c>
      <c r="DM34" t="s">
        <v>166</v>
      </c>
      <c r="DN34" t="s">
        <v>207</v>
      </c>
      <c r="DO34">
        <v>38</v>
      </c>
      <c r="DP34" t="s">
        <v>208</v>
      </c>
      <c r="DQ34">
        <v>3</v>
      </c>
      <c r="DR34" t="s">
        <v>209</v>
      </c>
      <c r="DS34" t="s">
        <v>166</v>
      </c>
      <c r="DT34" t="s">
        <v>166</v>
      </c>
      <c r="DU34" t="s">
        <v>166</v>
      </c>
      <c r="DV34" t="s">
        <v>166</v>
      </c>
      <c r="DW34">
        <v>432.6</v>
      </c>
      <c r="DX34" t="s">
        <v>166</v>
      </c>
      <c r="DY34" t="s">
        <v>166</v>
      </c>
      <c r="DZ34" t="s">
        <v>210</v>
      </c>
      <c r="EA34" t="s">
        <v>211</v>
      </c>
      <c r="EB34" t="s">
        <v>212</v>
      </c>
      <c r="EC34" t="s">
        <v>166</v>
      </c>
      <c r="ED34" t="s">
        <v>213</v>
      </c>
      <c r="EE34" s="155" t="s">
        <v>214</v>
      </c>
      <c r="EF34" s="155" t="s">
        <v>214</v>
      </c>
      <c r="EG34">
        <v>1.0271999999999999</v>
      </c>
      <c r="EH34" t="s">
        <v>215</v>
      </c>
      <c r="EI34" t="s">
        <v>215</v>
      </c>
      <c r="EJ34" t="s">
        <v>216</v>
      </c>
      <c r="EK34" t="s">
        <v>215</v>
      </c>
      <c r="EL34" t="s">
        <v>215</v>
      </c>
      <c r="EM34" t="s">
        <v>217</v>
      </c>
      <c r="EN34" s="156" t="s">
        <v>214</v>
      </c>
      <c r="EO34" s="156" t="s">
        <v>214</v>
      </c>
      <c r="EP34" s="156" t="s">
        <v>214</v>
      </c>
      <c r="EQ34" s="156" t="s">
        <v>214</v>
      </c>
      <c r="ET34" t="s">
        <v>218</v>
      </c>
      <c r="EU34" t="s">
        <v>219</v>
      </c>
      <c r="EV34" t="s">
        <v>213</v>
      </c>
      <c r="EW34" t="s">
        <v>166</v>
      </c>
      <c r="EX34" t="s">
        <v>166</v>
      </c>
      <c r="EY34" t="s">
        <v>166</v>
      </c>
      <c r="EZ34" t="s">
        <v>166</v>
      </c>
      <c r="FA34" s="157">
        <v>6.5</v>
      </c>
      <c r="FB34" t="s">
        <v>220</v>
      </c>
      <c r="FC34" s="157">
        <v>1</v>
      </c>
      <c r="FD34" s="157">
        <v>1</v>
      </c>
      <c r="FE34" s="150">
        <v>7.7146702661602298</v>
      </c>
      <c r="FF34" t="s">
        <v>221</v>
      </c>
      <c r="FG34" s="150">
        <v>3.5525139209459766E-2</v>
      </c>
      <c r="FH34" s="150">
        <v>3.4417625808900176E-2</v>
      </c>
      <c r="FI34" s="144">
        <v>966.73149516740398</v>
      </c>
      <c r="FJ34" t="s">
        <v>166</v>
      </c>
      <c r="FK34" t="s">
        <v>166</v>
      </c>
      <c r="FL34" s="144">
        <f t="shared" si="2"/>
        <v>966.73149516740398</v>
      </c>
      <c r="FM34" s="144">
        <v>219.37597689161601</v>
      </c>
      <c r="FN34" s="144">
        <v>165.52799855345199</v>
      </c>
      <c r="FO34" t="s">
        <v>222</v>
      </c>
      <c r="FP34" t="s">
        <v>223</v>
      </c>
      <c r="FQ34" s="144" t="s">
        <v>166</v>
      </c>
      <c r="FR34" s="144" t="s">
        <v>166</v>
      </c>
      <c r="FS34" s="144" t="s">
        <v>166</v>
      </c>
      <c r="FT34" s="144" t="s">
        <v>166</v>
      </c>
      <c r="FU34" s="144" t="s">
        <v>166</v>
      </c>
      <c r="FV34" s="144" t="s">
        <v>166</v>
      </c>
      <c r="FW34" s="144" t="s">
        <v>166</v>
      </c>
      <c r="FX34" s="144" t="s">
        <v>166</v>
      </c>
      <c r="FY34" s="144" t="s">
        <v>166</v>
      </c>
      <c r="FZ34" s="144" t="s">
        <v>166</v>
      </c>
      <c r="GA34" s="144" t="s">
        <v>166</v>
      </c>
      <c r="GB34" s="144" t="s">
        <v>166</v>
      </c>
      <c r="GC34" s="158" t="s">
        <v>224</v>
      </c>
    </row>
    <row r="35" spans="1:185" ht="17">
      <c r="A35" s="140" t="s">
        <v>162</v>
      </c>
      <c r="B35" s="143" t="s">
        <v>163</v>
      </c>
      <c r="C35" s="140" t="s">
        <v>164</v>
      </c>
      <c r="D35" s="140" t="s">
        <v>165</v>
      </c>
      <c r="E35" s="140">
        <v>2020</v>
      </c>
      <c r="F35" t="s">
        <v>184</v>
      </c>
      <c r="G35" s="139">
        <v>40917.799265219641</v>
      </c>
      <c r="H35" s="147">
        <f t="shared" ref="H35" si="32">0.0083*G35^(0.9482)</f>
        <v>195.92655593581077</v>
      </c>
      <c r="I35" s="147">
        <f t="shared" si="1"/>
        <v>195.92655593581077</v>
      </c>
      <c r="J35" s="144">
        <v>864.55422921072704</v>
      </c>
      <c r="K35" s="144">
        <v>177.07837518721294</v>
      </c>
      <c r="L35" s="144">
        <v>143.34810854949399</v>
      </c>
      <c r="M35" s="140" t="b">
        <v>1</v>
      </c>
      <c r="N35" s="140">
        <v>1</v>
      </c>
      <c r="O35" s="302" t="s">
        <v>581</v>
      </c>
      <c r="P35" s="140" t="s">
        <v>166</v>
      </c>
      <c r="Q35" s="140" t="s">
        <v>166</v>
      </c>
      <c r="R35" s="140" t="s">
        <v>166</v>
      </c>
      <c r="S35" s="140" t="b">
        <v>1</v>
      </c>
      <c r="T35" s="140" t="b">
        <v>0</v>
      </c>
      <c r="U35" s="140" t="s">
        <v>166</v>
      </c>
      <c r="V35" s="140" t="b">
        <v>0</v>
      </c>
      <c r="W35" s="140" t="b">
        <v>0</v>
      </c>
      <c r="X35" s="140" t="s">
        <v>580</v>
      </c>
      <c r="Y35" s="148" t="s">
        <v>186</v>
      </c>
      <c r="Z35" t="s">
        <v>184</v>
      </c>
      <c r="AA35" s="149">
        <v>865</v>
      </c>
      <c r="AB35" s="149" t="s">
        <v>233</v>
      </c>
      <c r="AC35" s="149">
        <v>5</v>
      </c>
      <c r="AD35" s="149">
        <v>4</v>
      </c>
      <c r="AE35">
        <v>6</v>
      </c>
      <c r="AF35">
        <v>12</v>
      </c>
      <c r="AG35" s="150">
        <v>41.56</v>
      </c>
      <c r="AH35" t="s">
        <v>166</v>
      </c>
      <c r="AI35" t="s">
        <v>166</v>
      </c>
      <c r="AJ35" t="s">
        <v>253</v>
      </c>
      <c r="AK35">
        <v>18.440300000000001</v>
      </c>
      <c r="AL35">
        <v>-179.5558</v>
      </c>
      <c r="AM35" s="163">
        <v>11.374717712402344</v>
      </c>
      <c r="AN35" t="s">
        <v>166</v>
      </c>
      <c r="AO35">
        <v>-1530</v>
      </c>
      <c r="AP35">
        <v>-1400</v>
      </c>
      <c r="AQ35" t="s">
        <v>254</v>
      </c>
      <c r="AR35" t="s">
        <v>166</v>
      </c>
      <c r="AS35" s="150">
        <v>40.917799265219642</v>
      </c>
      <c r="AT35" t="s">
        <v>166</v>
      </c>
      <c r="AU35" t="s">
        <v>166</v>
      </c>
      <c r="AV35" t="s">
        <v>166</v>
      </c>
      <c r="AW35" t="s">
        <v>255</v>
      </c>
      <c r="AX35" t="s">
        <v>256</v>
      </c>
      <c r="AY35" t="s">
        <v>166</v>
      </c>
      <c r="AZ35" t="s">
        <v>166</v>
      </c>
      <c r="BA35" t="s">
        <v>166</v>
      </c>
      <c r="BB35" t="s">
        <v>166</v>
      </c>
      <c r="BC35" t="s">
        <v>166</v>
      </c>
      <c r="BD35" t="s">
        <v>166</v>
      </c>
      <c r="BE35" t="s">
        <v>166</v>
      </c>
      <c r="BF35" t="s">
        <v>166</v>
      </c>
      <c r="BG35" s="151" t="s">
        <v>191</v>
      </c>
      <c r="BH35" s="149" t="s">
        <v>192</v>
      </c>
      <c r="BI35" t="s">
        <v>166</v>
      </c>
      <c r="BJ35" s="152" t="s">
        <v>166</v>
      </c>
      <c r="BK35" t="s">
        <v>278</v>
      </c>
      <c r="BL35" t="s">
        <v>194</v>
      </c>
      <c r="BM35" t="s">
        <v>195</v>
      </c>
      <c r="BN35" t="s">
        <v>166</v>
      </c>
      <c r="BO35" t="s">
        <v>166</v>
      </c>
      <c r="BP35" t="s">
        <v>166</v>
      </c>
      <c r="BQ35" s="150">
        <v>15.167793411684505</v>
      </c>
      <c r="BR35" t="s">
        <v>196</v>
      </c>
      <c r="BS35" s="150">
        <v>0.25152208548095878</v>
      </c>
      <c r="BT35">
        <v>1</v>
      </c>
      <c r="BU35" t="s">
        <v>197</v>
      </c>
      <c r="BV35" t="s">
        <v>166</v>
      </c>
      <c r="BW35">
        <v>0</v>
      </c>
      <c r="BX35" t="s">
        <v>197</v>
      </c>
      <c r="BY35" t="s">
        <v>166</v>
      </c>
      <c r="BZ35" t="s">
        <v>198</v>
      </c>
      <c r="CA35" t="s">
        <v>166</v>
      </c>
      <c r="CB35" s="150">
        <v>15.167793411684505</v>
      </c>
      <c r="CC35" t="s">
        <v>196</v>
      </c>
      <c r="CD35" s="150">
        <v>0.25152208548095878</v>
      </c>
      <c r="CE35" t="s">
        <v>199</v>
      </c>
      <c r="CF35" t="s">
        <v>166</v>
      </c>
      <c r="CG35" t="s">
        <v>200</v>
      </c>
      <c r="CH35" t="s">
        <v>166</v>
      </c>
      <c r="CI35" t="s">
        <v>166</v>
      </c>
      <c r="CJ35" s="139">
        <v>34.487982239970883</v>
      </c>
      <c r="CK35" t="s">
        <v>201</v>
      </c>
      <c r="CL35">
        <v>2</v>
      </c>
      <c r="CM35">
        <v>2</v>
      </c>
      <c r="CN35" t="s">
        <v>166</v>
      </c>
      <c r="CO35" s="139">
        <v>3.8</v>
      </c>
      <c r="CP35" t="s">
        <v>166</v>
      </c>
      <c r="CQ35" t="s">
        <v>166</v>
      </c>
      <c r="CR35" t="s">
        <v>166</v>
      </c>
      <c r="CS35" s="153" t="s">
        <v>202</v>
      </c>
      <c r="CT35" t="s">
        <v>203</v>
      </c>
      <c r="CU35">
        <v>2.2000000000000002</v>
      </c>
      <c r="CV35" t="s">
        <v>204</v>
      </c>
      <c r="CW35" t="s">
        <v>166</v>
      </c>
      <c r="CX35" t="s">
        <v>166</v>
      </c>
      <c r="CY35" t="s">
        <v>166</v>
      </c>
      <c r="CZ35" t="s">
        <v>166</v>
      </c>
      <c r="DA35" s="154" t="s">
        <v>166</v>
      </c>
      <c r="DB35" t="s">
        <v>166</v>
      </c>
      <c r="DC35" t="s">
        <v>166</v>
      </c>
      <c r="DD35" t="s">
        <v>166</v>
      </c>
      <c r="DE35" t="s">
        <v>166</v>
      </c>
      <c r="DF35" t="s">
        <v>205</v>
      </c>
      <c r="DG35">
        <v>35</v>
      </c>
      <c r="DH35" t="s">
        <v>201</v>
      </c>
      <c r="DI35">
        <v>1</v>
      </c>
      <c r="DJ35" t="s">
        <v>206</v>
      </c>
      <c r="DK35">
        <v>17</v>
      </c>
      <c r="DL35" t="s">
        <v>166</v>
      </c>
      <c r="DM35" t="s">
        <v>166</v>
      </c>
      <c r="DN35" t="s">
        <v>207</v>
      </c>
      <c r="DO35">
        <v>38</v>
      </c>
      <c r="DP35" t="s">
        <v>208</v>
      </c>
      <c r="DQ35">
        <v>3</v>
      </c>
      <c r="DR35" t="s">
        <v>209</v>
      </c>
      <c r="DS35" t="s">
        <v>166</v>
      </c>
      <c r="DT35" t="s">
        <v>166</v>
      </c>
      <c r="DU35" t="s">
        <v>166</v>
      </c>
      <c r="DV35" t="s">
        <v>166</v>
      </c>
      <c r="DW35">
        <v>432.6</v>
      </c>
      <c r="DX35" t="s">
        <v>166</v>
      </c>
      <c r="DY35" t="s">
        <v>166</v>
      </c>
      <c r="DZ35" t="s">
        <v>210</v>
      </c>
      <c r="EA35" t="s">
        <v>211</v>
      </c>
      <c r="EB35" t="s">
        <v>212</v>
      </c>
      <c r="EC35" t="s">
        <v>166</v>
      </c>
      <c r="ED35" t="s">
        <v>213</v>
      </c>
      <c r="EE35" s="155" t="s">
        <v>214</v>
      </c>
      <c r="EF35" s="155" t="s">
        <v>214</v>
      </c>
      <c r="EG35">
        <v>1.0271999999999999</v>
      </c>
      <c r="EH35" t="s">
        <v>215</v>
      </c>
      <c r="EI35" t="s">
        <v>215</v>
      </c>
      <c r="EJ35" t="s">
        <v>216</v>
      </c>
      <c r="EK35" t="s">
        <v>215</v>
      </c>
      <c r="EL35" t="s">
        <v>215</v>
      </c>
      <c r="EM35" t="s">
        <v>217</v>
      </c>
      <c r="EN35" s="156" t="s">
        <v>214</v>
      </c>
      <c r="EO35" s="156" t="s">
        <v>214</v>
      </c>
      <c r="EP35" s="156" t="s">
        <v>214</v>
      </c>
      <c r="EQ35" s="156" t="s">
        <v>214</v>
      </c>
      <c r="ET35" t="s">
        <v>218</v>
      </c>
      <c r="EU35" t="s">
        <v>219</v>
      </c>
      <c r="EV35" t="s">
        <v>213</v>
      </c>
      <c r="EW35" t="s">
        <v>166</v>
      </c>
      <c r="EX35" t="s">
        <v>166</v>
      </c>
      <c r="EY35" t="s">
        <v>166</v>
      </c>
      <c r="EZ35" t="s">
        <v>166</v>
      </c>
      <c r="FA35" s="157">
        <v>6.5</v>
      </c>
      <c r="FB35" t="s">
        <v>220</v>
      </c>
      <c r="FC35" s="157">
        <v>1</v>
      </c>
      <c r="FD35" s="157">
        <v>1</v>
      </c>
      <c r="FE35" s="150">
        <v>7.7484117719879197</v>
      </c>
      <c r="FF35" t="s">
        <v>221</v>
      </c>
      <c r="FG35" s="150">
        <v>3.4904400723469564E-2</v>
      </c>
      <c r="FH35" s="150">
        <v>3.5175609203780489E-2</v>
      </c>
      <c r="FI35" s="144">
        <v>864.55422921072704</v>
      </c>
      <c r="FJ35" t="s">
        <v>166</v>
      </c>
      <c r="FK35" t="s">
        <v>166</v>
      </c>
      <c r="FL35" s="144">
        <f t="shared" si="2"/>
        <v>864.55422921072704</v>
      </c>
      <c r="FM35" s="144">
        <v>177.07837518721294</v>
      </c>
      <c r="FN35" s="144">
        <v>143.34810854949399</v>
      </c>
      <c r="FO35" t="s">
        <v>222</v>
      </c>
      <c r="FP35" t="s">
        <v>223</v>
      </c>
      <c r="FQ35" s="144" t="s">
        <v>166</v>
      </c>
      <c r="FR35" s="144" t="s">
        <v>166</v>
      </c>
      <c r="FS35" s="144" t="s">
        <v>166</v>
      </c>
      <c r="FT35" s="144" t="s">
        <v>166</v>
      </c>
      <c r="FU35" s="144" t="s">
        <v>166</v>
      </c>
      <c r="FV35" s="144" t="s">
        <v>166</v>
      </c>
      <c r="FW35" s="144" t="s">
        <v>166</v>
      </c>
      <c r="FX35" s="144" t="s">
        <v>166</v>
      </c>
      <c r="FY35" s="144" t="s">
        <v>166</v>
      </c>
      <c r="FZ35" s="144" t="s">
        <v>166</v>
      </c>
      <c r="GA35" s="144" t="s">
        <v>166</v>
      </c>
      <c r="GB35" s="144" t="s">
        <v>166</v>
      </c>
      <c r="GC35" s="158" t="s">
        <v>224</v>
      </c>
    </row>
    <row r="36" spans="1:185" ht="17">
      <c r="A36" s="140" t="s">
        <v>162</v>
      </c>
      <c r="B36" s="143" t="s">
        <v>163</v>
      </c>
      <c r="C36" s="140" t="s">
        <v>164</v>
      </c>
      <c r="D36" s="140" t="s">
        <v>165</v>
      </c>
      <c r="E36" s="140">
        <v>2020</v>
      </c>
      <c r="F36" t="s">
        <v>184</v>
      </c>
      <c r="G36" s="139">
        <v>41467.757567561472</v>
      </c>
      <c r="H36" s="147">
        <f t="shared" ref="H36" si="33">0.0083*G36^(0.9482)</f>
        <v>198.42264598837932</v>
      </c>
      <c r="I36" s="147">
        <f t="shared" si="1"/>
        <v>198.42264598837932</v>
      </c>
      <c r="J36" s="144">
        <v>963.43918405232193</v>
      </c>
      <c r="K36" s="144">
        <v>195.68922164718811</v>
      </c>
      <c r="L36" s="144">
        <v>180.5151065513179</v>
      </c>
      <c r="M36" s="140" t="b">
        <v>1</v>
      </c>
      <c r="N36" s="140">
        <v>1</v>
      </c>
      <c r="O36" s="302" t="s">
        <v>581</v>
      </c>
      <c r="P36" s="140" t="s">
        <v>166</v>
      </c>
      <c r="Q36" s="140" t="s">
        <v>166</v>
      </c>
      <c r="R36" s="140" t="s">
        <v>166</v>
      </c>
      <c r="S36" s="140" t="b">
        <v>1</v>
      </c>
      <c r="T36" s="140" t="b">
        <v>0</v>
      </c>
      <c r="U36" s="140" t="s">
        <v>166</v>
      </c>
      <c r="V36" s="140" t="b">
        <v>0</v>
      </c>
      <c r="W36" s="140" t="b">
        <v>0</v>
      </c>
      <c r="X36" s="140" t="s">
        <v>580</v>
      </c>
      <c r="Y36" s="148" t="s">
        <v>186</v>
      </c>
      <c r="Z36" t="s">
        <v>184</v>
      </c>
      <c r="AA36" s="149">
        <v>865</v>
      </c>
      <c r="AB36" s="149" t="s">
        <v>233</v>
      </c>
      <c r="AC36" s="149">
        <v>5</v>
      </c>
      <c r="AD36" s="149">
        <v>6</v>
      </c>
      <c r="AE36">
        <v>0</v>
      </c>
      <c r="AF36">
        <v>10</v>
      </c>
      <c r="AG36" s="150">
        <v>44</v>
      </c>
      <c r="AH36" t="s">
        <v>166</v>
      </c>
      <c r="AI36" t="s">
        <v>166</v>
      </c>
      <c r="AJ36" t="s">
        <v>253</v>
      </c>
      <c r="AK36">
        <v>18.440300000000001</v>
      </c>
      <c r="AL36">
        <v>-179.5558</v>
      </c>
      <c r="AM36" s="163">
        <v>11.417391777038574</v>
      </c>
      <c r="AN36" t="s">
        <v>166</v>
      </c>
      <c r="AO36">
        <v>-1530</v>
      </c>
      <c r="AP36">
        <v>-1400</v>
      </c>
      <c r="AQ36" t="s">
        <v>254</v>
      </c>
      <c r="AR36" t="s">
        <v>166</v>
      </c>
      <c r="AS36" s="150">
        <v>41.46775756756147</v>
      </c>
      <c r="AT36" t="s">
        <v>166</v>
      </c>
      <c r="AU36" t="s">
        <v>166</v>
      </c>
      <c r="AV36" t="s">
        <v>166</v>
      </c>
      <c r="AW36" t="s">
        <v>255</v>
      </c>
      <c r="AX36" t="s">
        <v>256</v>
      </c>
      <c r="AY36" t="s">
        <v>166</v>
      </c>
      <c r="AZ36" t="s">
        <v>166</v>
      </c>
      <c r="BA36" t="s">
        <v>166</v>
      </c>
      <c r="BB36" t="s">
        <v>166</v>
      </c>
      <c r="BC36" t="s">
        <v>166</v>
      </c>
      <c r="BD36" t="s">
        <v>166</v>
      </c>
      <c r="BE36" t="s">
        <v>166</v>
      </c>
      <c r="BF36" t="s">
        <v>166</v>
      </c>
      <c r="BG36" s="151" t="s">
        <v>191</v>
      </c>
      <c r="BH36" s="149" t="s">
        <v>192</v>
      </c>
      <c r="BI36" t="s">
        <v>166</v>
      </c>
      <c r="BJ36" s="152" t="s">
        <v>166</v>
      </c>
      <c r="BK36" t="s">
        <v>279</v>
      </c>
      <c r="BL36" t="s">
        <v>194</v>
      </c>
      <c r="BM36" t="s">
        <v>195</v>
      </c>
      <c r="BN36" t="s">
        <v>166</v>
      </c>
      <c r="BO36" t="s">
        <v>166</v>
      </c>
      <c r="BP36" t="s">
        <v>166</v>
      </c>
      <c r="BQ36" s="150">
        <v>15.005666220469948</v>
      </c>
      <c r="BR36" t="s">
        <v>196</v>
      </c>
      <c r="BS36" s="150">
        <v>0.2845878353299936</v>
      </c>
      <c r="BT36">
        <v>1</v>
      </c>
      <c r="BU36" t="s">
        <v>197</v>
      </c>
      <c r="BV36" t="s">
        <v>166</v>
      </c>
      <c r="BW36">
        <v>0</v>
      </c>
      <c r="BX36" t="s">
        <v>197</v>
      </c>
      <c r="BY36" t="s">
        <v>166</v>
      </c>
      <c r="BZ36" t="s">
        <v>198</v>
      </c>
      <c r="CA36" t="s">
        <v>166</v>
      </c>
      <c r="CB36" s="150">
        <v>15.005666220469948</v>
      </c>
      <c r="CC36" t="s">
        <v>196</v>
      </c>
      <c r="CD36" s="150">
        <v>0.2845878353299936</v>
      </c>
      <c r="CE36" t="s">
        <v>199</v>
      </c>
      <c r="CF36" t="s">
        <v>166</v>
      </c>
      <c r="CG36" t="s">
        <v>200</v>
      </c>
      <c r="CH36" t="s">
        <v>166</v>
      </c>
      <c r="CI36" t="s">
        <v>166</v>
      </c>
      <c r="CJ36" s="139">
        <v>34.948834670658208</v>
      </c>
      <c r="CK36" t="s">
        <v>201</v>
      </c>
      <c r="CL36">
        <v>2</v>
      </c>
      <c r="CM36">
        <v>2</v>
      </c>
      <c r="CN36" t="s">
        <v>166</v>
      </c>
      <c r="CO36" s="139">
        <v>3.9</v>
      </c>
      <c r="CP36" t="s">
        <v>166</v>
      </c>
      <c r="CQ36" t="s">
        <v>166</v>
      </c>
      <c r="CR36" t="s">
        <v>166</v>
      </c>
      <c r="CS36" s="153" t="s">
        <v>202</v>
      </c>
      <c r="CT36" t="s">
        <v>203</v>
      </c>
      <c r="CU36">
        <v>2.2000000000000002</v>
      </c>
      <c r="CV36" t="s">
        <v>204</v>
      </c>
      <c r="CW36" t="s">
        <v>166</v>
      </c>
      <c r="CX36" t="s">
        <v>166</v>
      </c>
      <c r="CY36" t="s">
        <v>166</v>
      </c>
      <c r="CZ36" t="s">
        <v>166</v>
      </c>
      <c r="DA36" s="154" t="s">
        <v>166</v>
      </c>
      <c r="DB36" t="s">
        <v>166</v>
      </c>
      <c r="DC36" t="s">
        <v>166</v>
      </c>
      <c r="DD36" t="s">
        <v>166</v>
      </c>
      <c r="DE36" t="s">
        <v>166</v>
      </c>
      <c r="DF36" t="s">
        <v>205</v>
      </c>
      <c r="DG36">
        <v>35</v>
      </c>
      <c r="DH36" t="s">
        <v>201</v>
      </c>
      <c r="DI36">
        <v>1</v>
      </c>
      <c r="DJ36" t="s">
        <v>206</v>
      </c>
      <c r="DK36">
        <v>17</v>
      </c>
      <c r="DL36" t="s">
        <v>166</v>
      </c>
      <c r="DM36" t="s">
        <v>166</v>
      </c>
      <c r="DN36" t="s">
        <v>207</v>
      </c>
      <c r="DO36">
        <v>38</v>
      </c>
      <c r="DP36" t="s">
        <v>208</v>
      </c>
      <c r="DQ36">
        <v>3</v>
      </c>
      <c r="DR36" t="s">
        <v>209</v>
      </c>
      <c r="DS36" t="s">
        <v>166</v>
      </c>
      <c r="DT36" t="s">
        <v>166</v>
      </c>
      <c r="DU36" t="s">
        <v>166</v>
      </c>
      <c r="DV36" t="s">
        <v>166</v>
      </c>
      <c r="DW36">
        <v>432.6</v>
      </c>
      <c r="DX36" t="s">
        <v>166</v>
      </c>
      <c r="DY36" t="s">
        <v>166</v>
      </c>
      <c r="DZ36" t="s">
        <v>210</v>
      </c>
      <c r="EA36" t="s">
        <v>211</v>
      </c>
      <c r="EB36" t="s">
        <v>212</v>
      </c>
      <c r="EC36" t="s">
        <v>166</v>
      </c>
      <c r="ED36" t="s">
        <v>213</v>
      </c>
      <c r="EE36" s="155" t="s">
        <v>214</v>
      </c>
      <c r="EF36" s="155" t="s">
        <v>214</v>
      </c>
      <c r="EG36">
        <v>1.0271999999999999</v>
      </c>
      <c r="EH36" t="s">
        <v>215</v>
      </c>
      <c r="EI36" t="s">
        <v>215</v>
      </c>
      <c r="EJ36" t="s">
        <v>216</v>
      </c>
      <c r="EK36" t="s">
        <v>215</v>
      </c>
      <c r="EL36" t="s">
        <v>215</v>
      </c>
      <c r="EM36" t="s">
        <v>217</v>
      </c>
      <c r="EN36" s="156" t="s">
        <v>214</v>
      </c>
      <c r="EO36" s="156" t="s">
        <v>214</v>
      </c>
      <c r="EP36" s="156" t="s">
        <v>214</v>
      </c>
      <c r="EQ36" s="156" t="s">
        <v>214</v>
      </c>
      <c r="ET36" t="s">
        <v>218</v>
      </c>
      <c r="EU36" t="s">
        <v>219</v>
      </c>
      <c r="EV36" t="s">
        <v>213</v>
      </c>
      <c r="EW36" t="s">
        <v>166</v>
      </c>
      <c r="EX36" t="s">
        <v>166</v>
      </c>
      <c r="EY36" t="s">
        <v>166</v>
      </c>
      <c r="EZ36" t="s">
        <v>166</v>
      </c>
      <c r="FA36" s="157">
        <v>6.5</v>
      </c>
      <c r="FB36" t="s">
        <v>220</v>
      </c>
      <c r="FC36" s="157">
        <v>1</v>
      </c>
      <c r="FD36" s="157">
        <v>1</v>
      </c>
      <c r="FE36" s="150">
        <v>7.72187972284331</v>
      </c>
      <c r="FF36" t="s">
        <v>221</v>
      </c>
      <c r="FG36" s="150">
        <v>3.7217372354150235E-2</v>
      </c>
      <c r="FH36" s="150">
        <v>3.92645235575797E-2</v>
      </c>
      <c r="FI36" s="144">
        <v>963.43918405232193</v>
      </c>
      <c r="FJ36" t="s">
        <v>166</v>
      </c>
      <c r="FK36" t="s">
        <v>166</v>
      </c>
      <c r="FL36" s="144">
        <f t="shared" si="2"/>
        <v>963.43918405232193</v>
      </c>
      <c r="FM36" s="144">
        <v>195.68922164718811</v>
      </c>
      <c r="FN36" s="144">
        <v>180.5151065513179</v>
      </c>
      <c r="FO36" t="s">
        <v>222</v>
      </c>
      <c r="FP36" t="s">
        <v>223</v>
      </c>
      <c r="FQ36" s="144" t="s">
        <v>166</v>
      </c>
      <c r="FR36" s="144" t="s">
        <v>166</v>
      </c>
      <c r="FS36" s="144" t="s">
        <v>166</v>
      </c>
      <c r="FT36" s="144" t="s">
        <v>166</v>
      </c>
      <c r="FU36" s="144" t="s">
        <v>166</v>
      </c>
      <c r="FV36" s="144" t="s">
        <v>166</v>
      </c>
      <c r="FW36" s="144" t="s">
        <v>166</v>
      </c>
      <c r="FX36" s="144" t="s">
        <v>166</v>
      </c>
      <c r="FY36" s="144" t="s">
        <v>166</v>
      </c>
      <c r="FZ36" s="144" t="s">
        <v>166</v>
      </c>
      <c r="GA36" s="144" t="s">
        <v>166</v>
      </c>
      <c r="GB36" s="144" t="s">
        <v>166</v>
      </c>
      <c r="GC36" s="158" t="s">
        <v>224</v>
      </c>
    </row>
    <row r="37" spans="1:185" ht="17">
      <c r="A37" s="140" t="s">
        <v>162</v>
      </c>
      <c r="B37" s="143" t="s">
        <v>163</v>
      </c>
      <c r="C37" s="140" t="s">
        <v>164</v>
      </c>
      <c r="D37" s="140" t="s">
        <v>165</v>
      </c>
      <c r="E37" s="140">
        <v>2020</v>
      </c>
      <c r="F37" t="s">
        <v>184</v>
      </c>
      <c r="G37" s="139">
        <v>42387.359974756007</v>
      </c>
      <c r="H37" s="147">
        <f t="shared" ref="H37" si="34">0.0083*G37^(0.9482)</f>
        <v>202.59261799023395</v>
      </c>
      <c r="I37" s="147">
        <f t="shared" si="1"/>
        <v>202.59261799023395</v>
      </c>
      <c r="J37" s="144">
        <v>885.72793898355997</v>
      </c>
      <c r="K37" s="144">
        <v>185.39853541981995</v>
      </c>
      <c r="L37" s="144">
        <v>148.83866432537798</v>
      </c>
      <c r="M37" s="140" t="b">
        <v>1</v>
      </c>
      <c r="N37" s="140">
        <v>1</v>
      </c>
      <c r="O37" s="302" t="s">
        <v>581</v>
      </c>
      <c r="P37" s="140" t="s">
        <v>166</v>
      </c>
      <c r="Q37" s="140" t="s">
        <v>166</v>
      </c>
      <c r="R37" s="140" t="s">
        <v>166</v>
      </c>
      <c r="S37" s="140" t="b">
        <v>1</v>
      </c>
      <c r="T37" s="140" t="b">
        <v>0</v>
      </c>
      <c r="U37" s="140" t="s">
        <v>166</v>
      </c>
      <c r="V37" s="140" t="b">
        <v>0</v>
      </c>
      <c r="W37" s="140" t="b">
        <v>0</v>
      </c>
      <c r="X37" s="140" t="s">
        <v>580</v>
      </c>
      <c r="Y37" s="148" t="s">
        <v>186</v>
      </c>
      <c r="Z37" t="s">
        <v>184</v>
      </c>
      <c r="AA37" s="149">
        <v>865</v>
      </c>
      <c r="AB37" s="149" t="s">
        <v>233</v>
      </c>
      <c r="AC37" s="149">
        <v>6</v>
      </c>
      <c r="AD37" s="149">
        <v>2</v>
      </c>
      <c r="AE37">
        <v>8</v>
      </c>
      <c r="AF37">
        <v>16</v>
      </c>
      <c r="AG37" s="150">
        <v>48.08</v>
      </c>
      <c r="AH37" t="s">
        <v>166</v>
      </c>
      <c r="AI37" t="s">
        <v>166</v>
      </c>
      <c r="AJ37" t="s">
        <v>253</v>
      </c>
      <c r="AK37">
        <v>18.440300000000001</v>
      </c>
      <c r="AL37">
        <v>-179.5558</v>
      </c>
      <c r="AM37" s="163">
        <v>11.488749504089355</v>
      </c>
      <c r="AN37" t="s">
        <v>166</v>
      </c>
      <c r="AO37">
        <v>-1530</v>
      </c>
      <c r="AP37">
        <v>-1400</v>
      </c>
      <c r="AQ37" t="s">
        <v>254</v>
      </c>
      <c r="AR37" t="s">
        <v>166</v>
      </c>
      <c r="AS37" s="150">
        <v>42.387359974756009</v>
      </c>
      <c r="AT37" t="s">
        <v>166</v>
      </c>
      <c r="AU37" t="s">
        <v>166</v>
      </c>
      <c r="AV37" t="s">
        <v>166</v>
      </c>
      <c r="AW37" t="s">
        <v>255</v>
      </c>
      <c r="AX37" t="s">
        <v>256</v>
      </c>
      <c r="AY37" t="s">
        <v>166</v>
      </c>
      <c r="AZ37" t="s">
        <v>166</v>
      </c>
      <c r="BA37" t="s">
        <v>166</v>
      </c>
      <c r="BB37" t="s">
        <v>166</v>
      </c>
      <c r="BC37" t="s">
        <v>166</v>
      </c>
      <c r="BD37" t="s">
        <v>166</v>
      </c>
      <c r="BE37" t="s">
        <v>166</v>
      </c>
      <c r="BF37" t="s">
        <v>166</v>
      </c>
      <c r="BG37" s="151" t="s">
        <v>191</v>
      </c>
      <c r="BH37" s="149" t="s">
        <v>192</v>
      </c>
      <c r="BI37" t="s">
        <v>166</v>
      </c>
      <c r="BJ37" s="152" t="s">
        <v>166</v>
      </c>
      <c r="BK37" t="s">
        <v>280</v>
      </c>
      <c r="BL37" t="s">
        <v>194</v>
      </c>
      <c r="BM37" t="s">
        <v>195</v>
      </c>
      <c r="BN37" t="s">
        <v>166</v>
      </c>
      <c r="BO37" t="s">
        <v>166</v>
      </c>
      <c r="BP37" t="s">
        <v>166</v>
      </c>
      <c r="BQ37" s="150">
        <v>15.122844102607891</v>
      </c>
      <c r="BR37" t="s">
        <v>196</v>
      </c>
      <c r="BS37" s="150">
        <v>0.2398985537528793</v>
      </c>
      <c r="BT37">
        <v>1</v>
      </c>
      <c r="BU37" t="s">
        <v>197</v>
      </c>
      <c r="BV37" t="s">
        <v>166</v>
      </c>
      <c r="BW37">
        <v>0</v>
      </c>
      <c r="BX37" t="s">
        <v>197</v>
      </c>
      <c r="BY37" t="s">
        <v>166</v>
      </c>
      <c r="BZ37" t="s">
        <v>198</v>
      </c>
      <c r="CA37" t="s">
        <v>166</v>
      </c>
      <c r="CB37" s="150">
        <v>15.122844102607891</v>
      </c>
      <c r="CC37" t="s">
        <v>196</v>
      </c>
      <c r="CD37" s="150">
        <v>0.2398985537528793</v>
      </c>
      <c r="CE37" t="s">
        <v>199</v>
      </c>
      <c r="CF37" t="s">
        <v>166</v>
      </c>
      <c r="CG37" t="s">
        <v>200</v>
      </c>
      <c r="CH37" t="s">
        <v>166</v>
      </c>
      <c r="CI37" t="s">
        <v>166</v>
      </c>
      <c r="CJ37" s="139">
        <v>34.487982239970883</v>
      </c>
      <c r="CK37" t="s">
        <v>201</v>
      </c>
      <c r="CL37">
        <v>2</v>
      </c>
      <c r="CM37">
        <v>2</v>
      </c>
      <c r="CN37" t="s">
        <v>166</v>
      </c>
      <c r="CO37" s="139">
        <v>3.8</v>
      </c>
      <c r="CP37" t="s">
        <v>166</v>
      </c>
      <c r="CQ37" t="s">
        <v>166</v>
      </c>
      <c r="CR37" t="s">
        <v>166</v>
      </c>
      <c r="CS37" s="153" t="s">
        <v>202</v>
      </c>
      <c r="CT37" t="s">
        <v>203</v>
      </c>
      <c r="CU37">
        <v>2.2000000000000002</v>
      </c>
      <c r="CV37" t="s">
        <v>204</v>
      </c>
      <c r="CW37" t="s">
        <v>166</v>
      </c>
      <c r="CX37" t="s">
        <v>166</v>
      </c>
      <c r="CY37" t="s">
        <v>166</v>
      </c>
      <c r="CZ37" t="s">
        <v>166</v>
      </c>
      <c r="DA37" s="154" t="s">
        <v>166</v>
      </c>
      <c r="DB37" t="s">
        <v>166</v>
      </c>
      <c r="DC37" t="s">
        <v>166</v>
      </c>
      <c r="DD37" t="s">
        <v>166</v>
      </c>
      <c r="DE37" t="s">
        <v>166</v>
      </c>
      <c r="DF37" t="s">
        <v>205</v>
      </c>
      <c r="DG37">
        <v>35</v>
      </c>
      <c r="DH37" t="s">
        <v>201</v>
      </c>
      <c r="DI37">
        <v>1</v>
      </c>
      <c r="DJ37" t="s">
        <v>206</v>
      </c>
      <c r="DK37">
        <v>17</v>
      </c>
      <c r="DL37" t="s">
        <v>166</v>
      </c>
      <c r="DM37" t="s">
        <v>166</v>
      </c>
      <c r="DN37" t="s">
        <v>207</v>
      </c>
      <c r="DO37">
        <v>38</v>
      </c>
      <c r="DP37" t="s">
        <v>208</v>
      </c>
      <c r="DQ37">
        <v>3</v>
      </c>
      <c r="DR37" t="s">
        <v>209</v>
      </c>
      <c r="DS37" t="s">
        <v>166</v>
      </c>
      <c r="DT37" t="s">
        <v>166</v>
      </c>
      <c r="DU37" t="s">
        <v>166</v>
      </c>
      <c r="DV37" t="s">
        <v>166</v>
      </c>
      <c r="DW37">
        <v>432.6</v>
      </c>
      <c r="DX37" t="s">
        <v>166</v>
      </c>
      <c r="DY37" t="s">
        <v>166</v>
      </c>
      <c r="DZ37" t="s">
        <v>210</v>
      </c>
      <c r="EA37" t="s">
        <v>211</v>
      </c>
      <c r="EB37" t="s">
        <v>212</v>
      </c>
      <c r="EC37" t="s">
        <v>166</v>
      </c>
      <c r="ED37" t="s">
        <v>213</v>
      </c>
      <c r="EE37" s="155" t="s">
        <v>214</v>
      </c>
      <c r="EF37" s="155" t="s">
        <v>214</v>
      </c>
      <c r="EG37">
        <v>1.0271999999999999</v>
      </c>
      <c r="EH37" t="s">
        <v>215</v>
      </c>
      <c r="EI37" t="s">
        <v>215</v>
      </c>
      <c r="EJ37" t="s">
        <v>216</v>
      </c>
      <c r="EK37" t="s">
        <v>215</v>
      </c>
      <c r="EL37" t="s">
        <v>215</v>
      </c>
      <c r="EM37" t="s">
        <v>217</v>
      </c>
      <c r="EN37" s="156" t="s">
        <v>214</v>
      </c>
      <c r="EO37" s="156" t="s">
        <v>214</v>
      </c>
      <c r="EP37" s="156" t="s">
        <v>214</v>
      </c>
      <c r="EQ37" s="156" t="s">
        <v>214</v>
      </c>
      <c r="ET37" t="s">
        <v>218</v>
      </c>
      <c r="EU37" t="s">
        <v>219</v>
      </c>
      <c r="EV37" t="s">
        <v>213</v>
      </c>
      <c r="EW37" t="s">
        <v>166</v>
      </c>
      <c r="EX37" t="s">
        <v>166</v>
      </c>
      <c r="EY37" t="s">
        <v>166</v>
      </c>
      <c r="EZ37" t="s">
        <v>166</v>
      </c>
      <c r="FA37" s="157">
        <v>6.5</v>
      </c>
      <c r="FB37" t="s">
        <v>220</v>
      </c>
      <c r="FC37" s="157">
        <v>1</v>
      </c>
      <c r="FD37" s="157">
        <v>1</v>
      </c>
      <c r="FE37" s="150">
        <v>7.7444031478277999</v>
      </c>
      <c r="FF37" t="s">
        <v>221</v>
      </c>
      <c r="FG37" s="150">
        <v>3.6034272802510259E-2</v>
      </c>
      <c r="FH37" s="150">
        <v>3.3210676533459882E-2</v>
      </c>
      <c r="FI37" s="144">
        <v>885.72793898355997</v>
      </c>
      <c r="FJ37" t="s">
        <v>166</v>
      </c>
      <c r="FK37" t="s">
        <v>166</v>
      </c>
      <c r="FL37" s="144">
        <f t="shared" si="2"/>
        <v>885.72793898355997</v>
      </c>
      <c r="FM37" s="144">
        <v>185.39853541981995</v>
      </c>
      <c r="FN37" s="144">
        <v>148.83866432537798</v>
      </c>
      <c r="FO37" t="s">
        <v>222</v>
      </c>
      <c r="FP37" t="s">
        <v>223</v>
      </c>
      <c r="FQ37" s="144" t="s">
        <v>166</v>
      </c>
      <c r="FR37" s="144" t="s">
        <v>166</v>
      </c>
      <c r="FS37" s="144" t="s">
        <v>166</v>
      </c>
      <c r="FT37" s="144" t="s">
        <v>166</v>
      </c>
      <c r="FU37" s="144" t="s">
        <v>166</v>
      </c>
      <c r="FV37" s="144" t="s">
        <v>166</v>
      </c>
      <c r="FW37" s="144" t="s">
        <v>166</v>
      </c>
      <c r="FX37" s="144" t="s">
        <v>166</v>
      </c>
      <c r="FY37" s="144" t="s">
        <v>166</v>
      </c>
      <c r="FZ37" s="144" t="s">
        <v>166</v>
      </c>
      <c r="GA37" s="144" t="s">
        <v>166</v>
      </c>
      <c r="GB37" s="144" t="s">
        <v>166</v>
      </c>
      <c r="GC37" s="158" t="s">
        <v>224</v>
      </c>
    </row>
    <row r="38" spans="1:185" ht="17">
      <c r="A38" s="140" t="s">
        <v>162</v>
      </c>
      <c r="B38" s="143" t="s">
        <v>163</v>
      </c>
      <c r="C38" s="140" t="s">
        <v>164</v>
      </c>
      <c r="D38" s="140" t="s">
        <v>165</v>
      </c>
      <c r="E38" s="140">
        <v>2020</v>
      </c>
      <c r="F38" t="s">
        <v>184</v>
      </c>
      <c r="G38" s="139">
        <v>43068.046070277451</v>
      </c>
      <c r="H38" s="147">
        <f t="shared" ref="H38" si="35">0.0083*G38^(0.9482)</f>
        <v>205.67619229715345</v>
      </c>
      <c r="I38" s="147">
        <f t="shared" si="1"/>
        <v>205.67619229715345</v>
      </c>
      <c r="J38" s="144">
        <v>945.05197650413606</v>
      </c>
      <c r="K38" s="144">
        <v>199.58105623894403</v>
      </c>
      <c r="L38" s="144">
        <v>173.51594873080603</v>
      </c>
      <c r="M38" s="140" t="b">
        <v>1</v>
      </c>
      <c r="N38" s="140">
        <v>1</v>
      </c>
      <c r="O38" s="302" t="s">
        <v>581</v>
      </c>
      <c r="P38" s="140" t="s">
        <v>166</v>
      </c>
      <c r="Q38" s="140" t="s">
        <v>166</v>
      </c>
      <c r="R38" s="140" t="s">
        <v>166</v>
      </c>
      <c r="S38" s="140" t="b">
        <v>1</v>
      </c>
      <c r="T38" s="140" t="b">
        <v>0</v>
      </c>
      <c r="U38" s="140" t="s">
        <v>166</v>
      </c>
      <c r="V38" s="140" t="b">
        <v>0</v>
      </c>
      <c r="W38" s="140" t="b">
        <v>0</v>
      </c>
      <c r="X38" s="140" t="s">
        <v>580</v>
      </c>
      <c r="Y38" s="148" t="s">
        <v>186</v>
      </c>
      <c r="Z38" t="s">
        <v>184</v>
      </c>
      <c r="AA38" s="149">
        <v>865</v>
      </c>
      <c r="AB38" s="149" t="s">
        <v>233</v>
      </c>
      <c r="AC38" s="149">
        <v>6</v>
      </c>
      <c r="AD38" s="149">
        <v>4</v>
      </c>
      <c r="AE38">
        <v>10</v>
      </c>
      <c r="AF38">
        <v>17</v>
      </c>
      <c r="AG38" s="150">
        <v>51.1</v>
      </c>
      <c r="AH38" t="s">
        <v>166</v>
      </c>
      <c r="AI38" t="s">
        <v>166</v>
      </c>
      <c r="AJ38" t="s">
        <v>253</v>
      </c>
      <c r="AK38">
        <v>18.440300000000001</v>
      </c>
      <c r="AL38">
        <v>-179.5558</v>
      </c>
      <c r="AM38" s="163">
        <v>11.541567802429199</v>
      </c>
      <c r="AN38" t="s">
        <v>166</v>
      </c>
      <c r="AO38">
        <v>-1530</v>
      </c>
      <c r="AP38">
        <v>-1400</v>
      </c>
      <c r="AQ38" t="s">
        <v>254</v>
      </c>
      <c r="AR38" t="s">
        <v>166</v>
      </c>
      <c r="AS38" s="150">
        <v>43.068046070277454</v>
      </c>
      <c r="AT38" t="s">
        <v>166</v>
      </c>
      <c r="AU38" t="s">
        <v>166</v>
      </c>
      <c r="AV38" t="s">
        <v>166</v>
      </c>
      <c r="AW38" t="s">
        <v>255</v>
      </c>
      <c r="AX38" t="s">
        <v>256</v>
      </c>
      <c r="AY38" t="s">
        <v>166</v>
      </c>
      <c r="AZ38" t="s">
        <v>166</v>
      </c>
      <c r="BA38" t="s">
        <v>166</v>
      </c>
      <c r="BB38" t="s">
        <v>166</v>
      </c>
      <c r="BC38" t="s">
        <v>166</v>
      </c>
      <c r="BD38" t="s">
        <v>166</v>
      </c>
      <c r="BE38" t="s">
        <v>166</v>
      </c>
      <c r="BF38" t="s">
        <v>166</v>
      </c>
      <c r="BG38" s="151" t="s">
        <v>281</v>
      </c>
      <c r="BH38" s="149" t="s">
        <v>192</v>
      </c>
      <c r="BI38" t="s">
        <v>166</v>
      </c>
      <c r="BJ38" s="152" t="s">
        <v>166</v>
      </c>
      <c r="BK38" t="s">
        <v>282</v>
      </c>
      <c r="BL38" t="s">
        <v>194</v>
      </c>
      <c r="BM38" t="s">
        <v>195</v>
      </c>
      <c r="BN38" t="s">
        <v>166</v>
      </c>
      <c r="BO38" t="s">
        <v>166</v>
      </c>
      <c r="BP38" t="s">
        <v>166</v>
      </c>
      <c r="BQ38" s="150">
        <v>15.017208877700195</v>
      </c>
      <c r="BR38" t="s">
        <v>196</v>
      </c>
      <c r="BS38" s="150">
        <v>0.25209536041231939</v>
      </c>
      <c r="BT38">
        <v>1</v>
      </c>
      <c r="BU38" t="s">
        <v>197</v>
      </c>
      <c r="BV38" t="s">
        <v>166</v>
      </c>
      <c r="BW38">
        <v>0</v>
      </c>
      <c r="BX38" t="s">
        <v>197</v>
      </c>
      <c r="BY38" t="s">
        <v>166</v>
      </c>
      <c r="BZ38" t="s">
        <v>198</v>
      </c>
      <c r="CA38" t="s">
        <v>166</v>
      </c>
      <c r="CB38" s="150">
        <v>15.017208877700195</v>
      </c>
      <c r="CC38" t="s">
        <v>196</v>
      </c>
      <c r="CD38" s="150">
        <v>0.25209536041231939</v>
      </c>
      <c r="CE38" t="s">
        <v>199</v>
      </c>
      <c r="CF38" t="s">
        <v>166</v>
      </c>
      <c r="CG38" t="s">
        <v>200</v>
      </c>
      <c r="CH38" t="s">
        <v>166</v>
      </c>
      <c r="CI38" t="s">
        <v>166</v>
      </c>
      <c r="CJ38" s="139">
        <v>34.487982239970883</v>
      </c>
      <c r="CK38" t="s">
        <v>201</v>
      </c>
      <c r="CL38">
        <v>2</v>
      </c>
      <c r="CM38">
        <v>2</v>
      </c>
      <c r="CN38" t="s">
        <v>166</v>
      </c>
      <c r="CO38" s="139">
        <v>3.8</v>
      </c>
      <c r="CP38" t="s">
        <v>166</v>
      </c>
      <c r="CQ38" t="s">
        <v>166</v>
      </c>
      <c r="CR38" t="s">
        <v>166</v>
      </c>
      <c r="CS38" s="153" t="s">
        <v>202</v>
      </c>
      <c r="CT38" t="s">
        <v>203</v>
      </c>
      <c r="CU38">
        <v>2.2000000000000002</v>
      </c>
      <c r="CV38" t="s">
        <v>204</v>
      </c>
      <c r="CW38" t="s">
        <v>166</v>
      </c>
      <c r="CX38" t="s">
        <v>166</v>
      </c>
      <c r="CY38" t="s">
        <v>166</v>
      </c>
      <c r="CZ38" t="s">
        <v>166</v>
      </c>
      <c r="DA38" s="154" t="s">
        <v>166</v>
      </c>
      <c r="DB38" t="s">
        <v>166</v>
      </c>
      <c r="DC38" t="s">
        <v>166</v>
      </c>
      <c r="DD38" t="s">
        <v>166</v>
      </c>
      <c r="DE38" t="s">
        <v>166</v>
      </c>
      <c r="DF38" t="s">
        <v>205</v>
      </c>
      <c r="DG38">
        <v>35</v>
      </c>
      <c r="DH38" t="s">
        <v>201</v>
      </c>
      <c r="DI38">
        <v>1</v>
      </c>
      <c r="DJ38" t="s">
        <v>206</v>
      </c>
      <c r="DK38">
        <v>17</v>
      </c>
      <c r="DL38" t="s">
        <v>166</v>
      </c>
      <c r="DM38" t="s">
        <v>166</v>
      </c>
      <c r="DN38" t="s">
        <v>207</v>
      </c>
      <c r="DO38">
        <v>38</v>
      </c>
      <c r="DP38" t="s">
        <v>208</v>
      </c>
      <c r="DQ38">
        <v>3</v>
      </c>
      <c r="DR38" t="s">
        <v>209</v>
      </c>
      <c r="DS38" t="s">
        <v>166</v>
      </c>
      <c r="DT38" t="s">
        <v>166</v>
      </c>
      <c r="DU38" t="s">
        <v>166</v>
      </c>
      <c r="DV38" t="s">
        <v>166</v>
      </c>
      <c r="DW38">
        <v>432.6</v>
      </c>
      <c r="DX38" t="s">
        <v>166</v>
      </c>
      <c r="DY38" t="s">
        <v>166</v>
      </c>
      <c r="DZ38" t="s">
        <v>210</v>
      </c>
      <c r="EA38" t="s">
        <v>211</v>
      </c>
      <c r="EB38" t="s">
        <v>212</v>
      </c>
      <c r="EC38" t="s">
        <v>166</v>
      </c>
      <c r="ED38" t="s">
        <v>213</v>
      </c>
      <c r="EE38" s="155" t="s">
        <v>214</v>
      </c>
      <c r="EF38" s="155" t="s">
        <v>214</v>
      </c>
      <c r="EG38">
        <v>1.0271999999999999</v>
      </c>
      <c r="EH38" t="s">
        <v>215</v>
      </c>
      <c r="EI38" t="s">
        <v>215</v>
      </c>
      <c r="EJ38" t="s">
        <v>216</v>
      </c>
      <c r="EK38" t="s">
        <v>215</v>
      </c>
      <c r="EL38" t="s">
        <v>215</v>
      </c>
      <c r="EM38" t="s">
        <v>217</v>
      </c>
      <c r="EN38" s="156" t="s">
        <v>214</v>
      </c>
      <c r="EO38" s="156" t="s">
        <v>214</v>
      </c>
      <c r="EP38" s="156" t="s">
        <v>214</v>
      </c>
      <c r="EQ38" s="156" t="s">
        <v>214</v>
      </c>
      <c r="ET38" t="s">
        <v>218</v>
      </c>
      <c r="EU38" t="s">
        <v>219</v>
      </c>
      <c r="EV38" t="s">
        <v>213</v>
      </c>
      <c r="EW38" t="s">
        <v>166</v>
      </c>
      <c r="EX38" t="s">
        <v>166</v>
      </c>
      <c r="EY38" t="s">
        <v>166</v>
      </c>
      <c r="EZ38" t="s">
        <v>166</v>
      </c>
      <c r="FA38" s="157">
        <v>6.5</v>
      </c>
      <c r="FB38" t="s">
        <v>220</v>
      </c>
      <c r="FC38" s="157">
        <v>1</v>
      </c>
      <c r="FD38" s="157">
        <v>1</v>
      </c>
      <c r="FE38" s="150">
        <v>7.7302902516471201</v>
      </c>
      <c r="FF38" t="s">
        <v>221</v>
      </c>
      <c r="FG38" s="150">
        <v>3.5341403467350041E-2</v>
      </c>
      <c r="FH38" s="150">
        <v>3.6243842337800203E-2</v>
      </c>
      <c r="FI38" s="144">
        <v>945.05197650413606</v>
      </c>
      <c r="FJ38" t="s">
        <v>166</v>
      </c>
      <c r="FK38" t="s">
        <v>166</v>
      </c>
      <c r="FL38" s="144">
        <f t="shared" si="2"/>
        <v>945.05197650413606</v>
      </c>
      <c r="FM38" s="144">
        <v>199.58105623894403</v>
      </c>
      <c r="FN38" s="144">
        <v>173.51594873080603</v>
      </c>
      <c r="FO38" t="s">
        <v>222</v>
      </c>
      <c r="FP38" t="s">
        <v>223</v>
      </c>
      <c r="FQ38" s="144" t="s">
        <v>166</v>
      </c>
      <c r="FR38" s="144" t="s">
        <v>166</v>
      </c>
      <c r="FS38" s="144" t="s">
        <v>166</v>
      </c>
      <c r="FT38" s="144" t="s">
        <v>166</v>
      </c>
      <c r="FU38" s="144" t="s">
        <v>166</v>
      </c>
      <c r="FV38" s="144" t="s">
        <v>166</v>
      </c>
      <c r="FW38" s="144" t="s">
        <v>166</v>
      </c>
      <c r="FX38" s="144" t="s">
        <v>166</v>
      </c>
      <c r="FY38" s="144" t="s">
        <v>166</v>
      </c>
      <c r="FZ38" s="144" t="s">
        <v>166</v>
      </c>
      <c r="GA38" s="144" t="s">
        <v>166</v>
      </c>
      <c r="GB38" s="144" t="s">
        <v>166</v>
      </c>
      <c r="GC38" s="158" t="s">
        <v>224</v>
      </c>
    </row>
    <row r="39" spans="1:185" ht="17">
      <c r="A39" s="140" t="s">
        <v>162</v>
      </c>
      <c r="B39" s="143" t="s">
        <v>163</v>
      </c>
      <c r="C39" s="140" t="s">
        <v>164</v>
      </c>
      <c r="D39" s="140" t="s">
        <v>165</v>
      </c>
      <c r="E39" s="140">
        <v>2020</v>
      </c>
      <c r="F39" t="s">
        <v>184</v>
      </c>
      <c r="G39" s="139">
        <v>43068.046070277451</v>
      </c>
      <c r="H39" s="147">
        <f t="shared" ref="H39" si="36">0.0083*G39^(0.9482)</f>
        <v>205.67619229715345</v>
      </c>
      <c r="I39" s="147">
        <f t="shared" si="1"/>
        <v>205.67619229715345</v>
      </c>
      <c r="J39" s="144">
        <v>955.12480562760595</v>
      </c>
      <c r="K39" s="144">
        <v>182.42361679147405</v>
      </c>
      <c r="L39" s="144">
        <v>159.99066647145094</v>
      </c>
      <c r="M39" s="140" t="b">
        <v>1</v>
      </c>
      <c r="N39" s="140">
        <v>1</v>
      </c>
      <c r="O39" s="302" t="s">
        <v>581</v>
      </c>
      <c r="P39" s="140" t="s">
        <v>166</v>
      </c>
      <c r="Q39" s="140" t="s">
        <v>166</v>
      </c>
      <c r="R39" s="140" t="s">
        <v>166</v>
      </c>
      <c r="S39" s="140" t="b">
        <v>1</v>
      </c>
      <c r="T39" s="140" t="b">
        <v>0</v>
      </c>
      <c r="U39" s="140" t="s">
        <v>166</v>
      </c>
      <c r="V39" s="140" t="b">
        <v>0</v>
      </c>
      <c r="W39" s="140" t="b">
        <v>0</v>
      </c>
      <c r="X39" s="140" t="s">
        <v>580</v>
      </c>
      <c r="Y39" s="148" t="s">
        <v>186</v>
      </c>
      <c r="Z39" t="s">
        <v>184</v>
      </c>
      <c r="AA39" s="149">
        <v>865</v>
      </c>
      <c r="AB39" s="149" t="s">
        <v>233</v>
      </c>
      <c r="AC39" s="149">
        <v>6</v>
      </c>
      <c r="AD39" s="149">
        <v>4</v>
      </c>
      <c r="AE39">
        <v>10</v>
      </c>
      <c r="AF39">
        <v>17</v>
      </c>
      <c r="AG39" s="150">
        <v>51.1</v>
      </c>
      <c r="AH39" t="s">
        <v>166</v>
      </c>
      <c r="AI39" t="s">
        <v>166</v>
      </c>
      <c r="AJ39" t="s">
        <v>253</v>
      </c>
      <c r="AK39">
        <v>18.440300000000001</v>
      </c>
      <c r="AL39">
        <v>-179.5558</v>
      </c>
      <c r="AM39" s="163">
        <v>11.541567802429199</v>
      </c>
      <c r="AN39" t="s">
        <v>166</v>
      </c>
      <c r="AO39">
        <v>-1530</v>
      </c>
      <c r="AP39">
        <v>-1400</v>
      </c>
      <c r="AQ39" t="s">
        <v>254</v>
      </c>
      <c r="AR39" t="s">
        <v>166</v>
      </c>
      <c r="AS39" s="150">
        <v>43.068046070277454</v>
      </c>
      <c r="AT39" t="s">
        <v>166</v>
      </c>
      <c r="AU39" t="s">
        <v>166</v>
      </c>
      <c r="AV39" t="s">
        <v>166</v>
      </c>
      <c r="AW39" t="s">
        <v>255</v>
      </c>
      <c r="AX39" t="s">
        <v>256</v>
      </c>
      <c r="AY39" t="s">
        <v>166</v>
      </c>
      <c r="AZ39" t="s">
        <v>166</v>
      </c>
      <c r="BA39" t="s">
        <v>166</v>
      </c>
      <c r="BB39" t="s">
        <v>166</v>
      </c>
      <c r="BC39" t="s">
        <v>166</v>
      </c>
      <c r="BD39" t="s">
        <v>166</v>
      </c>
      <c r="BE39" t="s">
        <v>166</v>
      </c>
      <c r="BF39" t="s">
        <v>166</v>
      </c>
      <c r="BG39" s="151" t="s">
        <v>229</v>
      </c>
      <c r="BH39" s="149" t="s">
        <v>192</v>
      </c>
      <c r="BI39" t="s">
        <v>166</v>
      </c>
      <c r="BJ39" s="152" t="s">
        <v>166</v>
      </c>
      <c r="BK39" t="s">
        <v>283</v>
      </c>
      <c r="BL39" t="s">
        <v>194</v>
      </c>
      <c r="BM39" t="s">
        <v>195</v>
      </c>
      <c r="BN39" t="s">
        <v>166</v>
      </c>
      <c r="BO39" t="s">
        <v>166</v>
      </c>
      <c r="BP39" t="s">
        <v>166</v>
      </c>
      <c r="BQ39" s="150">
        <v>15.029728059669178</v>
      </c>
      <c r="BR39" t="s">
        <v>196</v>
      </c>
      <c r="BS39" s="150">
        <v>0.23396909538784755</v>
      </c>
      <c r="BT39">
        <v>1</v>
      </c>
      <c r="BU39" t="s">
        <v>197</v>
      </c>
      <c r="BV39" t="s">
        <v>166</v>
      </c>
      <c r="BW39">
        <v>0</v>
      </c>
      <c r="BX39" t="s">
        <v>197</v>
      </c>
      <c r="BY39" t="s">
        <v>166</v>
      </c>
      <c r="BZ39" t="s">
        <v>198</v>
      </c>
      <c r="CA39" t="s">
        <v>166</v>
      </c>
      <c r="CB39" s="150">
        <v>15.029728059669178</v>
      </c>
      <c r="CC39" t="s">
        <v>196</v>
      </c>
      <c r="CD39" s="150">
        <v>0.23396909538784755</v>
      </c>
      <c r="CE39" t="s">
        <v>199</v>
      </c>
      <c r="CF39" t="s">
        <v>166</v>
      </c>
      <c r="CG39" t="s">
        <v>200</v>
      </c>
      <c r="CH39" t="s">
        <v>166</v>
      </c>
      <c r="CI39" t="s">
        <v>166</v>
      </c>
      <c r="CJ39" s="139">
        <v>35.540726575932766</v>
      </c>
      <c r="CK39" t="s">
        <v>201</v>
      </c>
      <c r="CL39">
        <v>2</v>
      </c>
      <c r="CM39">
        <v>2</v>
      </c>
      <c r="CN39" t="s">
        <v>166</v>
      </c>
      <c r="CO39" s="139">
        <v>4.0323040956955625</v>
      </c>
      <c r="CP39" t="s">
        <v>166</v>
      </c>
      <c r="CQ39" t="s">
        <v>166</v>
      </c>
      <c r="CR39" t="s">
        <v>166</v>
      </c>
      <c r="CS39" s="153" t="s">
        <v>202</v>
      </c>
      <c r="CT39" t="s">
        <v>203</v>
      </c>
      <c r="CU39">
        <v>2.2000000000000002</v>
      </c>
      <c r="CV39" t="s">
        <v>204</v>
      </c>
      <c r="CW39" t="s">
        <v>166</v>
      </c>
      <c r="CX39" t="s">
        <v>166</v>
      </c>
      <c r="CY39" t="s">
        <v>166</v>
      </c>
      <c r="CZ39" t="s">
        <v>166</v>
      </c>
      <c r="DA39" s="154" t="s">
        <v>166</v>
      </c>
      <c r="DB39" t="s">
        <v>166</v>
      </c>
      <c r="DC39" t="s">
        <v>166</v>
      </c>
      <c r="DD39" t="s">
        <v>166</v>
      </c>
      <c r="DE39" t="s">
        <v>166</v>
      </c>
      <c r="DF39" t="s">
        <v>205</v>
      </c>
      <c r="DG39">
        <v>35</v>
      </c>
      <c r="DH39" t="s">
        <v>201</v>
      </c>
      <c r="DI39">
        <v>1</v>
      </c>
      <c r="DJ39" t="s">
        <v>206</v>
      </c>
      <c r="DK39">
        <v>17</v>
      </c>
      <c r="DL39" t="s">
        <v>166</v>
      </c>
      <c r="DM39" t="s">
        <v>166</v>
      </c>
      <c r="DN39" t="s">
        <v>207</v>
      </c>
      <c r="DO39">
        <v>38</v>
      </c>
      <c r="DP39" t="s">
        <v>208</v>
      </c>
      <c r="DQ39">
        <v>3</v>
      </c>
      <c r="DR39" t="s">
        <v>209</v>
      </c>
      <c r="DS39" t="s">
        <v>166</v>
      </c>
      <c r="DT39" t="s">
        <v>166</v>
      </c>
      <c r="DU39" t="s">
        <v>166</v>
      </c>
      <c r="DV39" t="s">
        <v>166</v>
      </c>
      <c r="DW39">
        <v>432.6</v>
      </c>
      <c r="DX39" t="s">
        <v>166</v>
      </c>
      <c r="DY39" t="s">
        <v>166</v>
      </c>
      <c r="DZ39" t="s">
        <v>210</v>
      </c>
      <c r="EA39" t="s">
        <v>211</v>
      </c>
      <c r="EB39" t="s">
        <v>212</v>
      </c>
      <c r="EC39" t="s">
        <v>166</v>
      </c>
      <c r="ED39" t="s">
        <v>213</v>
      </c>
      <c r="EE39" s="155" t="s">
        <v>214</v>
      </c>
      <c r="EF39" s="155" t="s">
        <v>214</v>
      </c>
      <c r="EG39">
        <v>1.0271999999999999</v>
      </c>
      <c r="EH39" t="s">
        <v>215</v>
      </c>
      <c r="EI39" t="s">
        <v>215</v>
      </c>
      <c r="EJ39" t="s">
        <v>216</v>
      </c>
      <c r="EK39" t="s">
        <v>215</v>
      </c>
      <c r="EL39" t="s">
        <v>215</v>
      </c>
      <c r="EM39" t="s">
        <v>217</v>
      </c>
      <c r="EN39" s="156" t="s">
        <v>214</v>
      </c>
      <c r="EO39" s="156" t="s">
        <v>214</v>
      </c>
      <c r="EP39" s="156" t="s">
        <v>214</v>
      </c>
      <c r="EQ39" s="156" t="s">
        <v>214</v>
      </c>
      <c r="ET39" t="s">
        <v>218</v>
      </c>
      <c r="EU39" t="s">
        <v>219</v>
      </c>
      <c r="EV39" t="s">
        <v>213</v>
      </c>
      <c r="EW39" t="s">
        <v>166</v>
      </c>
      <c r="EX39" t="s">
        <v>166</v>
      </c>
      <c r="EY39" t="s">
        <v>166</v>
      </c>
      <c r="EZ39" t="s">
        <v>166</v>
      </c>
      <c r="FA39" s="157">
        <v>6.5</v>
      </c>
      <c r="FB39" t="s">
        <v>220</v>
      </c>
      <c r="FC39" s="157">
        <v>1</v>
      </c>
      <c r="FD39" s="157">
        <v>1</v>
      </c>
      <c r="FE39" s="150">
        <v>7.7195439037145599</v>
      </c>
      <c r="FF39" t="s">
        <v>221</v>
      </c>
      <c r="FG39" s="150">
        <v>3.1762663176460038E-2</v>
      </c>
      <c r="FH39" s="150">
        <v>3.2433076410960382E-2</v>
      </c>
      <c r="FI39" s="144">
        <v>955.12480562760595</v>
      </c>
      <c r="FJ39" t="s">
        <v>166</v>
      </c>
      <c r="FK39" t="s">
        <v>166</v>
      </c>
      <c r="FL39" s="144">
        <f t="shared" si="2"/>
        <v>955.12480562760595</v>
      </c>
      <c r="FM39" s="144">
        <v>182.42361679147405</v>
      </c>
      <c r="FN39" s="144">
        <v>159.99066647145094</v>
      </c>
      <c r="FO39" t="s">
        <v>222</v>
      </c>
      <c r="FP39" t="s">
        <v>223</v>
      </c>
      <c r="FQ39" s="144" t="s">
        <v>166</v>
      </c>
      <c r="FR39" s="144" t="s">
        <v>166</v>
      </c>
      <c r="FS39" s="144" t="s">
        <v>166</v>
      </c>
      <c r="FT39" s="144" t="s">
        <v>166</v>
      </c>
      <c r="FU39" s="144" t="s">
        <v>166</v>
      </c>
      <c r="FV39" s="144" t="s">
        <v>166</v>
      </c>
      <c r="FW39" s="144" t="s">
        <v>166</v>
      </c>
      <c r="FX39" s="144" t="s">
        <v>166</v>
      </c>
      <c r="FY39" s="144" t="s">
        <v>166</v>
      </c>
      <c r="FZ39" s="144" t="s">
        <v>166</v>
      </c>
      <c r="GA39" s="144" t="s">
        <v>166</v>
      </c>
      <c r="GB39" s="144" t="s">
        <v>166</v>
      </c>
      <c r="GC39" s="158" t="s">
        <v>224</v>
      </c>
    </row>
    <row r="40" spans="1:185" ht="17">
      <c r="A40" s="140" t="s">
        <v>162</v>
      </c>
      <c r="B40" s="143" t="s">
        <v>163</v>
      </c>
      <c r="C40" s="140" t="s">
        <v>164</v>
      </c>
      <c r="D40" s="140" t="s">
        <v>165</v>
      </c>
      <c r="E40" s="140">
        <v>2020</v>
      </c>
      <c r="F40" t="s">
        <v>184</v>
      </c>
      <c r="G40" s="139">
        <v>43383.595915883423</v>
      </c>
      <c r="H40" s="147">
        <f t="shared" ref="H40" si="37">0.0083*G40^(0.9482)</f>
        <v>207.10480519768348</v>
      </c>
      <c r="I40" s="147">
        <f t="shared" si="1"/>
        <v>207.10480519768348</v>
      </c>
      <c r="J40" s="144">
        <v>857.89459839800395</v>
      </c>
      <c r="K40" s="144">
        <v>155.43211330216616</v>
      </c>
      <c r="L40" s="144">
        <v>142.81960909447992</v>
      </c>
      <c r="M40" s="140" t="b">
        <v>1</v>
      </c>
      <c r="N40" s="140">
        <v>1</v>
      </c>
      <c r="O40" s="302" t="s">
        <v>581</v>
      </c>
      <c r="P40" s="140" t="s">
        <v>166</v>
      </c>
      <c r="Q40" s="140" t="s">
        <v>166</v>
      </c>
      <c r="R40" s="140" t="s">
        <v>166</v>
      </c>
      <c r="S40" s="140" t="b">
        <v>1</v>
      </c>
      <c r="T40" s="140" t="b">
        <v>0</v>
      </c>
      <c r="U40" s="140" t="s">
        <v>166</v>
      </c>
      <c r="V40" s="140" t="b">
        <v>0</v>
      </c>
      <c r="W40" s="140" t="b">
        <v>0</v>
      </c>
      <c r="X40" s="140" t="s">
        <v>580</v>
      </c>
      <c r="Y40" s="148" t="s">
        <v>186</v>
      </c>
      <c r="Z40" t="s">
        <v>184</v>
      </c>
      <c r="AA40" s="149">
        <v>865</v>
      </c>
      <c r="AB40" s="149" t="s">
        <v>233</v>
      </c>
      <c r="AC40" s="149">
        <v>7</v>
      </c>
      <c r="AD40" s="149">
        <v>5</v>
      </c>
      <c r="AE40">
        <v>0</v>
      </c>
      <c r="AF40">
        <v>10</v>
      </c>
      <c r="AG40" s="150">
        <v>52.5</v>
      </c>
      <c r="AH40" t="s">
        <v>166</v>
      </c>
      <c r="AI40" t="s">
        <v>166</v>
      </c>
      <c r="AJ40" t="s">
        <v>253</v>
      </c>
      <c r="AK40">
        <v>18.440300000000001</v>
      </c>
      <c r="AL40">
        <v>-179.5558</v>
      </c>
      <c r="AM40" s="163">
        <v>11.56605339050293</v>
      </c>
      <c r="AN40" t="s">
        <v>166</v>
      </c>
      <c r="AO40">
        <v>-1530</v>
      </c>
      <c r="AP40">
        <v>-1400</v>
      </c>
      <c r="AQ40" t="s">
        <v>254</v>
      </c>
      <c r="AR40" t="s">
        <v>166</v>
      </c>
      <c r="AS40" s="150">
        <v>43.383595915883426</v>
      </c>
      <c r="AT40" t="s">
        <v>166</v>
      </c>
      <c r="AU40" t="s">
        <v>166</v>
      </c>
      <c r="AV40" t="s">
        <v>166</v>
      </c>
      <c r="AW40" t="s">
        <v>255</v>
      </c>
      <c r="AX40" t="s">
        <v>256</v>
      </c>
      <c r="AY40" t="s">
        <v>166</v>
      </c>
      <c r="AZ40" t="s">
        <v>166</v>
      </c>
      <c r="BA40" t="s">
        <v>166</v>
      </c>
      <c r="BB40" t="s">
        <v>166</v>
      </c>
      <c r="BC40" t="s">
        <v>166</v>
      </c>
      <c r="BD40" t="s">
        <v>166</v>
      </c>
      <c r="BE40" t="s">
        <v>166</v>
      </c>
      <c r="BF40" t="s">
        <v>166</v>
      </c>
      <c r="BG40" s="151" t="s">
        <v>229</v>
      </c>
      <c r="BH40" s="149" t="s">
        <v>192</v>
      </c>
      <c r="BI40" t="s">
        <v>166</v>
      </c>
      <c r="BJ40" s="152" t="s">
        <v>166</v>
      </c>
      <c r="BK40" t="s">
        <v>284</v>
      </c>
      <c r="BL40" t="s">
        <v>194</v>
      </c>
      <c r="BM40" t="s">
        <v>195</v>
      </c>
      <c r="BN40" t="s">
        <v>166</v>
      </c>
      <c r="BO40" t="s">
        <v>166</v>
      </c>
      <c r="BP40" t="s">
        <v>166</v>
      </c>
      <c r="BQ40" s="150">
        <v>15.161326955088871</v>
      </c>
      <c r="BR40" t="s">
        <v>196</v>
      </c>
      <c r="BS40" s="150">
        <v>0.20231782875983845</v>
      </c>
      <c r="BT40">
        <v>1</v>
      </c>
      <c r="BU40" t="s">
        <v>197</v>
      </c>
      <c r="BV40" t="s">
        <v>166</v>
      </c>
      <c r="BW40">
        <v>0</v>
      </c>
      <c r="BX40" t="s">
        <v>197</v>
      </c>
      <c r="BY40" t="s">
        <v>166</v>
      </c>
      <c r="BZ40" t="s">
        <v>198</v>
      </c>
      <c r="CA40" t="s">
        <v>166</v>
      </c>
      <c r="CB40" s="150">
        <v>15.161326955088871</v>
      </c>
      <c r="CC40" t="s">
        <v>196</v>
      </c>
      <c r="CD40" s="150">
        <v>0.20231782875983845</v>
      </c>
      <c r="CE40" t="s">
        <v>199</v>
      </c>
      <c r="CF40" t="s">
        <v>166</v>
      </c>
      <c r="CG40" t="s">
        <v>200</v>
      </c>
      <c r="CH40" t="s">
        <v>166</v>
      </c>
      <c r="CI40" t="s">
        <v>166</v>
      </c>
      <c r="CJ40" s="139">
        <v>34.039507287680181</v>
      </c>
      <c r="CK40" t="s">
        <v>201</v>
      </c>
      <c r="CL40">
        <v>2</v>
      </c>
      <c r="CM40">
        <v>2</v>
      </c>
      <c r="CN40" t="s">
        <v>166</v>
      </c>
      <c r="CO40" s="139">
        <v>3.7051480761493303</v>
      </c>
      <c r="CP40" t="s">
        <v>166</v>
      </c>
      <c r="CQ40" t="s">
        <v>166</v>
      </c>
      <c r="CR40" t="s">
        <v>166</v>
      </c>
      <c r="CS40" s="153" t="s">
        <v>202</v>
      </c>
      <c r="CT40" t="s">
        <v>203</v>
      </c>
      <c r="CU40">
        <v>2.2000000000000002</v>
      </c>
      <c r="CV40" t="s">
        <v>204</v>
      </c>
      <c r="CW40" t="s">
        <v>166</v>
      </c>
      <c r="CX40" t="s">
        <v>166</v>
      </c>
      <c r="CY40" t="s">
        <v>166</v>
      </c>
      <c r="CZ40" t="s">
        <v>166</v>
      </c>
      <c r="DA40" s="154" t="s">
        <v>166</v>
      </c>
      <c r="DB40" t="s">
        <v>166</v>
      </c>
      <c r="DC40" t="s">
        <v>166</v>
      </c>
      <c r="DD40" t="s">
        <v>166</v>
      </c>
      <c r="DE40" t="s">
        <v>166</v>
      </c>
      <c r="DF40" t="s">
        <v>205</v>
      </c>
      <c r="DG40">
        <v>35</v>
      </c>
      <c r="DH40" t="s">
        <v>201</v>
      </c>
      <c r="DI40">
        <v>1</v>
      </c>
      <c r="DJ40" t="s">
        <v>206</v>
      </c>
      <c r="DK40">
        <v>17</v>
      </c>
      <c r="DL40" t="s">
        <v>166</v>
      </c>
      <c r="DM40" t="s">
        <v>166</v>
      </c>
      <c r="DN40" t="s">
        <v>207</v>
      </c>
      <c r="DO40">
        <v>38</v>
      </c>
      <c r="DP40" t="s">
        <v>208</v>
      </c>
      <c r="DQ40">
        <v>3</v>
      </c>
      <c r="DR40" t="s">
        <v>209</v>
      </c>
      <c r="DS40" t="s">
        <v>166</v>
      </c>
      <c r="DT40" t="s">
        <v>166</v>
      </c>
      <c r="DU40" t="s">
        <v>166</v>
      </c>
      <c r="DV40" t="s">
        <v>166</v>
      </c>
      <c r="DW40">
        <v>432.6</v>
      </c>
      <c r="DX40" t="s">
        <v>166</v>
      </c>
      <c r="DY40" t="s">
        <v>166</v>
      </c>
      <c r="DZ40" t="s">
        <v>210</v>
      </c>
      <c r="EA40" t="s">
        <v>211</v>
      </c>
      <c r="EB40" t="s">
        <v>212</v>
      </c>
      <c r="EC40" t="s">
        <v>166</v>
      </c>
      <c r="ED40" t="s">
        <v>213</v>
      </c>
      <c r="EE40" s="155" t="s">
        <v>214</v>
      </c>
      <c r="EF40" s="155" t="s">
        <v>214</v>
      </c>
      <c r="EG40">
        <v>1.0271999999999999</v>
      </c>
      <c r="EH40" t="s">
        <v>215</v>
      </c>
      <c r="EI40" t="s">
        <v>215</v>
      </c>
      <c r="EJ40" t="s">
        <v>216</v>
      </c>
      <c r="EK40" t="s">
        <v>215</v>
      </c>
      <c r="EL40" t="s">
        <v>215</v>
      </c>
      <c r="EM40" t="s">
        <v>217</v>
      </c>
      <c r="EN40" s="156" t="s">
        <v>214</v>
      </c>
      <c r="EO40" s="156" t="s">
        <v>214</v>
      </c>
      <c r="EP40" s="156" t="s">
        <v>214</v>
      </c>
      <c r="EQ40" s="156" t="s">
        <v>214</v>
      </c>
      <c r="ET40" t="s">
        <v>218</v>
      </c>
      <c r="EU40" t="s">
        <v>219</v>
      </c>
      <c r="EV40" t="s">
        <v>213</v>
      </c>
      <c r="EW40" t="s">
        <v>166</v>
      </c>
      <c r="EX40" t="s">
        <v>166</v>
      </c>
      <c r="EY40" t="s">
        <v>166</v>
      </c>
      <c r="EZ40" t="s">
        <v>166</v>
      </c>
      <c r="FA40" s="157">
        <v>6.5</v>
      </c>
      <c r="FB40" t="s">
        <v>220</v>
      </c>
      <c r="FC40" s="157">
        <v>1</v>
      </c>
      <c r="FD40" s="157">
        <v>1</v>
      </c>
      <c r="FE40" s="150">
        <v>7.7524657297832498</v>
      </c>
      <c r="FF40" t="s">
        <v>221</v>
      </c>
      <c r="FG40" s="150">
        <v>2.9554459793479815E-2</v>
      </c>
      <c r="FH40" s="150">
        <v>3.0547910977130499E-2</v>
      </c>
      <c r="FI40" s="144">
        <v>857.89459839800395</v>
      </c>
      <c r="FJ40" t="s">
        <v>166</v>
      </c>
      <c r="FK40" t="s">
        <v>166</v>
      </c>
      <c r="FL40" s="144">
        <f t="shared" si="2"/>
        <v>857.89459839800395</v>
      </c>
      <c r="FM40" s="144">
        <v>155.43211330216616</v>
      </c>
      <c r="FN40" s="144">
        <v>142.81960909447992</v>
      </c>
      <c r="FO40" t="s">
        <v>222</v>
      </c>
      <c r="FP40" t="s">
        <v>223</v>
      </c>
      <c r="FQ40" s="144" t="s">
        <v>166</v>
      </c>
      <c r="FR40" s="144" t="s">
        <v>166</v>
      </c>
      <c r="FS40" s="144" t="s">
        <v>166</v>
      </c>
      <c r="FT40" s="144" t="s">
        <v>166</v>
      </c>
      <c r="FU40" s="144" t="s">
        <v>166</v>
      </c>
      <c r="FV40" s="144" t="s">
        <v>166</v>
      </c>
      <c r="FW40" s="144" t="s">
        <v>166</v>
      </c>
      <c r="FX40" s="144" t="s">
        <v>166</v>
      </c>
      <c r="FY40" s="144" t="s">
        <v>166</v>
      </c>
      <c r="FZ40" s="144" t="s">
        <v>166</v>
      </c>
      <c r="GA40" s="144" t="s">
        <v>166</v>
      </c>
      <c r="GB40" s="144" t="s">
        <v>166</v>
      </c>
      <c r="GC40" s="158" t="s">
        <v>224</v>
      </c>
    </row>
    <row r="41" spans="1:185" ht="17">
      <c r="A41" s="140" t="s">
        <v>162</v>
      </c>
      <c r="B41" s="143" t="s">
        <v>163</v>
      </c>
      <c r="C41" s="140" t="s">
        <v>164</v>
      </c>
      <c r="D41" s="140" t="s">
        <v>165</v>
      </c>
      <c r="E41" s="140">
        <v>2020</v>
      </c>
      <c r="F41" t="s">
        <v>184</v>
      </c>
      <c r="G41" s="139">
        <v>43744.224310861675</v>
      </c>
      <c r="H41" s="147">
        <f t="shared" ref="H41" si="38">0.0083*G41^(0.9482)</f>
        <v>208.73684692690941</v>
      </c>
      <c r="I41" s="147">
        <f t="shared" si="1"/>
        <v>208.73684692690941</v>
      </c>
      <c r="J41" s="144">
        <v>1044.2932014110299</v>
      </c>
      <c r="K41" s="144">
        <v>201.50383572290002</v>
      </c>
      <c r="L41" s="144">
        <v>161.85678026859887</v>
      </c>
      <c r="M41" s="140" t="b">
        <v>1</v>
      </c>
      <c r="N41" s="140">
        <v>1</v>
      </c>
      <c r="O41" s="302" t="s">
        <v>581</v>
      </c>
      <c r="P41" s="140" t="s">
        <v>166</v>
      </c>
      <c r="Q41" s="140" t="s">
        <v>166</v>
      </c>
      <c r="R41" s="140" t="s">
        <v>166</v>
      </c>
      <c r="S41" s="140" t="b">
        <v>1</v>
      </c>
      <c r="T41" s="140" t="b">
        <v>0</v>
      </c>
      <c r="U41" s="140" t="s">
        <v>166</v>
      </c>
      <c r="V41" s="140" t="b">
        <v>0</v>
      </c>
      <c r="W41" s="140" t="b">
        <v>0</v>
      </c>
      <c r="X41" s="140" t="s">
        <v>580</v>
      </c>
      <c r="Y41" s="148" t="s">
        <v>186</v>
      </c>
      <c r="Z41" t="s">
        <v>184</v>
      </c>
      <c r="AA41" s="149">
        <v>865</v>
      </c>
      <c r="AB41" s="149" t="s">
        <v>233</v>
      </c>
      <c r="AC41" s="149">
        <v>6</v>
      </c>
      <c r="AD41" s="149">
        <v>6</v>
      </c>
      <c r="AE41">
        <v>10</v>
      </c>
      <c r="AF41">
        <v>17</v>
      </c>
      <c r="AG41" s="150">
        <v>54.1</v>
      </c>
      <c r="AH41" t="s">
        <v>166</v>
      </c>
      <c r="AI41" t="s">
        <v>166</v>
      </c>
      <c r="AJ41" t="s">
        <v>253</v>
      </c>
      <c r="AK41">
        <v>18.440300000000001</v>
      </c>
      <c r="AL41">
        <v>-179.5558</v>
      </c>
      <c r="AM41" s="163">
        <v>11.594037055969238</v>
      </c>
      <c r="AN41" t="s">
        <v>166</v>
      </c>
      <c r="AO41">
        <v>-1530</v>
      </c>
      <c r="AP41">
        <v>-1400</v>
      </c>
      <c r="AQ41" t="s">
        <v>254</v>
      </c>
      <c r="AR41" t="s">
        <v>166</v>
      </c>
      <c r="AS41" s="150">
        <v>43.744224310861675</v>
      </c>
      <c r="AT41" t="s">
        <v>166</v>
      </c>
      <c r="AU41" t="s">
        <v>166</v>
      </c>
      <c r="AV41" t="s">
        <v>166</v>
      </c>
      <c r="AW41" t="s">
        <v>255</v>
      </c>
      <c r="AX41" t="s">
        <v>256</v>
      </c>
      <c r="AY41" t="s">
        <v>166</v>
      </c>
      <c r="AZ41" t="s">
        <v>166</v>
      </c>
      <c r="BA41" t="s">
        <v>166</v>
      </c>
      <c r="BB41" t="s">
        <v>166</v>
      </c>
      <c r="BC41" t="s">
        <v>166</v>
      </c>
      <c r="BD41" t="s">
        <v>166</v>
      </c>
      <c r="BE41" t="s">
        <v>166</v>
      </c>
      <c r="BF41" t="s">
        <v>166</v>
      </c>
      <c r="BG41" s="151" t="s">
        <v>229</v>
      </c>
      <c r="BH41" s="149" t="s">
        <v>192</v>
      </c>
      <c r="BI41" t="s">
        <v>166</v>
      </c>
      <c r="BJ41" s="152" t="s">
        <v>166</v>
      </c>
      <c r="BK41" t="s">
        <v>285</v>
      </c>
      <c r="BL41" t="s">
        <v>194</v>
      </c>
      <c r="BM41" t="s">
        <v>195</v>
      </c>
      <c r="BN41" t="s">
        <v>166</v>
      </c>
      <c r="BO41" t="s">
        <v>166</v>
      </c>
      <c r="BP41" t="s">
        <v>166</v>
      </c>
      <c r="BQ41" s="150">
        <v>14.900955063824162</v>
      </c>
      <c r="BR41" t="s">
        <v>196</v>
      </c>
      <c r="BS41" s="150">
        <v>0.17337823228639684</v>
      </c>
      <c r="BT41">
        <v>1</v>
      </c>
      <c r="BU41" t="s">
        <v>197</v>
      </c>
      <c r="BV41" t="s">
        <v>166</v>
      </c>
      <c r="BW41">
        <v>0</v>
      </c>
      <c r="BX41" t="s">
        <v>197</v>
      </c>
      <c r="BY41" t="s">
        <v>166</v>
      </c>
      <c r="BZ41" t="s">
        <v>198</v>
      </c>
      <c r="CA41" t="s">
        <v>166</v>
      </c>
      <c r="CB41" s="150">
        <v>14.900955063824162</v>
      </c>
      <c r="CC41" t="s">
        <v>196</v>
      </c>
      <c r="CD41" s="150">
        <v>0.17337823228639684</v>
      </c>
      <c r="CE41" t="s">
        <v>199</v>
      </c>
      <c r="CF41" t="s">
        <v>166</v>
      </c>
      <c r="CG41" t="s">
        <v>200</v>
      </c>
      <c r="CH41" t="s">
        <v>166</v>
      </c>
      <c r="CI41" t="s">
        <v>166</v>
      </c>
      <c r="CJ41" s="139">
        <v>36.55997116230737</v>
      </c>
      <c r="CK41" t="s">
        <v>201</v>
      </c>
      <c r="CL41">
        <v>2</v>
      </c>
      <c r="CM41">
        <v>2</v>
      </c>
      <c r="CN41" t="s">
        <v>166</v>
      </c>
      <c r="CO41" s="139">
        <v>4.2707380184528114</v>
      </c>
      <c r="CP41" t="s">
        <v>166</v>
      </c>
      <c r="CQ41" t="s">
        <v>166</v>
      </c>
      <c r="CR41" t="s">
        <v>166</v>
      </c>
      <c r="CS41" s="153" t="s">
        <v>202</v>
      </c>
      <c r="CT41" t="s">
        <v>203</v>
      </c>
      <c r="CU41">
        <v>2.2000000000000002</v>
      </c>
      <c r="CV41" t="s">
        <v>204</v>
      </c>
      <c r="CW41" t="s">
        <v>166</v>
      </c>
      <c r="CX41" t="s">
        <v>166</v>
      </c>
      <c r="CY41" t="s">
        <v>166</v>
      </c>
      <c r="CZ41" t="s">
        <v>166</v>
      </c>
      <c r="DA41" s="154" t="s">
        <v>166</v>
      </c>
      <c r="DB41" t="s">
        <v>166</v>
      </c>
      <c r="DC41" t="s">
        <v>166</v>
      </c>
      <c r="DD41" t="s">
        <v>166</v>
      </c>
      <c r="DE41" t="s">
        <v>166</v>
      </c>
      <c r="DF41" t="s">
        <v>205</v>
      </c>
      <c r="DG41">
        <v>35</v>
      </c>
      <c r="DH41" t="s">
        <v>201</v>
      </c>
      <c r="DI41">
        <v>1</v>
      </c>
      <c r="DJ41" t="s">
        <v>206</v>
      </c>
      <c r="DK41">
        <v>17</v>
      </c>
      <c r="DL41" t="s">
        <v>166</v>
      </c>
      <c r="DM41" t="s">
        <v>166</v>
      </c>
      <c r="DN41" t="s">
        <v>207</v>
      </c>
      <c r="DO41">
        <v>38</v>
      </c>
      <c r="DP41" t="s">
        <v>208</v>
      </c>
      <c r="DQ41">
        <v>3</v>
      </c>
      <c r="DR41" t="s">
        <v>209</v>
      </c>
      <c r="DS41" t="s">
        <v>166</v>
      </c>
      <c r="DT41" t="s">
        <v>166</v>
      </c>
      <c r="DU41" t="s">
        <v>166</v>
      </c>
      <c r="DV41" t="s">
        <v>166</v>
      </c>
      <c r="DW41">
        <v>432.6</v>
      </c>
      <c r="DX41" t="s">
        <v>166</v>
      </c>
      <c r="DY41" t="s">
        <v>166</v>
      </c>
      <c r="DZ41" t="s">
        <v>210</v>
      </c>
      <c r="EA41" t="s">
        <v>211</v>
      </c>
      <c r="EB41" t="s">
        <v>212</v>
      </c>
      <c r="EC41" t="s">
        <v>166</v>
      </c>
      <c r="ED41" t="s">
        <v>213</v>
      </c>
      <c r="EE41" s="155" t="s">
        <v>214</v>
      </c>
      <c r="EF41" s="155" t="s">
        <v>214</v>
      </c>
      <c r="EG41">
        <v>1.0271999999999999</v>
      </c>
      <c r="EH41" t="s">
        <v>215</v>
      </c>
      <c r="EI41" t="s">
        <v>215</v>
      </c>
      <c r="EJ41" t="s">
        <v>216</v>
      </c>
      <c r="EK41" t="s">
        <v>215</v>
      </c>
      <c r="EL41" t="s">
        <v>215</v>
      </c>
      <c r="EM41" t="s">
        <v>217</v>
      </c>
      <c r="EN41" s="156" t="s">
        <v>214</v>
      </c>
      <c r="EO41" s="156" t="s">
        <v>214</v>
      </c>
      <c r="EP41" s="156" t="s">
        <v>214</v>
      </c>
      <c r="EQ41" s="156" t="s">
        <v>214</v>
      </c>
      <c r="ET41" t="s">
        <v>218</v>
      </c>
      <c r="EU41" t="s">
        <v>219</v>
      </c>
      <c r="EV41" t="s">
        <v>213</v>
      </c>
      <c r="EW41" t="s">
        <v>166</v>
      </c>
      <c r="EX41" t="s">
        <v>166</v>
      </c>
      <c r="EY41" t="s">
        <v>166</v>
      </c>
      <c r="EZ41" t="s">
        <v>166</v>
      </c>
      <c r="FA41" s="157">
        <v>6.5</v>
      </c>
      <c r="FB41" t="s">
        <v>220</v>
      </c>
      <c r="FC41" s="157">
        <v>1</v>
      </c>
      <c r="FD41" s="157">
        <v>1</v>
      </c>
      <c r="FE41" s="150">
        <v>7.6935876965035499</v>
      </c>
      <c r="FF41" t="s">
        <v>221</v>
      </c>
      <c r="FG41" s="150">
        <v>3.383030475773996E-2</v>
      </c>
      <c r="FH41" s="150">
        <v>2.8923750812279714E-2</v>
      </c>
      <c r="FI41" s="144">
        <v>1044.2932014110299</v>
      </c>
      <c r="FJ41" t="s">
        <v>166</v>
      </c>
      <c r="FK41" t="s">
        <v>166</v>
      </c>
      <c r="FL41" s="144">
        <f t="shared" si="2"/>
        <v>1044.2932014110299</v>
      </c>
      <c r="FM41" s="144">
        <v>201.50383572290002</v>
      </c>
      <c r="FN41" s="144">
        <v>161.85678026859887</v>
      </c>
      <c r="FO41" t="s">
        <v>222</v>
      </c>
      <c r="FP41" t="s">
        <v>223</v>
      </c>
      <c r="FQ41" s="144" t="s">
        <v>166</v>
      </c>
      <c r="FR41" s="144" t="s">
        <v>166</v>
      </c>
      <c r="FS41" s="144" t="s">
        <v>166</v>
      </c>
      <c r="FT41" s="144" t="s">
        <v>166</v>
      </c>
      <c r="FU41" s="144" t="s">
        <v>166</v>
      </c>
      <c r="FV41" s="144" t="s">
        <v>166</v>
      </c>
      <c r="FW41" s="144" t="s">
        <v>166</v>
      </c>
      <c r="FX41" s="144" t="s">
        <v>166</v>
      </c>
      <c r="FY41" s="144" t="s">
        <v>166</v>
      </c>
      <c r="FZ41" s="144" t="s">
        <v>166</v>
      </c>
      <c r="GA41" s="144" t="s">
        <v>166</v>
      </c>
      <c r="GB41" s="144" t="s">
        <v>166</v>
      </c>
      <c r="GC41" s="158" t="s">
        <v>224</v>
      </c>
    </row>
    <row r="42" spans="1:185" ht="17">
      <c r="A42" s="140" t="s">
        <v>162</v>
      </c>
      <c r="B42" s="143" t="s">
        <v>163</v>
      </c>
      <c r="C42" s="140" t="s">
        <v>164</v>
      </c>
      <c r="D42" s="140" t="s">
        <v>165</v>
      </c>
      <c r="E42" s="140">
        <v>2020</v>
      </c>
      <c r="F42" t="s">
        <v>184</v>
      </c>
      <c r="G42" s="139">
        <v>44537.606779813817</v>
      </c>
      <c r="H42" s="147">
        <f t="shared" ref="H42" si="39">0.0083*G42^(0.9482)</f>
        <v>212.32489439940264</v>
      </c>
      <c r="I42" s="147">
        <f t="shared" si="1"/>
        <v>212.32489439940264</v>
      </c>
      <c r="J42" s="144">
        <v>1063.9208246789899</v>
      </c>
      <c r="K42" s="144">
        <v>209.43812883715009</v>
      </c>
      <c r="L42" s="144">
        <v>181.00085899874591</v>
      </c>
      <c r="M42" s="140" t="b">
        <v>1</v>
      </c>
      <c r="N42" s="140">
        <v>1</v>
      </c>
      <c r="O42" s="302" t="s">
        <v>581</v>
      </c>
      <c r="P42" s="140" t="s">
        <v>166</v>
      </c>
      <c r="Q42" s="140" t="s">
        <v>166</v>
      </c>
      <c r="R42" s="140" t="s">
        <v>166</v>
      </c>
      <c r="S42" s="140" t="b">
        <v>1</v>
      </c>
      <c r="T42" s="140" t="b">
        <v>0</v>
      </c>
      <c r="U42" s="140" t="s">
        <v>166</v>
      </c>
      <c r="V42" s="140" t="b">
        <v>0</v>
      </c>
      <c r="W42" s="140" t="b">
        <v>0</v>
      </c>
      <c r="X42" s="140" t="s">
        <v>580</v>
      </c>
      <c r="Y42" s="148" t="s">
        <v>186</v>
      </c>
      <c r="Z42" t="s">
        <v>184</v>
      </c>
      <c r="AA42" s="149">
        <v>865</v>
      </c>
      <c r="AB42" s="149" t="s">
        <v>233</v>
      </c>
      <c r="AC42" s="149">
        <v>7</v>
      </c>
      <c r="AD42" s="149">
        <v>2</v>
      </c>
      <c r="AE42">
        <v>12</v>
      </c>
      <c r="AF42">
        <v>17</v>
      </c>
      <c r="AG42" s="150">
        <v>57.62</v>
      </c>
      <c r="AH42" t="s">
        <v>166</v>
      </c>
      <c r="AI42" t="s">
        <v>166</v>
      </c>
      <c r="AJ42" t="s">
        <v>253</v>
      </c>
      <c r="AK42">
        <v>18.440300000000001</v>
      </c>
      <c r="AL42">
        <v>-179.5558</v>
      </c>
      <c r="AM42" s="163">
        <v>11.655599594116211</v>
      </c>
      <c r="AN42" t="s">
        <v>166</v>
      </c>
      <c r="AO42">
        <v>-1530</v>
      </c>
      <c r="AP42">
        <v>-1400</v>
      </c>
      <c r="AQ42" t="s">
        <v>254</v>
      </c>
      <c r="AR42" t="s">
        <v>166</v>
      </c>
      <c r="AS42" s="150">
        <v>44.537606779813821</v>
      </c>
      <c r="AT42" t="s">
        <v>166</v>
      </c>
      <c r="AU42" t="s">
        <v>166</v>
      </c>
      <c r="AV42" t="s">
        <v>166</v>
      </c>
      <c r="AW42" t="s">
        <v>255</v>
      </c>
      <c r="AX42" t="s">
        <v>256</v>
      </c>
      <c r="AY42" t="s">
        <v>166</v>
      </c>
      <c r="AZ42" t="s">
        <v>166</v>
      </c>
      <c r="BA42" t="s">
        <v>166</v>
      </c>
      <c r="BB42" t="s">
        <v>166</v>
      </c>
      <c r="BC42" t="s">
        <v>166</v>
      </c>
      <c r="BD42" t="s">
        <v>166</v>
      </c>
      <c r="BE42" t="s">
        <v>166</v>
      </c>
      <c r="BF42" t="s">
        <v>166</v>
      </c>
      <c r="BG42" s="151" t="s">
        <v>229</v>
      </c>
      <c r="BH42" s="149" t="s">
        <v>192</v>
      </c>
      <c r="BI42" t="s">
        <v>166</v>
      </c>
      <c r="BJ42" s="152" t="s">
        <v>166</v>
      </c>
      <c r="BK42" t="s">
        <v>286</v>
      </c>
      <c r="BL42" t="s">
        <v>194</v>
      </c>
      <c r="BM42" t="s">
        <v>195</v>
      </c>
      <c r="BN42" t="s">
        <v>166</v>
      </c>
      <c r="BO42" t="s">
        <v>166</v>
      </c>
      <c r="BP42" t="s">
        <v>166</v>
      </c>
      <c r="BQ42" s="150">
        <v>14.836107916347817</v>
      </c>
      <c r="BR42" t="s">
        <v>196</v>
      </c>
      <c r="BS42" s="150">
        <v>0.24457846244768458</v>
      </c>
      <c r="BT42">
        <v>1</v>
      </c>
      <c r="BU42" t="s">
        <v>197</v>
      </c>
      <c r="BV42" t="s">
        <v>166</v>
      </c>
      <c r="BW42">
        <v>0</v>
      </c>
      <c r="BX42" t="s">
        <v>197</v>
      </c>
      <c r="BY42" t="s">
        <v>166</v>
      </c>
      <c r="BZ42" t="s">
        <v>198</v>
      </c>
      <c r="CA42" t="s">
        <v>166</v>
      </c>
      <c r="CB42" s="150">
        <v>14.836107916347817</v>
      </c>
      <c r="CC42" t="s">
        <v>196</v>
      </c>
      <c r="CD42" s="150">
        <v>0.24457846244768458</v>
      </c>
      <c r="CE42" t="s">
        <v>199</v>
      </c>
      <c r="CF42" t="s">
        <v>166</v>
      </c>
      <c r="CG42" t="s">
        <v>200</v>
      </c>
      <c r="CH42" t="s">
        <v>166</v>
      </c>
      <c r="CI42" t="s">
        <v>166</v>
      </c>
      <c r="CJ42" s="139">
        <v>35.309729697804116</v>
      </c>
      <c r="CK42" t="s">
        <v>201</v>
      </c>
      <c r="CL42">
        <v>2</v>
      </c>
      <c r="CM42">
        <v>2</v>
      </c>
      <c r="CN42" t="s">
        <v>166</v>
      </c>
      <c r="CO42" s="139">
        <v>3.9801441627850931</v>
      </c>
      <c r="CP42" t="s">
        <v>166</v>
      </c>
      <c r="CQ42" t="s">
        <v>166</v>
      </c>
      <c r="CR42" t="s">
        <v>166</v>
      </c>
      <c r="CS42" s="153" t="s">
        <v>202</v>
      </c>
      <c r="CT42" t="s">
        <v>203</v>
      </c>
      <c r="CU42">
        <v>2.2000000000000002</v>
      </c>
      <c r="CV42" t="s">
        <v>204</v>
      </c>
      <c r="CW42" t="s">
        <v>166</v>
      </c>
      <c r="CX42" t="s">
        <v>166</v>
      </c>
      <c r="CY42" t="s">
        <v>166</v>
      </c>
      <c r="CZ42" t="s">
        <v>166</v>
      </c>
      <c r="DA42" s="154" t="s">
        <v>166</v>
      </c>
      <c r="DB42" t="s">
        <v>166</v>
      </c>
      <c r="DC42" t="s">
        <v>166</v>
      </c>
      <c r="DD42" t="s">
        <v>166</v>
      </c>
      <c r="DE42" t="s">
        <v>166</v>
      </c>
      <c r="DF42" t="s">
        <v>205</v>
      </c>
      <c r="DG42">
        <v>35</v>
      </c>
      <c r="DH42" t="s">
        <v>201</v>
      </c>
      <c r="DI42">
        <v>1</v>
      </c>
      <c r="DJ42" t="s">
        <v>206</v>
      </c>
      <c r="DK42">
        <v>17</v>
      </c>
      <c r="DL42" t="s">
        <v>166</v>
      </c>
      <c r="DM42" t="s">
        <v>166</v>
      </c>
      <c r="DN42" t="s">
        <v>207</v>
      </c>
      <c r="DO42">
        <v>38</v>
      </c>
      <c r="DP42" t="s">
        <v>208</v>
      </c>
      <c r="DQ42">
        <v>3</v>
      </c>
      <c r="DR42" t="s">
        <v>209</v>
      </c>
      <c r="DS42" t="s">
        <v>166</v>
      </c>
      <c r="DT42" t="s">
        <v>166</v>
      </c>
      <c r="DU42" t="s">
        <v>166</v>
      </c>
      <c r="DV42" t="s">
        <v>166</v>
      </c>
      <c r="DW42">
        <v>432.6</v>
      </c>
      <c r="DX42" t="s">
        <v>166</v>
      </c>
      <c r="DY42" t="s">
        <v>166</v>
      </c>
      <c r="DZ42" t="s">
        <v>210</v>
      </c>
      <c r="EA42" t="s">
        <v>211</v>
      </c>
      <c r="EB42" t="s">
        <v>212</v>
      </c>
      <c r="EC42" t="s">
        <v>166</v>
      </c>
      <c r="ED42" t="s">
        <v>213</v>
      </c>
      <c r="EE42" s="155" t="s">
        <v>214</v>
      </c>
      <c r="EF42" s="155" t="s">
        <v>214</v>
      </c>
      <c r="EG42">
        <v>1.0271999999999999</v>
      </c>
      <c r="EH42" t="s">
        <v>215</v>
      </c>
      <c r="EI42" t="s">
        <v>215</v>
      </c>
      <c r="EJ42" t="s">
        <v>216</v>
      </c>
      <c r="EK42" t="s">
        <v>215</v>
      </c>
      <c r="EL42" t="s">
        <v>215</v>
      </c>
      <c r="EM42" t="s">
        <v>217</v>
      </c>
      <c r="EN42" s="156" t="s">
        <v>214</v>
      </c>
      <c r="EO42" s="156" t="s">
        <v>214</v>
      </c>
      <c r="EP42" s="156" t="s">
        <v>214</v>
      </c>
      <c r="EQ42" s="156" t="s">
        <v>214</v>
      </c>
      <c r="ET42" t="s">
        <v>218</v>
      </c>
      <c r="EU42" t="s">
        <v>219</v>
      </c>
      <c r="EV42" t="s">
        <v>213</v>
      </c>
      <c r="EW42" t="s">
        <v>166</v>
      </c>
      <c r="EX42" t="s">
        <v>166</v>
      </c>
      <c r="EY42" t="s">
        <v>166</v>
      </c>
      <c r="EZ42" t="s">
        <v>166</v>
      </c>
      <c r="FA42" s="157">
        <v>6.5</v>
      </c>
      <c r="FB42" t="s">
        <v>220</v>
      </c>
      <c r="FC42" s="157">
        <v>1</v>
      </c>
      <c r="FD42" s="157">
        <v>1</v>
      </c>
      <c r="FE42" s="150">
        <v>7.6985588540252499</v>
      </c>
      <c r="FF42" t="s">
        <v>221</v>
      </c>
      <c r="FG42" s="150">
        <v>3.6330244446610038E-2</v>
      </c>
      <c r="FH42" s="150">
        <v>3.490439049986005E-2</v>
      </c>
      <c r="FI42" s="144">
        <v>1063.9208246789899</v>
      </c>
      <c r="FJ42" t="s">
        <v>166</v>
      </c>
      <c r="FK42" t="s">
        <v>166</v>
      </c>
      <c r="FL42" s="144">
        <f t="shared" si="2"/>
        <v>1063.9208246789899</v>
      </c>
      <c r="FM42" s="144">
        <v>209.43812883715009</v>
      </c>
      <c r="FN42" s="144">
        <v>181.00085899874591</v>
      </c>
      <c r="FO42" t="s">
        <v>222</v>
      </c>
      <c r="FP42" t="s">
        <v>223</v>
      </c>
      <c r="FQ42" s="144" t="s">
        <v>166</v>
      </c>
      <c r="FR42" s="144" t="s">
        <v>166</v>
      </c>
      <c r="FS42" s="144" t="s">
        <v>166</v>
      </c>
      <c r="FT42" s="144" t="s">
        <v>166</v>
      </c>
      <c r="FU42" s="144" t="s">
        <v>166</v>
      </c>
      <c r="FV42" s="144" t="s">
        <v>166</v>
      </c>
      <c r="FW42" s="144" t="s">
        <v>166</v>
      </c>
      <c r="FX42" s="144" t="s">
        <v>166</v>
      </c>
      <c r="FY42" s="144" t="s">
        <v>166</v>
      </c>
      <c r="FZ42" s="144" t="s">
        <v>166</v>
      </c>
      <c r="GA42" s="144" t="s">
        <v>166</v>
      </c>
      <c r="GB42" s="144" t="s">
        <v>166</v>
      </c>
      <c r="GC42" s="158" t="s">
        <v>224</v>
      </c>
    </row>
    <row r="43" spans="1:185" ht="17">
      <c r="A43" s="140" t="s">
        <v>162</v>
      </c>
      <c r="B43" s="143" t="s">
        <v>163</v>
      </c>
      <c r="C43" s="140" t="s">
        <v>164</v>
      </c>
      <c r="D43" s="140" t="s">
        <v>165</v>
      </c>
      <c r="E43" s="140">
        <v>2020</v>
      </c>
      <c r="F43" t="s">
        <v>184</v>
      </c>
      <c r="G43" s="139">
        <v>44873.441972637316</v>
      </c>
      <c r="H43" s="147">
        <f t="shared" ref="H43" si="40">0.0083*G43^(0.9482)</f>
        <v>213.84269805308594</v>
      </c>
      <c r="I43" s="147">
        <f t="shared" si="1"/>
        <v>213.84269805308594</v>
      </c>
      <c r="J43" s="144">
        <v>1014.87020460395</v>
      </c>
      <c r="K43" s="144">
        <v>197.44348469938996</v>
      </c>
      <c r="L43" s="144">
        <v>187.63742687474894</v>
      </c>
      <c r="M43" s="140" t="b">
        <v>1</v>
      </c>
      <c r="N43" s="140">
        <v>1</v>
      </c>
      <c r="O43" s="302" t="s">
        <v>581</v>
      </c>
      <c r="P43" s="140" t="s">
        <v>166</v>
      </c>
      <c r="Q43" s="140" t="s">
        <v>166</v>
      </c>
      <c r="R43" s="140" t="s">
        <v>166</v>
      </c>
      <c r="S43" s="140" t="b">
        <v>1</v>
      </c>
      <c r="T43" s="140" t="b">
        <v>0</v>
      </c>
      <c r="U43" s="140" t="s">
        <v>166</v>
      </c>
      <c r="V43" s="140" t="b">
        <v>0</v>
      </c>
      <c r="W43" s="140" t="b">
        <v>0</v>
      </c>
      <c r="X43" s="140" t="s">
        <v>580</v>
      </c>
      <c r="Y43" s="148" t="s">
        <v>186</v>
      </c>
      <c r="Z43" t="s">
        <v>184</v>
      </c>
      <c r="AA43" s="149">
        <v>865</v>
      </c>
      <c r="AB43" s="149" t="s">
        <v>233</v>
      </c>
      <c r="AC43" s="149">
        <v>7</v>
      </c>
      <c r="AD43" s="149">
        <v>3</v>
      </c>
      <c r="AE43">
        <v>11</v>
      </c>
      <c r="AF43">
        <v>18</v>
      </c>
      <c r="AG43" s="150">
        <v>59.11</v>
      </c>
      <c r="AH43" t="s">
        <v>166</v>
      </c>
      <c r="AI43" t="s">
        <v>166</v>
      </c>
      <c r="AJ43" t="s">
        <v>253</v>
      </c>
      <c r="AK43">
        <v>18.440300000000001</v>
      </c>
      <c r="AL43">
        <v>-179.5558</v>
      </c>
      <c r="AM43" s="163">
        <v>11.681659698486328</v>
      </c>
      <c r="AN43" t="s">
        <v>166</v>
      </c>
      <c r="AO43">
        <v>-1530</v>
      </c>
      <c r="AP43">
        <v>-1400</v>
      </c>
      <c r="AQ43" t="s">
        <v>254</v>
      </c>
      <c r="AR43" t="s">
        <v>166</v>
      </c>
      <c r="AS43" s="150">
        <v>44.873441972637316</v>
      </c>
      <c r="AT43" t="s">
        <v>166</v>
      </c>
      <c r="AU43" t="s">
        <v>166</v>
      </c>
      <c r="AV43" t="s">
        <v>166</v>
      </c>
      <c r="AW43" t="s">
        <v>255</v>
      </c>
      <c r="AX43" t="s">
        <v>256</v>
      </c>
      <c r="AY43" t="s">
        <v>166</v>
      </c>
      <c r="AZ43" t="s">
        <v>166</v>
      </c>
      <c r="BA43" t="s">
        <v>166</v>
      </c>
      <c r="BB43" t="s">
        <v>166</v>
      </c>
      <c r="BC43" t="s">
        <v>166</v>
      </c>
      <c r="BD43" t="s">
        <v>166</v>
      </c>
      <c r="BE43" t="s">
        <v>166</v>
      </c>
      <c r="BF43" t="s">
        <v>166</v>
      </c>
      <c r="BG43" s="151" t="s">
        <v>191</v>
      </c>
      <c r="BH43" s="149" t="s">
        <v>192</v>
      </c>
      <c r="BI43" t="s">
        <v>166</v>
      </c>
      <c r="BJ43" s="152" t="s">
        <v>166</v>
      </c>
      <c r="BK43" t="s">
        <v>287</v>
      </c>
      <c r="BL43" t="s">
        <v>194</v>
      </c>
      <c r="BM43" t="s">
        <v>195</v>
      </c>
      <c r="BN43" t="s">
        <v>166</v>
      </c>
      <c r="BO43" t="s">
        <v>166</v>
      </c>
      <c r="BP43" t="s">
        <v>166</v>
      </c>
      <c r="BQ43" s="150">
        <v>14.882084591231193</v>
      </c>
      <c r="BR43" t="s">
        <v>196</v>
      </c>
      <c r="BS43" s="150">
        <v>0.25251534266821263</v>
      </c>
      <c r="BT43">
        <v>1</v>
      </c>
      <c r="BU43" t="s">
        <v>197</v>
      </c>
      <c r="BV43" t="s">
        <v>166</v>
      </c>
      <c r="BW43">
        <v>0</v>
      </c>
      <c r="BX43" t="s">
        <v>197</v>
      </c>
      <c r="BY43" t="s">
        <v>166</v>
      </c>
      <c r="BZ43" t="s">
        <v>198</v>
      </c>
      <c r="CA43" t="s">
        <v>166</v>
      </c>
      <c r="CB43" s="150">
        <v>14.882084591231193</v>
      </c>
      <c r="CC43" t="s">
        <v>196</v>
      </c>
      <c r="CD43" s="150">
        <v>0.25251534266821263</v>
      </c>
      <c r="CE43" t="s">
        <v>199</v>
      </c>
      <c r="CF43" t="s">
        <v>166</v>
      </c>
      <c r="CG43" t="s">
        <v>200</v>
      </c>
      <c r="CH43" t="s">
        <v>166</v>
      </c>
      <c r="CI43" t="s">
        <v>166</v>
      </c>
      <c r="CJ43" s="139">
        <v>34.403301549942093</v>
      </c>
      <c r="CK43" t="s">
        <v>201</v>
      </c>
      <c r="CL43">
        <v>2</v>
      </c>
      <c r="CM43">
        <v>2</v>
      </c>
      <c r="CN43" t="s">
        <v>166</v>
      </c>
      <c r="CO43" s="139">
        <v>3.7819060339103499</v>
      </c>
      <c r="CP43" t="s">
        <v>166</v>
      </c>
      <c r="CQ43" t="s">
        <v>166</v>
      </c>
      <c r="CR43" t="s">
        <v>166</v>
      </c>
      <c r="CS43" s="153" t="s">
        <v>202</v>
      </c>
      <c r="CT43" t="s">
        <v>203</v>
      </c>
      <c r="CU43">
        <v>2.2000000000000002</v>
      </c>
      <c r="CV43" t="s">
        <v>204</v>
      </c>
      <c r="CW43" t="s">
        <v>166</v>
      </c>
      <c r="CX43" t="s">
        <v>166</v>
      </c>
      <c r="CY43" t="s">
        <v>166</v>
      </c>
      <c r="CZ43" t="s">
        <v>166</v>
      </c>
      <c r="DA43" s="154" t="s">
        <v>166</v>
      </c>
      <c r="DB43" t="s">
        <v>166</v>
      </c>
      <c r="DC43" t="s">
        <v>166</v>
      </c>
      <c r="DD43" t="s">
        <v>166</v>
      </c>
      <c r="DE43" t="s">
        <v>166</v>
      </c>
      <c r="DF43" t="s">
        <v>205</v>
      </c>
      <c r="DG43">
        <v>35</v>
      </c>
      <c r="DH43" t="s">
        <v>201</v>
      </c>
      <c r="DI43">
        <v>1</v>
      </c>
      <c r="DJ43" t="s">
        <v>206</v>
      </c>
      <c r="DK43">
        <v>17</v>
      </c>
      <c r="DL43" t="s">
        <v>166</v>
      </c>
      <c r="DM43" t="s">
        <v>166</v>
      </c>
      <c r="DN43" t="s">
        <v>207</v>
      </c>
      <c r="DO43">
        <v>38</v>
      </c>
      <c r="DP43" t="s">
        <v>208</v>
      </c>
      <c r="DQ43">
        <v>3</v>
      </c>
      <c r="DR43" t="s">
        <v>209</v>
      </c>
      <c r="DS43" t="s">
        <v>166</v>
      </c>
      <c r="DT43" t="s">
        <v>166</v>
      </c>
      <c r="DU43" t="s">
        <v>166</v>
      </c>
      <c r="DV43" t="s">
        <v>166</v>
      </c>
      <c r="DW43">
        <v>432.6</v>
      </c>
      <c r="DX43" t="s">
        <v>166</v>
      </c>
      <c r="DY43" t="s">
        <v>166</v>
      </c>
      <c r="DZ43" t="s">
        <v>210</v>
      </c>
      <c r="EA43" t="s">
        <v>211</v>
      </c>
      <c r="EB43" t="s">
        <v>212</v>
      </c>
      <c r="EC43" t="s">
        <v>166</v>
      </c>
      <c r="ED43" t="s">
        <v>213</v>
      </c>
      <c r="EE43" s="155" t="s">
        <v>214</v>
      </c>
      <c r="EF43" s="155" t="s">
        <v>214</v>
      </c>
      <c r="EG43">
        <v>1.0271999999999999</v>
      </c>
      <c r="EH43" t="s">
        <v>215</v>
      </c>
      <c r="EI43" t="s">
        <v>215</v>
      </c>
      <c r="EJ43" t="s">
        <v>216</v>
      </c>
      <c r="EK43" t="s">
        <v>215</v>
      </c>
      <c r="EL43" t="s">
        <v>215</v>
      </c>
      <c r="EM43" t="s">
        <v>217</v>
      </c>
      <c r="EN43" s="156" t="s">
        <v>214</v>
      </c>
      <c r="EO43" s="156" t="s">
        <v>214</v>
      </c>
      <c r="EP43" s="156" t="s">
        <v>214</v>
      </c>
      <c r="EQ43" s="156" t="s">
        <v>214</v>
      </c>
      <c r="ET43" t="s">
        <v>218</v>
      </c>
      <c r="EU43" t="s">
        <v>219</v>
      </c>
      <c r="EV43" t="s">
        <v>213</v>
      </c>
      <c r="EW43" t="s">
        <v>166</v>
      </c>
      <c r="EX43" t="s">
        <v>166</v>
      </c>
      <c r="EY43" t="s">
        <v>166</v>
      </c>
      <c r="EZ43" t="s">
        <v>166</v>
      </c>
      <c r="FA43" s="157">
        <v>6.5</v>
      </c>
      <c r="FB43" t="s">
        <v>220</v>
      </c>
      <c r="FC43" s="157">
        <v>1</v>
      </c>
      <c r="FD43" s="157">
        <v>1</v>
      </c>
      <c r="FE43" s="150">
        <v>7.7152996203888602</v>
      </c>
      <c r="FF43" t="s">
        <v>221</v>
      </c>
      <c r="FG43" s="150">
        <v>3.573637858487988E-2</v>
      </c>
      <c r="FH43" s="150">
        <v>3.5442598829299676E-2</v>
      </c>
      <c r="FI43" s="144">
        <v>1014.87020460395</v>
      </c>
      <c r="FJ43" t="s">
        <v>166</v>
      </c>
      <c r="FK43" t="s">
        <v>166</v>
      </c>
      <c r="FL43" s="144">
        <f t="shared" si="2"/>
        <v>1014.87020460395</v>
      </c>
      <c r="FM43" s="144">
        <v>197.44348469938996</v>
      </c>
      <c r="FN43" s="144">
        <v>187.63742687474894</v>
      </c>
      <c r="FO43" t="s">
        <v>222</v>
      </c>
      <c r="FP43" t="s">
        <v>223</v>
      </c>
      <c r="FQ43" s="144" t="s">
        <v>166</v>
      </c>
      <c r="FR43" s="144" t="s">
        <v>166</v>
      </c>
      <c r="FS43" s="144" t="s">
        <v>166</v>
      </c>
      <c r="FT43" s="144" t="s">
        <v>166</v>
      </c>
      <c r="FU43" s="144" t="s">
        <v>166</v>
      </c>
      <c r="FV43" s="144" t="s">
        <v>166</v>
      </c>
      <c r="FW43" s="144" t="s">
        <v>166</v>
      </c>
      <c r="FX43" s="144" t="s">
        <v>166</v>
      </c>
      <c r="FY43" s="144" t="s">
        <v>166</v>
      </c>
      <c r="FZ43" s="144" t="s">
        <v>166</v>
      </c>
      <c r="GA43" s="144" t="s">
        <v>166</v>
      </c>
      <c r="GB43" s="144" t="s">
        <v>166</v>
      </c>
      <c r="GC43" s="158" t="s">
        <v>224</v>
      </c>
    </row>
    <row r="44" spans="1:185" ht="17">
      <c r="A44" s="140" t="s">
        <v>162</v>
      </c>
      <c r="B44" s="143" t="s">
        <v>163</v>
      </c>
      <c r="C44" s="140" t="s">
        <v>164</v>
      </c>
      <c r="D44" s="140" t="s">
        <v>165</v>
      </c>
      <c r="E44" s="140">
        <v>2020</v>
      </c>
      <c r="F44" t="s">
        <v>184</v>
      </c>
      <c r="G44" s="139">
        <v>44873.441972637316</v>
      </c>
      <c r="H44" s="147">
        <f t="shared" ref="H44" si="41">0.0083*G44^(0.9482)</f>
        <v>213.84269805308594</v>
      </c>
      <c r="I44" s="147">
        <f t="shared" si="1"/>
        <v>213.84269805308594</v>
      </c>
      <c r="J44" s="144">
        <v>1023.6960419742201</v>
      </c>
      <c r="K44" s="144">
        <v>208.22462851664989</v>
      </c>
      <c r="L44" s="144">
        <v>170.65406041453912</v>
      </c>
      <c r="M44" s="140" t="b">
        <v>1</v>
      </c>
      <c r="N44" s="140">
        <v>1</v>
      </c>
      <c r="O44" s="302" t="s">
        <v>581</v>
      </c>
      <c r="P44" s="140" t="s">
        <v>166</v>
      </c>
      <c r="Q44" s="140" t="s">
        <v>166</v>
      </c>
      <c r="R44" s="140" t="s">
        <v>166</v>
      </c>
      <c r="S44" s="140" t="b">
        <v>1</v>
      </c>
      <c r="T44" s="140" t="b">
        <v>0</v>
      </c>
      <c r="U44" s="140" t="s">
        <v>166</v>
      </c>
      <c r="V44" s="140" t="b">
        <v>0</v>
      </c>
      <c r="W44" s="140" t="b">
        <v>0</v>
      </c>
      <c r="X44" s="140" t="s">
        <v>580</v>
      </c>
      <c r="Y44" s="148" t="s">
        <v>186</v>
      </c>
      <c r="Z44" t="s">
        <v>184</v>
      </c>
      <c r="AA44" s="149">
        <v>865</v>
      </c>
      <c r="AB44" s="149" t="s">
        <v>233</v>
      </c>
      <c r="AC44" s="149">
        <v>7</v>
      </c>
      <c r="AD44" s="149">
        <v>3</v>
      </c>
      <c r="AE44">
        <v>11</v>
      </c>
      <c r="AF44">
        <v>18</v>
      </c>
      <c r="AG44" s="150">
        <v>59.11</v>
      </c>
      <c r="AH44" t="s">
        <v>166</v>
      </c>
      <c r="AI44" t="s">
        <v>166</v>
      </c>
      <c r="AJ44" t="s">
        <v>253</v>
      </c>
      <c r="AK44">
        <v>18.440300000000001</v>
      </c>
      <c r="AL44">
        <v>-179.5558</v>
      </c>
      <c r="AM44" s="163">
        <v>11.681659698486328</v>
      </c>
      <c r="AN44" t="s">
        <v>166</v>
      </c>
      <c r="AO44">
        <v>-1530</v>
      </c>
      <c r="AP44">
        <v>-1400</v>
      </c>
      <c r="AQ44" t="s">
        <v>254</v>
      </c>
      <c r="AR44" t="s">
        <v>166</v>
      </c>
      <c r="AS44" s="150">
        <v>44.873441972637316</v>
      </c>
      <c r="AT44" t="s">
        <v>166</v>
      </c>
      <c r="AU44" t="s">
        <v>166</v>
      </c>
      <c r="AV44" t="s">
        <v>166</v>
      </c>
      <c r="AW44" t="s">
        <v>255</v>
      </c>
      <c r="AX44" t="s">
        <v>256</v>
      </c>
      <c r="AY44" t="s">
        <v>166</v>
      </c>
      <c r="AZ44" t="s">
        <v>166</v>
      </c>
      <c r="BA44" t="s">
        <v>166</v>
      </c>
      <c r="BB44" t="s">
        <v>166</v>
      </c>
      <c r="BC44" t="s">
        <v>166</v>
      </c>
      <c r="BD44" t="s">
        <v>166</v>
      </c>
      <c r="BE44" t="s">
        <v>166</v>
      </c>
      <c r="BF44" t="s">
        <v>166</v>
      </c>
      <c r="BG44" s="151" t="s">
        <v>288</v>
      </c>
      <c r="BH44" s="149" t="s">
        <v>192</v>
      </c>
      <c r="BI44" t="s">
        <v>166</v>
      </c>
      <c r="BJ44" s="152" t="s">
        <v>166</v>
      </c>
      <c r="BK44" t="s">
        <v>289</v>
      </c>
      <c r="BL44" t="s">
        <v>194</v>
      </c>
      <c r="BM44" t="s">
        <v>195</v>
      </c>
      <c r="BN44" t="s">
        <v>166</v>
      </c>
      <c r="BO44" t="s">
        <v>166</v>
      </c>
      <c r="BP44" t="s">
        <v>166</v>
      </c>
      <c r="BQ44" s="150">
        <v>14.895043364389071</v>
      </c>
      <c r="BR44" t="s">
        <v>196</v>
      </c>
      <c r="BS44" s="150">
        <v>0.21974687008674654</v>
      </c>
      <c r="BT44">
        <v>1</v>
      </c>
      <c r="BU44" t="s">
        <v>197</v>
      </c>
      <c r="BV44" t="s">
        <v>166</v>
      </c>
      <c r="BW44">
        <v>0</v>
      </c>
      <c r="BX44" t="s">
        <v>197</v>
      </c>
      <c r="BY44" t="s">
        <v>166</v>
      </c>
      <c r="BZ44" t="s">
        <v>198</v>
      </c>
      <c r="CA44" t="s">
        <v>166</v>
      </c>
      <c r="CB44" s="150">
        <v>14.895043364389071</v>
      </c>
      <c r="CC44" t="s">
        <v>196</v>
      </c>
      <c r="CD44" s="150">
        <v>0.21974687008674654</v>
      </c>
      <c r="CE44" t="s">
        <v>199</v>
      </c>
      <c r="CF44" t="s">
        <v>166</v>
      </c>
      <c r="CG44" t="s">
        <v>200</v>
      </c>
      <c r="CH44" t="s">
        <v>166</v>
      </c>
      <c r="CI44" t="s">
        <v>166</v>
      </c>
      <c r="CJ44" s="139">
        <v>35.329249031661611</v>
      </c>
      <c r="CK44" t="s">
        <v>201</v>
      </c>
      <c r="CL44">
        <v>2</v>
      </c>
      <c r="CM44">
        <v>2</v>
      </c>
      <c r="CN44" t="s">
        <v>166</v>
      </c>
      <c r="CO44" s="139">
        <v>3.9845254782635648</v>
      </c>
      <c r="CP44" t="s">
        <v>166</v>
      </c>
      <c r="CQ44" t="s">
        <v>166</v>
      </c>
      <c r="CR44" t="s">
        <v>166</v>
      </c>
      <c r="CS44" s="153" t="s">
        <v>202</v>
      </c>
      <c r="CT44" t="s">
        <v>203</v>
      </c>
      <c r="CU44">
        <v>2.2000000000000002</v>
      </c>
      <c r="CV44" t="s">
        <v>204</v>
      </c>
      <c r="CW44" t="s">
        <v>166</v>
      </c>
      <c r="CX44" t="s">
        <v>166</v>
      </c>
      <c r="CY44" t="s">
        <v>166</v>
      </c>
      <c r="CZ44" t="s">
        <v>166</v>
      </c>
      <c r="DA44" s="154" t="s">
        <v>166</v>
      </c>
      <c r="DB44" t="s">
        <v>166</v>
      </c>
      <c r="DC44" t="s">
        <v>166</v>
      </c>
      <c r="DD44" t="s">
        <v>166</v>
      </c>
      <c r="DE44" t="s">
        <v>166</v>
      </c>
      <c r="DF44" t="s">
        <v>205</v>
      </c>
      <c r="DG44">
        <v>35</v>
      </c>
      <c r="DH44" t="s">
        <v>201</v>
      </c>
      <c r="DI44">
        <v>1</v>
      </c>
      <c r="DJ44" t="s">
        <v>206</v>
      </c>
      <c r="DK44">
        <v>17</v>
      </c>
      <c r="DL44" t="s">
        <v>166</v>
      </c>
      <c r="DM44" t="s">
        <v>166</v>
      </c>
      <c r="DN44" t="s">
        <v>207</v>
      </c>
      <c r="DO44">
        <v>38</v>
      </c>
      <c r="DP44" t="s">
        <v>208</v>
      </c>
      <c r="DQ44">
        <v>3</v>
      </c>
      <c r="DR44" t="s">
        <v>209</v>
      </c>
      <c r="DS44" t="s">
        <v>166</v>
      </c>
      <c r="DT44" t="s">
        <v>166</v>
      </c>
      <c r="DU44" t="s">
        <v>166</v>
      </c>
      <c r="DV44" t="s">
        <v>166</v>
      </c>
      <c r="DW44">
        <v>432.6</v>
      </c>
      <c r="DX44" t="s">
        <v>166</v>
      </c>
      <c r="DY44" t="s">
        <v>166</v>
      </c>
      <c r="DZ44" t="s">
        <v>210</v>
      </c>
      <c r="EA44" t="s">
        <v>211</v>
      </c>
      <c r="EB44" t="s">
        <v>212</v>
      </c>
      <c r="EC44" t="s">
        <v>166</v>
      </c>
      <c r="ED44" t="s">
        <v>213</v>
      </c>
      <c r="EE44" s="155" t="s">
        <v>214</v>
      </c>
      <c r="EF44" s="155" t="s">
        <v>214</v>
      </c>
      <c r="EG44">
        <v>1.0271999999999999</v>
      </c>
      <c r="EH44" t="s">
        <v>215</v>
      </c>
      <c r="EI44" t="s">
        <v>215</v>
      </c>
      <c r="EJ44" t="s">
        <v>216</v>
      </c>
      <c r="EK44" t="s">
        <v>215</v>
      </c>
      <c r="EL44" t="s">
        <v>215</v>
      </c>
      <c r="EM44" t="s">
        <v>217</v>
      </c>
      <c r="EN44" s="156" t="s">
        <v>214</v>
      </c>
      <c r="EO44" s="156" t="s">
        <v>214</v>
      </c>
      <c r="EP44" s="156" t="s">
        <v>214</v>
      </c>
      <c r="EQ44" s="156" t="s">
        <v>214</v>
      </c>
      <c r="ET44" t="s">
        <v>218</v>
      </c>
      <c r="EU44" t="s">
        <v>219</v>
      </c>
      <c r="EV44" t="s">
        <v>213</v>
      </c>
      <c r="EW44" t="s">
        <v>166</v>
      </c>
      <c r="EX44" t="s">
        <v>166</v>
      </c>
      <c r="EY44" t="s">
        <v>166</v>
      </c>
      <c r="EZ44" t="s">
        <v>166</v>
      </c>
      <c r="FA44" s="157">
        <v>6.5</v>
      </c>
      <c r="FB44" t="s">
        <v>220</v>
      </c>
      <c r="FC44" s="157">
        <v>1</v>
      </c>
      <c r="FD44" s="157">
        <v>1</v>
      </c>
      <c r="FE44" s="150">
        <v>7.7047251018695704</v>
      </c>
      <c r="FF44" t="s">
        <v>221</v>
      </c>
      <c r="FG44" s="150">
        <v>3.0920316351860322E-2</v>
      </c>
      <c r="FH44" s="150">
        <v>3.3741811749269601E-2</v>
      </c>
      <c r="FI44" s="144">
        <v>1023.6960419742201</v>
      </c>
      <c r="FJ44" t="s">
        <v>166</v>
      </c>
      <c r="FK44" t="s">
        <v>166</v>
      </c>
      <c r="FL44" s="144">
        <f t="shared" si="2"/>
        <v>1023.6960419742201</v>
      </c>
      <c r="FM44" s="144">
        <v>208.22462851664989</v>
      </c>
      <c r="FN44" s="144">
        <v>170.65406041453912</v>
      </c>
      <c r="FO44" t="s">
        <v>222</v>
      </c>
      <c r="FP44" t="s">
        <v>223</v>
      </c>
      <c r="FQ44" s="144" t="s">
        <v>166</v>
      </c>
      <c r="FR44" s="144" t="s">
        <v>166</v>
      </c>
      <c r="FS44" s="144" t="s">
        <v>166</v>
      </c>
      <c r="FT44" s="144" t="s">
        <v>166</v>
      </c>
      <c r="FU44" s="144" t="s">
        <v>166</v>
      </c>
      <c r="FV44" s="144" t="s">
        <v>166</v>
      </c>
      <c r="FW44" s="144" t="s">
        <v>166</v>
      </c>
      <c r="FX44" s="144" t="s">
        <v>166</v>
      </c>
      <c r="FY44" s="144" t="s">
        <v>166</v>
      </c>
      <c r="FZ44" s="144" t="s">
        <v>166</v>
      </c>
      <c r="GA44" s="144" t="s">
        <v>166</v>
      </c>
      <c r="GB44" s="144" t="s">
        <v>166</v>
      </c>
      <c r="GC44" s="158" t="s">
        <v>224</v>
      </c>
    </row>
    <row r="45" spans="1:185" ht="17">
      <c r="A45" s="140" t="s">
        <v>162</v>
      </c>
      <c r="B45" s="143" t="s">
        <v>163</v>
      </c>
      <c r="C45" s="140" t="s">
        <v>164</v>
      </c>
      <c r="D45" s="140" t="s">
        <v>165</v>
      </c>
      <c r="E45" s="140">
        <v>2020</v>
      </c>
      <c r="F45" t="s">
        <v>184</v>
      </c>
      <c r="G45" s="139">
        <v>44873.441972637316</v>
      </c>
      <c r="H45" s="147">
        <f t="shared" ref="H45" si="42">0.0083*G45^(0.9482)</f>
        <v>213.84269805308594</v>
      </c>
      <c r="I45" s="147">
        <f t="shared" si="1"/>
        <v>213.84269805308594</v>
      </c>
      <c r="J45" s="144">
        <v>895.03114612380898</v>
      </c>
      <c r="K45" s="144">
        <v>187.41934928287117</v>
      </c>
      <c r="L45" s="144">
        <v>152.67764467715597</v>
      </c>
      <c r="M45" s="140" t="b">
        <v>1</v>
      </c>
      <c r="N45" s="140">
        <v>1</v>
      </c>
      <c r="O45" s="302" t="s">
        <v>581</v>
      </c>
      <c r="P45" s="140" t="s">
        <v>166</v>
      </c>
      <c r="Q45" s="140" t="s">
        <v>166</v>
      </c>
      <c r="R45" s="140" t="s">
        <v>166</v>
      </c>
      <c r="S45" s="140" t="b">
        <v>1</v>
      </c>
      <c r="T45" s="140" t="b">
        <v>0</v>
      </c>
      <c r="U45" s="140" t="s">
        <v>166</v>
      </c>
      <c r="V45" s="140" t="b">
        <v>0</v>
      </c>
      <c r="W45" s="140" t="b">
        <v>0</v>
      </c>
      <c r="X45" s="140" t="s">
        <v>580</v>
      </c>
      <c r="Y45" s="148" t="s">
        <v>186</v>
      </c>
      <c r="Z45" t="s">
        <v>184</v>
      </c>
      <c r="AA45" s="149">
        <v>865</v>
      </c>
      <c r="AB45" s="149" t="s">
        <v>233</v>
      </c>
      <c r="AC45" s="149">
        <v>7</v>
      </c>
      <c r="AD45" s="149">
        <v>3</v>
      </c>
      <c r="AE45">
        <v>11</v>
      </c>
      <c r="AF45">
        <v>18</v>
      </c>
      <c r="AG45" s="150">
        <v>59.11</v>
      </c>
      <c r="AH45" t="s">
        <v>166</v>
      </c>
      <c r="AI45" t="s">
        <v>166</v>
      </c>
      <c r="AJ45" t="s">
        <v>253</v>
      </c>
      <c r="AK45">
        <v>18.440300000000001</v>
      </c>
      <c r="AL45">
        <v>-179.5558</v>
      </c>
      <c r="AM45" s="163">
        <v>11.681659698486328</v>
      </c>
      <c r="AN45" t="s">
        <v>166</v>
      </c>
      <c r="AO45">
        <v>-1530</v>
      </c>
      <c r="AP45">
        <v>-1400</v>
      </c>
      <c r="AQ45" t="s">
        <v>254</v>
      </c>
      <c r="AR45" t="s">
        <v>166</v>
      </c>
      <c r="AS45" s="150">
        <v>44.873441972637316</v>
      </c>
      <c r="AT45" t="s">
        <v>166</v>
      </c>
      <c r="AU45" t="s">
        <v>166</v>
      </c>
      <c r="AV45" t="s">
        <v>166</v>
      </c>
      <c r="AW45" t="s">
        <v>255</v>
      </c>
      <c r="AX45" t="s">
        <v>256</v>
      </c>
      <c r="AY45" t="s">
        <v>166</v>
      </c>
      <c r="AZ45" t="s">
        <v>166</v>
      </c>
      <c r="BA45" t="s">
        <v>166</v>
      </c>
      <c r="BB45" t="s">
        <v>166</v>
      </c>
      <c r="BC45" t="s">
        <v>166</v>
      </c>
      <c r="BD45" t="s">
        <v>166</v>
      </c>
      <c r="BE45" t="s">
        <v>166</v>
      </c>
      <c r="BF45" t="s">
        <v>166</v>
      </c>
      <c r="BG45" s="151" t="s">
        <v>229</v>
      </c>
      <c r="BH45" s="149" t="s">
        <v>192</v>
      </c>
      <c r="BI45" t="s">
        <v>166</v>
      </c>
      <c r="BJ45" s="152" t="s">
        <v>166</v>
      </c>
      <c r="BK45" t="s">
        <v>290</v>
      </c>
      <c r="BL45" t="s">
        <v>194</v>
      </c>
      <c r="BM45" t="s">
        <v>195</v>
      </c>
      <c r="BN45" t="s">
        <v>166</v>
      </c>
      <c r="BO45" t="s">
        <v>166</v>
      </c>
      <c r="BP45" t="s">
        <v>166</v>
      </c>
      <c r="BQ45" s="150">
        <v>15.095335495043493</v>
      </c>
      <c r="BR45" t="s">
        <v>196</v>
      </c>
      <c r="BS45" s="150">
        <v>0.24128334116152253</v>
      </c>
      <c r="BT45">
        <v>1</v>
      </c>
      <c r="BU45" t="s">
        <v>197</v>
      </c>
      <c r="BV45" t="s">
        <v>166</v>
      </c>
      <c r="BW45">
        <v>0</v>
      </c>
      <c r="BX45" t="s">
        <v>197</v>
      </c>
      <c r="BY45" t="s">
        <v>166</v>
      </c>
      <c r="BZ45" t="s">
        <v>198</v>
      </c>
      <c r="CA45" t="s">
        <v>166</v>
      </c>
      <c r="CB45" s="150">
        <v>15.095335495043493</v>
      </c>
      <c r="CC45" t="s">
        <v>196</v>
      </c>
      <c r="CD45" s="150">
        <v>0.24128334116152253</v>
      </c>
      <c r="CE45" t="s">
        <v>199</v>
      </c>
      <c r="CF45" t="s">
        <v>166</v>
      </c>
      <c r="CG45" t="s">
        <v>200</v>
      </c>
      <c r="CH45" t="s">
        <v>166</v>
      </c>
      <c r="CI45" t="s">
        <v>166</v>
      </c>
      <c r="CJ45" s="139">
        <v>34.575625932289306</v>
      </c>
      <c r="CK45" t="s">
        <v>201</v>
      </c>
      <c r="CL45">
        <v>2</v>
      </c>
      <c r="CM45">
        <v>2</v>
      </c>
      <c r="CN45" t="s">
        <v>166</v>
      </c>
      <c r="CO45" s="139">
        <v>3.8188182488073452</v>
      </c>
      <c r="CP45" t="s">
        <v>166</v>
      </c>
      <c r="CQ45" t="s">
        <v>166</v>
      </c>
      <c r="CR45" t="s">
        <v>166</v>
      </c>
      <c r="CS45" s="153" t="s">
        <v>202</v>
      </c>
      <c r="CT45" t="s">
        <v>203</v>
      </c>
      <c r="CU45">
        <v>2.2000000000000002</v>
      </c>
      <c r="CV45" t="s">
        <v>204</v>
      </c>
      <c r="CW45" t="s">
        <v>166</v>
      </c>
      <c r="CX45" t="s">
        <v>166</v>
      </c>
      <c r="CY45" t="s">
        <v>166</v>
      </c>
      <c r="CZ45" t="s">
        <v>166</v>
      </c>
      <c r="DA45" s="154" t="s">
        <v>166</v>
      </c>
      <c r="DB45" t="s">
        <v>166</v>
      </c>
      <c r="DC45" t="s">
        <v>166</v>
      </c>
      <c r="DD45" t="s">
        <v>166</v>
      </c>
      <c r="DE45" t="s">
        <v>166</v>
      </c>
      <c r="DF45" t="s">
        <v>205</v>
      </c>
      <c r="DG45">
        <v>35</v>
      </c>
      <c r="DH45" t="s">
        <v>201</v>
      </c>
      <c r="DI45">
        <v>1</v>
      </c>
      <c r="DJ45" t="s">
        <v>206</v>
      </c>
      <c r="DK45">
        <v>17</v>
      </c>
      <c r="DL45" t="s">
        <v>166</v>
      </c>
      <c r="DM45" t="s">
        <v>166</v>
      </c>
      <c r="DN45" t="s">
        <v>207</v>
      </c>
      <c r="DO45">
        <v>38</v>
      </c>
      <c r="DP45" t="s">
        <v>208</v>
      </c>
      <c r="DQ45">
        <v>3</v>
      </c>
      <c r="DR45" t="s">
        <v>209</v>
      </c>
      <c r="DS45" t="s">
        <v>166</v>
      </c>
      <c r="DT45" t="s">
        <v>166</v>
      </c>
      <c r="DU45" t="s">
        <v>166</v>
      </c>
      <c r="DV45" t="s">
        <v>166</v>
      </c>
      <c r="DW45">
        <v>432.6</v>
      </c>
      <c r="DX45" t="s">
        <v>166</v>
      </c>
      <c r="DY45" t="s">
        <v>166</v>
      </c>
      <c r="DZ45" t="s">
        <v>210</v>
      </c>
      <c r="EA45" t="s">
        <v>211</v>
      </c>
      <c r="EB45" t="s">
        <v>212</v>
      </c>
      <c r="EC45" t="s">
        <v>166</v>
      </c>
      <c r="ED45" t="s">
        <v>213</v>
      </c>
      <c r="EE45" s="155" t="s">
        <v>214</v>
      </c>
      <c r="EF45" s="155" t="s">
        <v>214</v>
      </c>
      <c r="EG45">
        <v>1.0271999999999999</v>
      </c>
      <c r="EH45" t="s">
        <v>215</v>
      </c>
      <c r="EI45" t="s">
        <v>215</v>
      </c>
      <c r="EJ45" t="s">
        <v>216</v>
      </c>
      <c r="EK45" t="s">
        <v>215</v>
      </c>
      <c r="EL45" t="s">
        <v>215</v>
      </c>
      <c r="EM45" t="s">
        <v>217</v>
      </c>
      <c r="EN45" s="156" t="s">
        <v>214</v>
      </c>
      <c r="EO45" s="156" t="s">
        <v>214</v>
      </c>
      <c r="EP45" s="156" t="s">
        <v>214</v>
      </c>
      <c r="EQ45" s="156" t="s">
        <v>214</v>
      </c>
      <c r="ET45" t="s">
        <v>218</v>
      </c>
      <c r="EU45" t="s">
        <v>219</v>
      </c>
      <c r="EV45" t="s">
        <v>213</v>
      </c>
      <c r="EW45" t="s">
        <v>166</v>
      </c>
      <c r="EX45" t="s">
        <v>166</v>
      </c>
      <c r="EY45" t="s">
        <v>166</v>
      </c>
      <c r="EZ45" t="s">
        <v>166</v>
      </c>
      <c r="FA45" s="157">
        <v>6.5</v>
      </c>
      <c r="FB45" t="s">
        <v>220</v>
      </c>
      <c r="FC45" s="157">
        <v>1</v>
      </c>
      <c r="FD45" s="157">
        <v>1</v>
      </c>
      <c r="FE45" s="150">
        <v>7.7391292365816602</v>
      </c>
      <c r="FF45" t="s">
        <v>221</v>
      </c>
      <c r="FG45" s="150">
        <v>3.391633141098005E-2</v>
      </c>
      <c r="FH45" s="150">
        <v>3.2994375749229476E-2</v>
      </c>
      <c r="FI45" s="144">
        <v>895.03114612380898</v>
      </c>
      <c r="FJ45" t="s">
        <v>166</v>
      </c>
      <c r="FK45" t="s">
        <v>166</v>
      </c>
      <c r="FL45" s="144">
        <f t="shared" si="2"/>
        <v>895.03114612380898</v>
      </c>
      <c r="FM45" s="144">
        <v>187.41934928287117</v>
      </c>
      <c r="FN45" s="144">
        <v>152.67764467715597</v>
      </c>
      <c r="FO45" t="s">
        <v>222</v>
      </c>
      <c r="FP45" t="s">
        <v>223</v>
      </c>
      <c r="FQ45" s="144" t="s">
        <v>166</v>
      </c>
      <c r="FR45" s="144" t="s">
        <v>166</v>
      </c>
      <c r="FS45" s="144" t="s">
        <v>166</v>
      </c>
      <c r="FT45" s="144" t="s">
        <v>166</v>
      </c>
      <c r="FU45" s="144" t="s">
        <v>166</v>
      </c>
      <c r="FV45" s="144" t="s">
        <v>166</v>
      </c>
      <c r="FW45" s="144" t="s">
        <v>166</v>
      </c>
      <c r="FX45" s="144" t="s">
        <v>166</v>
      </c>
      <c r="FY45" s="144" t="s">
        <v>166</v>
      </c>
      <c r="FZ45" s="144" t="s">
        <v>166</v>
      </c>
      <c r="GA45" s="144" t="s">
        <v>166</v>
      </c>
      <c r="GB45" s="144" t="s">
        <v>166</v>
      </c>
      <c r="GC45" s="158" t="s">
        <v>224</v>
      </c>
    </row>
    <row r="46" spans="1:185" ht="17">
      <c r="A46" s="140" t="s">
        <v>162</v>
      </c>
      <c r="B46" s="143" t="s">
        <v>163</v>
      </c>
      <c r="C46" s="140" t="s">
        <v>164</v>
      </c>
      <c r="D46" s="140" t="s">
        <v>165</v>
      </c>
      <c r="E46" s="140">
        <v>2020</v>
      </c>
      <c r="F46" t="s">
        <v>184</v>
      </c>
      <c r="G46" s="139">
        <v>44873.441972637316</v>
      </c>
      <c r="H46" s="147">
        <f t="shared" ref="H46" si="43">0.0083*G46^(0.9482)</f>
        <v>213.84269805308594</v>
      </c>
      <c r="I46" s="147">
        <f t="shared" si="1"/>
        <v>213.84269805308594</v>
      </c>
      <c r="J46" s="144">
        <v>874.27899522697805</v>
      </c>
      <c r="K46" s="144">
        <v>184.72071903394192</v>
      </c>
      <c r="L46" s="144">
        <v>152.8083464435631</v>
      </c>
      <c r="M46" s="140" t="b">
        <v>1</v>
      </c>
      <c r="N46" s="140">
        <v>1</v>
      </c>
      <c r="O46" s="302" t="s">
        <v>581</v>
      </c>
      <c r="P46" s="140" t="s">
        <v>166</v>
      </c>
      <c r="Q46" s="140" t="s">
        <v>166</v>
      </c>
      <c r="R46" s="140" t="s">
        <v>166</v>
      </c>
      <c r="S46" s="140" t="b">
        <v>1</v>
      </c>
      <c r="T46" s="140" t="b">
        <v>0</v>
      </c>
      <c r="U46" s="140" t="s">
        <v>166</v>
      </c>
      <c r="V46" s="140" t="b">
        <v>0</v>
      </c>
      <c r="W46" s="140" t="b">
        <v>0</v>
      </c>
      <c r="X46" s="140" t="s">
        <v>580</v>
      </c>
      <c r="Y46" s="148" t="s">
        <v>186</v>
      </c>
      <c r="Z46" t="s">
        <v>184</v>
      </c>
      <c r="AA46" s="149">
        <v>865</v>
      </c>
      <c r="AB46" s="149" t="s">
        <v>233</v>
      </c>
      <c r="AC46" s="149">
        <v>7</v>
      </c>
      <c r="AD46" s="149">
        <v>3</v>
      </c>
      <c r="AE46">
        <v>11</v>
      </c>
      <c r="AF46">
        <v>18</v>
      </c>
      <c r="AG46" s="150">
        <v>59.11</v>
      </c>
      <c r="AH46" t="s">
        <v>166</v>
      </c>
      <c r="AI46" t="s">
        <v>166</v>
      </c>
      <c r="AJ46" t="s">
        <v>253</v>
      </c>
      <c r="AK46">
        <v>18.440300000000001</v>
      </c>
      <c r="AL46">
        <v>-179.5558</v>
      </c>
      <c r="AM46" s="163">
        <v>11.681659698486328</v>
      </c>
      <c r="AN46" t="s">
        <v>166</v>
      </c>
      <c r="AO46">
        <v>-1530</v>
      </c>
      <c r="AP46">
        <v>-1400</v>
      </c>
      <c r="AQ46" t="s">
        <v>254</v>
      </c>
      <c r="AR46" t="s">
        <v>166</v>
      </c>
      <c r="AS46" s="150">
        <v>44.873441972637316</v>
      </c>
      <c r="AT46" t="s">
        <v>166</v>
      </c>
      <c r="AU46" t="s">
        <v>166</v>
      </c>
      <c r="AV46" t="s">
        <v>166</v>
      </c>
      <c r="AW46" t="s">
        <v>255</v>
      </c>
      <c r="AX46" t="s">
        <v>256</v>
      </c>
      <c r="AY46" t="s">
        <v>166</v>
      </c>
      <c r="AZ46" t="s">
        <v>166</v>
      </c>
      <c r="BA46" t="s">
        <v>166</v>
      </c>
      <c r="BB46" t="s">
        <v>166</v>
      </c>
      <c r="BC46" t="s">
        <v>166</v>
      </c>
      <c r="BD46" t="s">
        <v>166</v>
      </c>
      <c r="BE46" t="s">
        <v>166</v>
      </c>
      <c r="BF46" t="s">
        <v>166</v>
      </c>
      <c r="BG46" s="151" t="s">
        <v>291</v>
      </c>
      <c r="BH46" s="149" t="s">
        <v>192</v>
      </c>
      <c r="BI46" t="s">
        <v>166</v>
      </c>
      <c r="BJ46" s="152" t="s">
        <v>166</v>
      </c>
      <c r="BK46" t="s">
        <v>292</v>
      </c>
      <c r="BL46" t="s">
        <v>194</v>
      </c>
      <c r="BM46" t="s">
        <v>195</v>
      </c>
      <c r="BN46" t="s">
        <v>166</v>
      </c>
      <c r="BO46" t="s">
        <v>166</v>
      </c>
      <c r="BP46" t="s">
        <v>166</v>
      </c>
      <c r="BQ46" s="150">
        <v>15.086200052388291</v>
      </c>
      <c r="BR46" t="s">
        <v>196</v>
      </c>
      <c r="BS46" s="150">
        <v>0.26413669577693244</v>
      </c>
      <c r="BT46">
        <v>1</v>
      </c>
      <c r="BU46" t="s">
        <v>197</v>
      </c>
      <c r="BV46" t="s">
        <v>166</v>
      </c>
      <c r="BW46">
        <v>0</v>
      </c>
      <c r="BX46" t="s">
        <v>197</v>
      </c>
      <c r="BY46" t="s">
        <v>166</v>
      </c>
      <c r="BZ46" t="s">
        <v>198</v>
      </c>
      <c r="CA46" t="s">
        <v>166</v>
      </c>
      <c r="CB46" s="150">
        <v>15.086200052388291</v>
      </c>
      <c r="CC46" t="s">
        <v>196</v>
      </c>
      <c r="CD46" s="150">
        <v>0.26413669577693244</v>
      </c>
      <c r="CE46" t="s">
        <v>259</v>
      </c>
      <c r="CF46" t="s">
        <v>260</v>
      </c>
      <c r="CG46" t="s">
        <v>200</v>
      </c>
      <c r="CH46" t="s">
        <v>166</v>
      </c>
      <c r="CI46" t="s">
        <v>166</v>
      </c>
      <c r="CJ46" s="139">
        <v>32.540744089319737</v>
      </c>
      <c r="CK46" t="s">
        <v>201</v>
      </c>
      <c r="CL46">
        <v>2</v>
      </c>
      <c r="CM46">
        <v>2</v>
      </c>
      <c r="CN46" t="s">
        <v>166</v>
      </c>
      <c r="CO46" s="139">
        <v>3.4050067964125357</v>
      </c>
      <c r="CP46" t="s">
        <v>166</v>
      </c>
      <c r="CQ46" t="s">
        <v>166</v>
      </c>
      <c r="CR46" t="s">
        <v>166</v>
      </c>
      <c r="CS46" s="153" t="s">
        <v>202</v>
      </c>
      <c r="CT46" t="s">
        <v>203</v>
      </c>
      <c r="CU46">
        <v>2.2000000000000002</v>
      </c>
      <c r="CV46" t="s">
        <v>204</v>
      </c>
      <c r="CW46" t="s">
        <v>166</v>
      </c>
      <c r="CX46" t="s">
        <v>166</v>
      </c>
      <c r="CY46" t="s">
        <v>166</v>
      </c>
      <c r="CZ46" t="s">
        <v>166</v>
      </c>
      <c r="DA46" s="154" t="s">
        <v>166</v>
      </c>
      <c r="DB46" t="s">
        <v>166</v>
      </c>
      <c r="DC46" t="s">
        <v>166</v>
      </c>
      <c r="DD46" t="s">
        <v>166</v>
      </c>
      <c r="DE46" t="s">
        <v>166</v>
      </c>
      <c r="DF46" t="s">
        <v>205</v>
      </c>
      <c r="DG46">
        <v>35</v>
      </c>
      <c r="DH46" t="s">
        <v>201</v>
      </c>
      <c r="DI46">
        <v>1</v>
      </c>
      <c r="DJ46" t="s">
        <v>206</v>
      </c>
      <c r="DK46">
        <v>17</v>
      </c>
      <c r="DL46" t="s">
        <v>166</v>
      </c>
      <c r="DM46" t="s">
        <v>166</v>
      </c>
      <c r="DN46" t="s">
        <v>207</v>
      </c>
      <c r="DO46">
        <v>38</v>
      </c>
      <c r="DP46" t="s">
        <v>208</v>
      </c>
      <c r="DQ46">
        <v>3</v>
      </c>
      <c r="DR46" t="s">
        <v>209</v>
      </c>
      <c r="DS46" t="s">
        <v>166</v>
      </c>
      <c r="DT46" t="s">
        <v>166</v>
      </c>
      <c r="DU46" t="s">
        <v>166</v>
      </c>
      <c r="DV46" t="s">
        <v>166</v>
      </c>
      <c r="DW46">
        <v>432.6</v>
      </c>
      <c r="DX46" t="s">
        <v>166</v>
      </c>
      <c r="DY46" t="s">
        <v>166</v>
      </c>
      <c r="DZ46" t="s">
        <v>210</v>
      </c>
      <c r="EA46" t="s">
        <v>211</v>
      </c>
      <c r="EB46" t="s">
        <v>212</v>
      </c>
      <c r="EC46" t="s">
        <v>166</v>
      </c>
      <c r="ED46" t="s">
        <v>213</v>
      </c>
      <c r="EE46" s="155" t="s">
        <v>214</v>
      </c>
      <c r="EF46" s="155" t="s">
        <v>214</v>
      </c>
      <c r="EG46">
        <v>1.0271999999999999</v>
      </c>
      <c r="EH46" t="s">
        <v>215</v>
      </c>
      <c r="EI46" t="s">
        <v>215</v>
      </c>
      <c r="EJ46" t="s">
        <v>216</v>
      </c>
      <c r="EK46" t="s">
        <v>215</v>
      </c>
      <c r="EL46" t="s">
        <v>215</v>
      </c>
      <c r="EM46" t="s">
        <v>217</v>
      </c>
      <c r="EN46" s="156" t="s">
        <v>214</v>
      </c>
      <c r="EO46" s="156" t="s">
        <v>214</v>
      </c>
      <c r="EP46" s="156" t="s">
        <v>214</v>
      </c>
      <c r="EQ46" s="156" t="s">
        <v>214</v>
      </c>
      <c r="ET46" t="s">
        <v>218</v>
      </c>
      <c r="EU46" t="s">
        <v>219</v>
      </c>
      <c r="EV46" t="s">
        <v>213</v>
      </c>
      <c r="EW46" t="s">
        <v>166</v>
      </c>
      <c r="EX46" t="s">
        <v>166</v>
      </c>
      <c r="EY46" t="s">
        <v>166</v>
      </c>
      <c r="EZ46" t="s">
        <v>166</v>
      </c>
      <c r="FA46" s="157">
        <v>6.5</v>
      </c>
      <c r="FB46" t="s">
        <v>220</v>
      </c>
      <c r="FC46" s="157">
        <v>1</v>
      </c>
      <c r="FD46" s="157">
        <v>1</v>
      </c>
      <c r="FE46" s="150">
        <v>7.7592942207436302</v>
      </c>
      <c r="FF46" t="s">
        <v>221</v>
      </c>
      <c r="FG46" s="150">
        <v>3.496055402164977E-2</v>
      </c>
      <c r="FH46" s="150">
        <v>3.690825208265025E-2</v>
      </c>
      <c r="FI46" s="144">
        <v>874.27899522697805</v>
      </c>
      <c r="FJ46" t="s">
        <v>166</v>
      </c>
      <c r="FK46" t="s">
        <v>166</v>
      </c>
      <c r="FL46" s="144">
        <f t="shared" si="2"/>
        <v>874.27899522697805</v>
      </c>
      <c r="FM46" s="144">
        <v>184.72071903394192</v>
      </c>
      <c r="FN46" s="144">
        <v>152.8083464435631</v>
      </c>
      <c r="FO46" t="s">
        <v>222</v>
      </c>
      <c r="FP46" t="s">
        <v>223</v>
      </c>
      <c r="FQ46" s="144" t="s">
        <v>166</v>
      </c>
      <c r="FR46" s="144" t="s">
        <v>166</v>
      </c>
      <c r="FS46" s="144" t="s">
        <v>166</v>
      </c>
      <c r="FT46" s="144" t="s">
        <v>166</v>
      </c>
      <c r="FU46" s="144" t="s">
        <v>166</v>
      </c>
      <c r="FV46" s="144" t="s">
        <v>166</v>
      </c>
      <c r="FW46" s="144" t="s">
        <v>166</v>
      </c>
      <c r="FX46" s="144" t="s">
        <v>166</v>
      </c>
      <c r="FY46" s="144" t="s">
        <v>166</v>
      </c>
      <c r="FZ46" s="144" t="s">
        <v>166</v>
      </c>
      <c r="GA46" s="144" t="s">
        <v>166</v>
      </c>
      <c r="GB46" s="144" t="s">
        <v>166</v>
      </c>
      <c r="GC46" s="158" t="s">
        <v>261</v>
      </c>
    </row>
    <row r="47" spans="1:185" ht="17">
      <c r="A47" s="140" t="s">
        <v>162</v>
      </c>
      <c r="B47" s="143" t="s">
        <v>163</v>
      </c>
      <c r="C47" s="140" t="s">
        <v>164</v>
      </c>
      <c r="D47" s="140" t="s">
        <v>165</v>
      </c>
      <c r="E47" s="140">
        <v>2020</v>
      </c>
      <c r="F47" t="s">
        <v>184</v>
      </c>
      <c r="G47" s="139">
        <v>45204.769310523589</v>
      </c>
      <c r="H47" s="147">
        <f t="shared" ref="H47" si="44">0.0083*G47^(0.9482)</f>
        <v>215.33955197071546</v>
      </c>
      <c r="I47" s="147">
        <f t="shared" si="1"/>
        <v>215.33955197071546</v>
      </c>
      <c r="J47" s="144">
        <v>958.56022386520601</v>
      </c>
      <c r="K47" s="144">
        <v>175.94132118365394</v>
      </c>
      <c r="L47" s="144">
        <v>154.14751727530904</v>
      </c>
      <c r="M47" s="140" t="b">
        <v>1</v>
      </c>
      <c r="N47" s="140">
        <v>1</v>
      </c>
      <c r="O47" s="302" t="s">
        <v>581</v>
      </c>
      <c r="P47" s="140" t="s">
        <v>166</v>
      </c>
      <c r="Q47" s="140" t="s">
        <v>166</v>
      </c>
      <c r="R47" s="140" t="s">
        <v>166</v>
      </c>
      <c r="S47" s="140" t="b">
        <v>1</v>
      </c>
      <c r="T47" s="140" t="b">
        <v>0</v>
      </c>
      <c r="U47" s="140" t="s">
        <v>166</v>
      </c>
      <c r="V47" s="140" t="b">
        <v>0</v>
      </c>
      <c r="W47" s="140" t="b">
        <v>0</v>
      </c>
      <c r="X47" s="140" t="s">
        <v>580</v>
      </c>
      <c r="Y47" s="148" t="s">
        <v>186</v>
      </c>
      <c r="Z47" t="s">
        <v>184</v>
      </c>
      <c r="AA47" s="149">
        <v>865</v>
      </c>
      <c r="AB47" s="149" t="s">
        <v>233</v>
      </c>
      <c r="AC47" s="149">
        <v>7</v>
      </c>
      <c r="AD47" s="149">
        <v>4</v>
      </c>
      <c r="AE47">
        <v>8</v>
      </c>
      <c r="AF47">
        <v>17</v>
      </c>
      <c r="AG47" s="150">
        <v>60.58</v>
      </c>
      <c r="AH47" t="s">
        <v>166</v>
      </c>
      <c r="AI47" t="s">
        <v>166</v>
      </c>
      <c r="AJ47" t="s">
        <v>253</v>
      </c>
      <c r="AK47">
        <v>18.440300000000001</v>
      </c>
      <c r="AL47">
        <v>-179.5558</v>
      </c>
      <c r="AM47" s="163">
        <v>11.707368850708008</v>
      </c>
      <c r="AN47" t="s">
        <v>166</v>
      </c>
      <c r="AO47">
        <v>-1530</v>
      </c>
      <c r="AP47">
        <v>-1400</v>
      </c>
      <c r="AQ47" t="s">
        <v>254</v>
      </c>
      <c r="AR47" t="s">
        <v>166</v>
      </c>
      <c r="AS47" s="150">
        <v>45.204769310523588</v>
      </c>
      <c r="AT47" t="s">
        <v>166</v>
      </c>
      <c r="AU47" t="s">
        <v>166</v>
      </c>
      <c r="AV47" t="s">
        <v>166</v>
      </c>
      <c r="AW47" t="s">
        <v>255</v>
      </c>
      <c r="AX47" t="s">
        <v>256</v>
      </c>
      <c r="AY47" t="s">
        <v>166</v>
      </c>
      <c r="AZ47" t="s">
        <v>166</v>
      </c>
      <c r="BA47" t="s">
        <v>166</v>
      </c>
      <c r="BB47" t="s">
        <v>166</v>
      </c>
      <c r="BC47" t="s">
        <v>166</v>
      </c>
      <c r="BD47" t="s">
        <v>166</v>
      </c>
      <c r="BE47" t="s">
        <v>166</v>
      </c>
      <c r="BF47" t="s">
        <v>166</v>
      </c>
      <c r="BG47" s="151" t="s">
        <v>229</v>
      </c>
      <c r="BH47" s="149" t="s">
        <v>192</v>
      </c>
      <c r="BI47" t="s">
        <v>166</v>
      </c>
      <c r="BJ47" s="152" t="s">
        <v>166</v>
      </c>
      <c r="BK47" t="s">
        <v>293</v>
      </c>
      <c r="BL47" t="s">
        <v>194</v>
      </c>
      <c r="BM47" t="s">
        <v>195</v>
      </c>
      <c r="BN47" t="s">
        <v>166</v>
      </c>
      <c r="BO47" t="s">
        <v>166</v>
      </c>
      <c r="BP47" t="s">
        <v>166</v>
      </c>
      <c r="BQ47" s="150">
        <v>15.006661151981127</v>
      </c>
      <c r="BR47" t="s">
        <v>196</v>
      </c>
      <c r="BS47" s="150">
        <v>0.18548603285507165</v>
      </c>
      <c r="BT47">
        <v>1</v>
      </c>
      <c r="BU47" t="s">
        <v>197</v>
      </c>
      <c r="BV47" t="s">
        <v>166</v>
      </c>
      <c r="BW47">
        <v>0</v>
      </c>
      <c r="BX47" t="s">
        <v>197</v>
      </c>
      <c r="BY47" t="s">
        <v>166</v>
      </c>
      <c r="BZ47" t="s">
        <v>198</v>
      </c>
      <c r="CA47" t="s">
        <v>166</v>
      </c>
      <c r="CB47" s="150">
        <v>15.006661151981127</v>
      </c>
      <c r="CC47" t="s">
        <v>196</v>
      </c>
      <c r="CD47" s="150">
        <v>0.18548603285507165</v>
      </c>
      <c r="CE47" t="s">
        <v>199</v>
      </c>
      <c r="CF47" t="s">
        <v>166</v>
      </c>
      <c r="CG47" t="s">
        <v>200</v>
      </c>
      <c r="CH47" t="s">
        <v>166</v>
      </c>
      <c r="CI47" t="s">
        <v>166</v>
      </c>
      <c r="CJ47" s="139">
        <v>35.249208711134713</v>
      </c>
      <c r="CK47" t="s">
        <v>201</v>
      </c>
      <c r="CL47">
        <v>2</v>
      </c>
      <c r="CM47">
        <v>2</v>
      </c>
      <c r="CN47" t="s">
        <v>166</v>
      </c>
      <c r="CO47" s="139">
        <v>3.9665902063480458</v>
      </c>
      <c r="CP47" t="s">
        <v>166</v>
      </c>
      <c r="CQ47" t="s">
        <v>166</v>
      </c>
      <c r="CR47" t="s">
        <v>166</v>
      </c>
      <c r="CS47" s="153" t="s">
        <v>202</v>
      </c>
      <c r="CT47" t="s">
        <v>203</v>
      </c>
      <c r="CU47">
        <v>2.2000000000000002</v>
      </c>
      <c r="CV47" t="s">
        <v>204</v>
      </c>
      <c r="CW47" t="s">
        <v>166</v>
      </c>
      <c r="CX47" t="s">
        <v>166</v>
      </c>
      <c r="CY47" t="s">
        <v>166</v>
      </c>
      <c r="CZ47" t="s">
        <v>166</v>
      </c>
      <c r="DA47" s="154" t="s">
        <v>166</v>
      </c>
      <c r="DB47" t="s">
        <v>166</v>
      </c>
      <c r="DC47" t="s">
        <v>166</v>
      </c>
      <c r="DD47" t="s">
        <v>166</v>
      </c>
      <c r="DE47" t="s">
        <v>166</v>
      </c>
      <c r="DF47" t="s">
        <v>205</v>
      </c>
      <c r="DG47">
        <v>35</v>
      </c>
      <c r="DH47" t="s">
        <v>201</v>
      </c>
      <c r="DI47">
        <v>1</v>
      </c>
      <c r="DJ47" t="s">
        <v>206</v>
      </c>
      <c r="DK47">
        <v>17</v>
      </c>
      <c r="DL47" t="s">
        <v>166</v>
      </c>
      <c r="DM47" t="s">
        <v>166</v>
      </c>
      <c r="DN47" t="s">
        <v>207</v>
      </c>
      <c r="DO47">
        <v>38</v>
      </c>
      <c r="DP47" t="s">
        <v>208</v>
      </c>
      <c r="DQ47">
        <v>3</v>
      </c>
      <c r="DR47" t="s">
        <v>209</v>
      </c>
      <c r="DS47" t="s">
        <v>166</v>
      </c>
      <c r="DT47" t="s">
        <v>166</v>
      </c>
      <c r="DU47" t="s">
        <v>166</v>
      </c>
      <c r="DV47" t="s">
        <v>166</v>
      </c>
      <c r="DW47">
        <v>432.6</v>
      </c>
      <c r="DX47" t="s">
        <v>166</v>
      </c>
      <c r="DY47" t="s">
        <v>166</v>
      </c>
      <c r="DZ47" t="s">
        <v>210</v>
      </c>
      <c r="EA47" t="s">
        <v>211</v>
      </c>
      <c r="EB47" t="s">
        <v>212</v>
      </c>
      <c r="EC47" t="s">
        <v>166</v>
      </c>
      <c r="ED47" t="s">
        <v>213</v>
      </c>
      <c r="EE47" s="155" t="s">
        <v>214</v>
      </c>
      <c r="EF47" s="155" t="s">
        <v>214</v>
      </c>
      <c r="EG47">
        <v>1.0271999999999999</v>
      </c>
      <c r="EH47" t="s">
        <v>215</v>
      </c>
      <c r="EI47" t="s">
        <v>215</v>
      </c>
      <c r="EJ47" t="s">
        <v>216</v>
      </c>
      <c r="EK47" t="s">
        <v>215</v>
      </c>
      <c r="EL47" t="s">
        <v>215</v>
      </c>
      <c r="EM47" t="s">
        <v>217</v>
      </c>
      <c r="EN47" s="156" t="s">
        <v>214</v>
      </c>
      <c r="EO47" s="156" t="s">
        <v>214</v>
      </c>
      <c r="EP47" s="156" t="s">
        <v>214</v>
      </c>
      <c r="EQ47" s="156" t="s">
        <v>214</v>
      </c>
      <c r="ET47" t="s">
        <v>218</v>
      </c>
      <c r="EU47" t="s">
        <v>219</v>
      </c>
      <c r="EV47" t="s">
        <v>213</v>
      </c>
      <c r="EW47" t="s">
        <v>166</v>
      </c>
      <c r="EX47" t="s">
        <v>166</v>
      </c>
      <c r="EY47" t="s">
        <v>166</v>
      </c>
      <c r="EZ47" t="s">
        <v>166</v>
      </c>
      <c r="FA47" s="157">
        <v>6.5</v>
      </c>
      <c r="FB47" t="s">
        <v>220</v>
      </c>
      <c r="FC47" s="157">
        <v>1</v>
      </c>
      <c r="FD47" s="157">
        <v>1</v>
      </c>
      <c r="FE47" s="150">
        <v>7.72190818219664</v>
      </c>
      <c r="FF47" t="s">
        <v>221</v>
      </c>
      <c r="FG47" s="150">
        <v>3.1544085317140258E-2</v>
      </c>
      <c r="FH47" s="150">
        <v>3.1018075862379924E-2</v>
      </c>
      <c r="FI47" s="144">
        <v>958.56022386520601</v>
      </c>
      <c r="FJ47" t="s">
        <v>166</v>
      </c>
      <c r="FK47" t="s">
        <v>166</v>
      </c>
      <c r="FL47" s="144">
        <f t="shared" si="2"/>
        <v>958.56022386520601</v>
      </c>
      <c r="FM47" s="144">
        <v>175.94132118365394</v>
      </c>
      <c r="FN47" s="144">
        <v>154.14751727530904</v>
      </c>
      <c r="FO47" t="s">
        <v>222</v>
      </c>
      <c r="FP47" t="s">
        <v>223</v>
      </c>
      <c r="FQ47" s="144" t="s">
        <v>166</v>
      </c>
      <c r="FR47" s="144" t="s">
        <v>166</v>
      </c>
      <c r="FS47" s="144" t="s">
        <v>166</v>
      </c>
      <c r="FT47" s="144" t="s">
        <v>166</v>
      </c>
      <c r="FU47" s="144" t="s">
        <v>166</v>
      </c>
      <c r="FV47" s="144" t="s">
        <v>166</v>
      </c>
      <c r="FW47" s="144" t="s">
        <v>166</v>
      </c>
      <c r="FX47" s="144" t="s">
        <v>166</v>
      </c>
      <c r="FY47" s="144" t="s">
        <v>166</v>
      </c>
      <c r="FZ47" s="144" t="s">
        <v>166</v>
      </c>
      <c r="GA47" s="144" t="s">
        <v>166</v>
      </c>
      <c r="GB47" s="144" t="s">
        <v>166</v>
      </c>
      <c r="GC47" s="158" t="s">
        <v>224</v>
      </c>
    </row>
    <row r="48" spans="1:185" ht="17">
      <c r="A48" s="140" t="s">
        <v>162</v>
      </c>
      <c r="B48" s="143" t="s">
        <v>163</v>
      </c>
      <c r="C48" s="140" t="s">
        <v>164</v>
      </c>
      <c r="D48" s="140" t="s">
        <v>165</v>
      </c>
      <c r="E48" s="140">
        <v>2020</v>
      </c>
      <c r="F48" t="s">
        <v>184</v>
      </c>
      <c r="G48" s="139">
        <v>45204.769310523589</v>
      </c>
      <c r="H48" s="147">
        <f t="shared" ref="H48" si="45">0.0083*G48^(0.9482)</f>
        <v>215.33955197071546</v>
      </c>
      <c r="I48" s="147">
        <f t="shared" si="1"/>
        <v>215.33955197071546</v>
      </c>
      <c r="J48" s="144">
        <v>1116.11969989964</v>
      </c>
      <c r="K48" s="144">
        <v>235.12081178601011</v>
      </c>
      <c r="L48" s="144">
        <v>197.95571081182788</v>
      </c>
      <c r="M48" s="140" t="b">
        <v>1</v>
      </c>
      <c r="N48" s="140">
        <v>1</v>
      </c>
      <c r="O48" s="302" t="s">
        <v>581</v>
      </c>
      <c r="P48" s="140" t="s">
        <v>166</v>
      </c>
      <c r="Q48" s="140" t="s">
        <v>166</v>
      </c>
      <c r="R48" s="140" t="s">
        <v>166</v>
      </c>
      <c r="S48" s="140" t="b">
        <v>1</v>
      </c>
      <c r="T48" s="140" t="b">
        <v>0</v>
      </c>
      <c r="U48" s="140" t="s">
        <v>166</v>
      </c>
      <c r="V48" s="140" t="b">
        <v>0</v>
      </c>
      <c r="W48" s="140" t="b">
        <v>0</v>
      </c>
      <c r="X48" s="140" t="s">
        <v>580</v>
      </c>
      <c r="Y48" s="148" t="s">
        <v>186</v>
      </c>
      <c r="Z48" t="s">
        <v>184</v>
      </c>
      <c r="AA48" s="149">
        <v>865</v>
      </c>
      <c r="AB48" s="149" t="s">
        <v>233</v>
      </c>
      <c r="AC48" s="149">
        <v>7</v>
      </c>
      <c r="AD48" s="149">
        <v>4</v>
      </c>
      <c r="AE48">
        <v>8</v>
      </c>
      <c r="AF48">
        <v>17</v>
      </c>
      <c r="AG48" s="150">
        <v>60.58</v>
      </c>
      <c r="AH48" t="s">
        <v>166</v>
      </c>
      <c r="AI48" t="s">
        <v>166</v>
      </c>
      <c r="AJ48" t="s">
        <v>253</v>
      </c>
      <c r="AK48">
        <v>18.440300000000001</v>
      </c>
      <c r="AL48">
        <v>-179.5558</v>
      </c>
      <c r="AM48" s="163">
        <v>11.707368850708008</v>
      </c>
      <c r="AN48" t="s">
        <v>166</v>
      </c>
      <c r="AO48">
        <v>-1530</v>
      </c>
      <c r="AP48">
        <v>-1400</v>
      </c>
      <c r="AQ48" t="s">
        <v>254</v>
      </c>
      <c r="AR48" t="s">
        <v>166</v>
      </c>
      <c r="AS48" s="150">
        <v>45.204769310523588</v>
      </c>
      <c r="AT48" t="s">
        <v>166</v>
      </c>
      <c r="AU48" t="s">
        <v>166</v>
      </c>
      <c r="AV48" t="s">
        <v>166</v>
      </c>
      <c r="AW48" t="s">
        <v>255</v>
      </c>
      <c r="AX48" t="s">
        <v>256</v>
      </c>
      <c r="AY48" t="s">
        <v>166</v>
      </c>
      <c r="AZ48" t="s">
        <v>166</v>
      </c>
      <c r="BA48" t="s">
        <v>166</v>
      </c>
      <c r="BB48" t="s">
        <v>166</v>
      </c>
      <c r="BC48" t="s">
        <v>166</v>
      </c>
      <c r="BD48" t="s">
        <v>166</v>
      </c>
      <c r="BE48" t="s">
        <v>166</v>
      </c>
      <c r="BF48" t="s">
        <v>166</v>
      </c>
      <c r="BG48" s="151" t="s">
        <v>229</v>
      </c>
      <c r="BH48" s="149" t="s">
        <v>192</v>
      </c>
      <c r="BI48" t="s">
        <v>166</v>
      </c>
      <c r="BJ48" s="152" t="s">
        <v>166</v>
      </c>
      <c r="BK48" t="s">
        <v>294</v>
      </c>
      <c r="BL48" t="s">
        <v>194</v>
      </c>
      <c r="BM48" t="s">
        <v>195</v>
      </c>
      <c r="BN48" t="s">
        <v>166</v>
      </c>
      <c r="BO48" t="s">
        <v>166</v>
      </c>
      <c r="BP48" t="s">
        <v>166</v>
      </c>
      <c r="BQ48" s="150">
        <v>14.707199223760735</v>
      </c>
      <c r="BR48" t="s">
        <v>196</v>
      </c>
      <c r="BS48" s="150">
        <v>0.22978247658204684</v>
      </c>
      <c r="BT48">
        <v>1</v>
      </c>
      <c r="BU48" t="s">
        <v>197</v>
      </c>
      <c r="BV48" t="s">
        <v>166</v>
      </c>
      <c r="BW48">
        <v>0</v>
      </c>
      <c r="BX48" t="s">
        <v>197</v>
      </c>
      <c r="BY48" t="s">
        <v>166</v>
      </c>
      <c r="BZ48" t="s">
        <v>198</v>
      </c>
      <c r="CA48" t="s">
        <v>166</v>
      </c>
      <c r="CB48" s="150">
        <v>14.707199223760735</v>
      </c>
      <c r="CC48" t="s">
        <v>196</v>
      </c>
      <c r="CD48" s="150">
        <v>0.22978247658204684</v>
      </c>
      <c r="CE48" t="s">
        <v>199</v>
      </c>
      <c r="CF48" t="s">
        <v>166</v>
      </c>
      <c r="CG48" t="s">
        <v>200</v>
      </c>
      <c r="CH48" t="s">
        <v>166</v>
      </c>
      <c r="CI48" t="s">
        <v>166</v>
      </c>
      <c r="CJ48" s="139">
        <v>34.197725467917621</v>
      </c>
      <c r="CK48" t="s">
        <v>201</v>
      </c>
      <c r="CL48">
        <v>2</v>
      </c>
      <c r="CM48">
        <v>2</v>
      </c>
      <c r="CN48" t="s">
        <v>166</v>
      </c>
      <c r="CO48" s="139">
        <v>3.738337650095001</v>
      </c>
      <c r="CP48" t="s">
        <v>166</v>
      </c>
      <c r="CQ48" t="s">
        <v>166</v>
      </c>
      <c r="CR48" t="s">
        <v>166</v>
      </c>
      <c r="CS48" s="153" t="s">
        <v>202</v>
      </c>
      <c r="CT48" t="s">
        <v>203</v>
      </c>
      <c r="CU48">
        <v>2.2000000000000002</v>
      </c>
      <c r="CV48" t="s">
        <v>204</v>
      </c>
      <c r="CW48" t="s">
        <v>166</v>
      </c>
      <c r="CX48" t="s">
        <v>166</v>
      </c>
      <c r="CY48" t="s">
        <v>166</v>
      </c>
      <c r="CZ48" t="s">
        <v>166</v>
      </c>
      <c r="DA48" s="154" t="s">
        <v>166</v>
      </c>
      <c r="DB48" t="s">
        <v>166</v>
      </c>
      <c r="DC48" t="s">
        <v>166</v>
      </c>
      <c r="DD48" t="s">
        <v>166</v>
      </c>
      <c r="DE48" t="s">
        <v>166</v>
      </c>
      <c r="DF48" t="s">
        <v>205</v>
      </c>
      <c r="DG48">
        <v>35</v>
      </c>
      <c r="DH48" t="s">
        <v>201</v>
      </c>
      <c r="DI48">
        <v>1</v>
      </c>
      <c r="DJ48" t="s">
        <v>206</v>
      </c>
      <c r="DK48">
        <v>17</v>
      </c>
      <c r="DL48" t="s">
        <v>166</v>
      </c>
      <c r="DM48" t="s">
        <v>166</v>
      </c>
      <c r="DN48" t="s">
        <v>207</v>
      </c>
      <c r="DO48">
        <v>38</v>
      </c>
      <c r="DP48" t="s">
        <v>208</v>
      </c>
      <c r="DQ48">
        <v>3</v>
      </c>
      <c r="DR48" t="s">
        <v>209</v>
      </c>
      <c r="DS48" t="s">
        <v>166</v>
      </c>
      <c r="DT48" t="s">
        <v>166</v>
      </c>
      <c r="DU48" t="s">
        <v>166</v>
      </c>
      <c r="DV48" t="s">
        <v>166</v>
      </c>
      <c r="DW48">
        <v>432.6</v>
      </c>
      <c r="DX48" t="s">
        <v>166</v>
      </c>
      <c r="DY48" t="s">
        <v>166</v>
      </c>
      <c r="DZ48" t="s">
        <v>210</v>
      </c>
      <c r="EA48" t="s">
        <v>211</v>
      </c>
      <c r="EB48" t="s">
        <v>212</v>
      </c>
      <c r="EC48" t="s">
        <v>166</v>
      </c>
      <c r="ED48" t="s">
        <v>213</v>
      </c>
      <c r="EE48" s="155" t="s">
        <v>214</v>
      </c>
      <c r="EF48" s="155" t="s">
        <v>214</v>
      </c>
      <c r="EG48">
        <v>1.0271999999999999</v>
      </c>
      <c r="EH48" t="s">
        <v>215</v>
      </c>
      <c r="EI48" t="s">
        <v>215</v>
      </c>
      <c r="EJ48" t="s">
        <v>216</v>
      </c>
      <c r="EK48" t="s">
        <v>215</v>
      </c>
      <c r="EL48" t="s">
        <v>215</v>
      </c>
      <c r="EM48" t="s">
        <v>217</v>
      </c>
      <c r="EN48" s="156" t="s">
        <v>214</v>
      </c>
      <c r="EO48" s="156" t="s">
        <v>214</v>
      </c>
      <c r="EP48" s="156" t="s">
        <v>214</v>
      </c>
      <c r="EQ48" s="156" t="s">
        <v>214</v>
      </c>
      <c r="ET48" t="s">
        <v>218</v>
      </c>
      <c r="EU48" t="s">
        <v>219</v>
      </c>
      <c r="EV48" t="s">
        <v>213</v>
      </c>
      <c r="EW48" t="s">
        <v>166</v>
      </c>
      <c r="EX48" t="s">
        <v>166</v>
      </c>
      <c r="EY48" t="s">
        <v>166</v>
      </c>
      <c r="EZ48" t="s">
        <v>166</v>
      </c>
      <c r="FA48" s="157">
        <v>6.5</v>
      </c>
      <c r="FB48" t="s">
        <v>220</v>
      </c>
      <c r="FC48" s="157">
        <v>1</v>
      </c>
      <c r="FD48" s="157">
        <v>1</v>
      </c>
      <c r="FE48" s="150">
        <v>7.6947730549910904</v>
      </c>
      <c r="FF48" t="s">
        <v>221</v>
      </c>
      <c r="FG48" s="150">
        <v>3.5733888575440353E-2</v>
      </c>
      <c r="FH48" s="150">
        <v>3.3193601383199933E-2</v>
      </c>
      <c r="FI48" s="144">
        <v>1116.11969989964</v>
      </c>
      <c r="FJ48" t="s">
        <v>166</v>
      </c>
      <c r="FK48" t="s">
        <v>166</v>
      </c>
      <c r="FL48" s="144">
        <f t="shared" si="2"/>
        <v>1116.11969989964</v>
      </c>
      <c r="FM48" s="144">
        <v>235.12081178601011</v>
      </c>
      <c r="FN48" s="144">
        <v>197.95571081182788</v>
      </c>
      <c r="FO48" t="s">
        <v>222</v>
      </c>
      <c r="FP48" t="s">
        <v>223</v>
      </c>
      <c r="FQ48" s="144" t="s">
        <v>166</v>
      </c>
      <c r="FR48" s="144" t="s">
        <v>166</v>
      </c>
      <c r="FS48" s="144" t="s">
        <v>166</v>
      </c>
      <c r="FT48" s="144" t="s">
        <v>166</v>
      </c>
      <c r="FU48" s="144" t="s">
        <v>166</v>
      </c>
      <c r="FV48" s="144" t="s">
        <v>166</v>
      </c>
      <c r="FW48" s="144" t="s">
        <v>166</v>
      </c>
      <c r="FX48" s="144" t="s">
        <v>166</v>
      </c>
      <c r="FY48" s="144" t="s">
        <v>166</v>
      </c>
      <c r="FZ48" s="144" t="s">
        <v>166</v>
      </c>
      <c r="GA48" s="144" t="s">
        <v>166</v>
      </c>
      <c r="GB48" s="144" t="s">
        <v>166</v>
      </c>
      <c r="GC48" s="158" t="s">
        <v>224</v>
      </c>
    </row>
    <row r="49" spans="1:185" ht="17">
      <c r="A49" s="140" t="s">
        <v>162</v>
      </c>
      <c r="B49" s="143" t="s">
        <v>163</v>
      </c>
      <c r="C49" s="140" t="s">
        <v>164</v>
      </c>
      <c r="D49" s="140" t="s">
        <v>165</v>
      </c>
      <c r="E49" s="140">
        <v>2020</v>
      </c>
      <c r="F49" t="s">
        <v>184</v>
      </c>
      <c r="G49" s="139">
        <v>45753.600649131105</v>
      </c>
      <c r="H49" s="147">
        <f t="shared" ref="H49" si="46">0.0083*G49^(0.9482)</f>
        <v>217.8177864351706</v>
      </c>
      <c r="I49" s="147">
        <f t="shared" si="1"/>
        <v>217.8177864351706</v>
      </c>
      <c r="J49" s="144">
        <v>1030.3035929560499</v>
      </c>
      <c r="K49" s="144">
        <v>197.15820936861019</v>
      </c>
      <c r="L49" s="144">
        <v>174.93897896971987</v>
      </c>
      <c r="M49" s="140" t="b">
        <v>1</v>
      </c>
      <c r="N49" s="140">
        <v>1</v>
      </c>
      <c r="O49" s="302" t="s">
        <v>581</v>
      </c>
      <c r="P49" s="140" t="s">
        <v>166</v>
      </c>
      <c r="Q49" s="140" t="s">
        <v>166</v>
      </c>
      <c r="R49" s="140" t="s">
        <v>166</v>
      </c>
      <c r="S49" s="140" t="b">
        <v>1</v>
      </c>
      <c r="T49" s="140" t="b">
        <v>0</v>
      </c>
      <c r="U49" s="140" t="s">
        <v>166</v>
      </c>
      <c r="V49" s="140" t="b">
        <v>0</v>
      </c>
      <c r="W49" s="140" t="b">
        <v>0</v>
      </c>
      <c r="X49" s="140" t="s">
        <v>580</v>
      </c>
      <c r="Y49" s="148" t="s">
        <v>186</v>
      </c>
      <c r="Z49" t="s">
        <v>184</v>
      </c>
      <c r="AA49" s="149">
        <v>865</v>
      </c>
      <c r="AB49" s="149" t="s">
        <v>233</v>
      </c>
      <c r="AC49" s="149">
        <v>7</v>
      </c>
      <c r="AD49" s="149">
        <v>6</v>
      </c>
      <c r="AE49" t="s">
        <v>166</v>
      </c>
      <c r="AF49" t="s">
        <v>166</v>
      </c>
      <c r="AG49" s="150">
        <v>63.015000000000001</v>
      </c>
      <c r="AH49" t="s">
        <v>166</v>
      </c>
      <c r="AI49" t="s">
        <v>166</v>
      </c>
      <c r="AJ49" t="s">
        <v>253</v>
      </c>
      <c r="AK49">
        <v>18.440300000000001</v>
      </c>
      <c r="AL49">
        <v>-179.5558</v>
      </c>
      <c r="AM49" s="163">
        <v>11.749956130981445</v>
      </c>
      <c r="AN49" t="s">
        <v>166</v>
      </c>
      <c r="AO49">
        <v>-1530</v>
      </c>
      <c r="AP49">
        <v>-1400</v>
      </c>
      <c r="AQ49" t="s">
        <v>254</v>
      </c>
      <c r="AR49" t="s">
        <v>166</v>
      </c>
      <c r="AS49" s="150">
        <v>45.753600649131108</v>
      </c>
      <c r="AT49" t="s">
        <v>166</v>
      </c>
      <c r="AU49" t="s">
        <v>166</v>
      </c>
      <c r="AV49" t="s">
        <v>166</v>
      </c>
      <c r="AW49" t="s">
        <v>255</v>
      </c>
      <c r="AX49" t="s">
        <v>256</v>
      </c>
      <c r="AY49" t="s">
        <v>166</v>
      </c>
      <c r="AZ49" t="s">
        <v>166</v>
      </c>
      <c r="BA49" t="s">
        <v>166</v>
      </c>
      <c r="BB49" t="s">
        <v>166</v>
      </c>
      <c r="BC49" t="s">
        <v>166</v>
      </c>
      <c r="BD49" t="s">
        <v>166</v>
      </c>
      <c r="BE49" t="s">
        <v>166</v>
      </c>
      <c r="BF49" t="s">
        <v>166</v>
      </c>
      <c r="BG49" s="151" t="s">
        <v>229</v>
      </c>
      <c r="BH49" s="149" t="s">
        <v>192</v>
      </c>
      <c r="BI49" t="s">
        <v>166</v>
      </c>
      <c r="BJ49" s="152" t="s">
        <v>166</v>
      </c>
      <c r="BK49" t="s">
        <v>295</v>
      </c>
      <c r="BL49" t="s">
        <v>194</v>
      </c>
      <c r="BM49" t="s">
        <v>195</v>
      </c>
      <c r="BN49" t="s">
        <v>166</v>
      </c>
      <c r="BO49" t="s">
        <v>166</v>
      </c>
      <c r="BP49" t="s">
        <v>166</v>
      </c>
      <c r="BQ49" s="150">
        <v>14.865228583601397</v>
      </c>
      <c r="BR49" t="s">
        <v>196</v>
      </c>
      <c r="BS49" s="150">
        <v>0.21884191262933728</v>
      </c>
      <c r="BT49">
        <v>1</v>
      </c>
      <c r="BU49" t="s">
        <v>197</v>
      </c>
      <c r="BV49" t="s">
        <v>166</v>
      </c>
      <c r="BW49">
        <v>0</v>
      </c>
      <c r="BX49" t="s">
        <v>197</v>
      </c>
      <c r="BY49" t="s">
        <v>166</v>
      </c>
      <c r="BZ49" t="s">
        <v>198</v>
      </c>
      <c r="CA49" t="s">
        <v>166</v>
      </c>
      <c r="CB49" s="150">
        <v>14.865228583601397</v>
      </c>
      <c r="CC49" t="s">
        <v>196</v>
      </c>
      <c r="CD49" s="150">
        <v>0.21884191262933728</v>
      </c>
      <c r="CE49" t="s">
        <v>199</v>
      </c>
      <c r="CF49" t="s">
        <v>166</v>
      </c>
      <c r="CG49" t="s">
        <v>200</v>
      </c>
      <c r="CH49" t="s">
        <v>166</v>
      </c>
      <c r="CI49" t="s">
        <v>166</v>
      </c>
      <c r="CJ49" s="139">
        <v>34.098475412025458</v>
      </c>
      <c r="CK49" t="s">
        <v>201</v>
      </c>
      <c r="CL49">
        <v>2</v>
      </c>
      <c r="CM49">
        <v>2</v>
      </c>
      <c r="CN49" t="s">
        <v>166</v>
      </c>
      <c r="CO49" s="139">
        <v>3.7174832881272852</v>
      </c>
      <c r="CP49" t="s">
        <v>166</v>
      </c>
      <c r="CQ49" t="s">
        <v>166</v>
      </c>
      <c r="CR49" t="s">
        <v>166</v>
      </c>
      <c r="CS49" s="153" t="s">
        <v>202</v>
      </c>
      <c r="CT49" t="s">
        <v>203</v>
      </c>
      <c r="CU49">
        <v>2.2000000000000002</v>
      </c>
      <c r="CV49" t="s">
        <v>204</v>
      </c>
      <c r="CW49" t="s">
        <v>166</v>
      </c>
      <c r="CX49" t="s">
        <v>166</v>
      </c>
      <c r="CY49" t="s">
        <v>166</v>
      </c>
      <c r="CZ49" t="s">
        <v>166</v>
      </c>
      <c r="DA49" s="154" t="s">
        <v>166</v>
      </c>
      <c r="DB49" t="s">
        <v>166</v>
      </c>
      <c r="DC49" t="s">
        <v>166</v>
      </c>
      <c r="DD49" t="s">
        <v>166</v>
      </c>
      <c r="DE49" t="s">
        <v>166</v>
      </c>
      <c r="DF49" t="s">
        <v>205</v>
      </c>
      <c r="DG49">
        <v>35</v>
      </c>
      <c r="DH49" t="s">
        <v>201</v>
      </c>
      <c r="DI49">
        <v>1</v>
      </c>
      <c r="DJ49" t="s">
        <v>206</v>
      </c>
      <c r="DK49">
        <v>17</v>
      </c>
      <c r="DL49" t="s">
        <v>166</v>
      </c>
      <c r="DM49" t="s">
        <v>166</v>
      </c>
      <c r="DN49" t="s">
        <v>207</v>
      </c>
      <c r="DO49">
        <v>38</v>
      </c>
      <c r="DP49" t="s">
        <v>208</v>
      </c>
      <c r="DQ49">
        <v>3</v>
      </c>
      <c r="DR49" t="s">
        <v>209</v>
      </c>
      <c r="DS49" t="s">
        <v>166</v>
      </c>
      <c r="DT49" t="s">
        <v>166</v>
      </c>
      <c r="DU49" t="s">
        <v>166</v>
      </c>
      <c r="DV49" t="s">
        <v>166</v>
      </c>
      <c r="DW49">
        <v>432.6</v>
      </c>
      <c r="DX49" t="s">
        <v>166</v>
      </c>
      <c r="DY49" t="s">
        <v>166</v>
      </c>
      <c r="DZ49" t="s">
        <v>210</v>
      </c>
      <c r="EA49" t="s">
        <v>211</v>
      </c>
      <c r="EB49" t="s">
        <v>212</v>
      </c>
      <c r="EC49" t="s">
        <v>166</v>
      </c>
      <c r="ED49" t="s">
        <v>213</v>
      </c>
      <c r="EE49" s="155" t="s">
        <v>214</v>
      </c>
      <c r="EF49" s="155" t="s">
        <v>214</v>
      </c>
      <c r="EG49">
        <v>1.0271999999999999</v>
      </c>
      <c r="EH49" t="s">
        <v>215</v>
      </c>
      <c r="EI49" t="s">
        <v>215</v>
      </c>
      <c r="EJ49" t="s">
        <v>216</v>
      </c>
      <c r="EK49" t="s">
        <v>215</v>
      </c>
      <c r="EL49" t="s">
        <v>215</v>
      </c>
      <c r="EM49" t="s">
        <v>217</v>
      </c>
      <c r="EN49" s="156" t="s">
        <v>214</v>
      </c>
      <c r="EO49" s="156" t="s">
        <v>214</v>
      </c>
      <c r="EP49" s="156" t="s">
        <v>214</v>
      </c>
      <c r="EQ49" s="156" t="s">
        <v>214</v>
      </c>
      <c r="ET49" t="s">
        <v>218</v>
      </c>
      <c r="EU49" t="s">
        <v>219</v>
      </c>
      <c r="EV49" t="s">
        <v>213</v>
      </c>
      <c r="EW49" t="s">
        <v>166</v>
      </c>
      <c r="EX49" t="s">
        <v>166</v>
      </c>
      <c r="EY49" t="s">
        <v>166</v>
      </c>
      <c r="EZ49" t="s">
        <v>166</v>
      </c>
      <c r="FA49" s="157">
        <v>6.5</v>
      </c>
      <c r="FB49" t="s">
        <v>220</v>
      </c>
      <c r="FC49" s="157">
        <v>1</v>
      </c>
      <c r="FD49" s="157">
        <v>1</v>
      </c>
      <c r="FE49" s="150">
        <v>7.7147865077192304</v>
      </c>
      <c r="FF49" t="s">
        <v>221</v>
      </c>
      <c r="FG49" s="150">
        <v>3.2956891347630801E-2</v>
      </c>
      <c r="FH49" s="150">
        <v>3.5207547802690087E-2</v>
      </c>
      <c r="FI49" s="144">
        <v>1030.3035929560499</v>
      </c>
      <c r="FJ49" t="s">
        <v>166</v>
      </c>
      <c r="FK49" t="s">
        <v>166</v>
      </c>
      <c r="FL49" s="144">
        <f t="shared" si="2"/>
        <v>1030.3035929560499</v>
      </c>
      <c r="FM49" s="144">
        <v>197.15820936861019</v>
      </c>
      <c r="FN49" s="144">
        <v>174.93897896971987</v>
      </c>
      <c r="FO49" t="s">
        <v>222</v>
      </c>
      <c r="FP49" t="s">
        <v>223</v>
      </c>
      <c r="FQ49" s="144" t="s">
        <v>166</v>
      </c>
      <c r="FR49" s="144" t="s">
        <v>166</v>
      </c>
      <c r="FS49" s="144" t="s">
        <v>166</v>
      </c>
      <c r="FT49" s="144" t="s">
        <v>166</v>
      </c>
      <c r="FU49" s="144" t="s">
        <v>166</v>
      </c>
      <c r="FV49" s="144" t="s">
        <v>166</v>
      </c>
      <c r="FW49" s="144" t="s">
        <v>166</v>
      </c>
      <c r="FX49" s="144" t="s">
        <v>166</v>
      </c>
      <c r="FY49" s="144" t="s">
        <v>166</v>
      </c>
      <c r="FZ49" s="144" t="s">
        <v>166</v>
      </c>
      <c r="GA49" s="144" t="s">
        <v>166</v>
      </c>
      <c r="GB49" s="144" t="s">
        <v>166</v>
      </c>
      <c r="GC49" s="158" t="s">
        <v>224</v>
      </c>
    </row>
    <row r="50" spans="1:185" ht="17">
      <c r="A50" s="140" t="s">
        <v>162</v>
      </c>
      <c r="B50" s="143" t="s">
        <v>163</v>
      </c>
      <c r="C50" s="140" t="s">
        <v>164</v>
      </c>
      <c r="D50" s="140" t="s">
        <v>165</v>
      </c>
      <c r="E50" s="140">
        <v>2020</v>
      </c>
      <c r="F50" t="s">
        <v>184</v>
      </c>
      <c r="G50" s="139">
        <v>46317.08251628463</v>
      </c>
      <c r="H50" s="147">
        <f t="shared" ref="H50" si="47">0.0083*G50^(0.9482)</f>
        <v>220.36057355627898</v>
      </c>
      <c r="I50" s="147">
        <f t="shared" si="1"/>
        <v>220.36057355627898</v>
      </c>
      <c r="J50" s="144">
        <v>1004.9624409604</v>
      </c>
      <c r="K50" s="144">
        <v>205.13541292956006</v>
      </c>
      <c r="L50" s="144">
        <v>172.23866971787413</v>
      </c>
      <c r="M50" s="140" t="b">
        <v>1</v>
      </c>
      <c r="N50" s="140">
        <v>1</v>
      </c>
      <c r="O50" s="302" t="s">
        <v>581</v>
      </c>
      <c r="P50" s="140" t="s">
        <v>166</v>
      </c>
      <c r="Q50" s="140" t="s">
        <v>166</v>
      </c>
      <c r="R50" s="140" t="s">
        <v>166</v>
      </c>
      <c r="S50" s="140" t="b">
        <v>1</v>
      </c>
      <c r="T50" s="140" t="b">
        <v>0</v>
      </c>
      <c r="U50" s="140" t="s">
        <v>166</v>
      </c>
      <c r="V50" s="140" t="b">
        <v>0</v>
      </c>
      <c r="W50" s="140" t="b">
        <v>0</v>
      </c>
      <c r="X50" s="140" t="s">
        <v>580</v>
      </c>
      <c r="Y50" s="148" t="s">
        <v>186</v>
      </c>
      <c r="Z50" t="s">
        <v>184</v>
      </c>
      <c r="AA50" s="149">
        <v>865</v>
      </c>
      <c r="AB50" s="149" t="s">
        <v>233</v>
      </c>
      <c r="AC50" s="149">
        <v>8</v>
      </c>
      <c r="AD50" s="149">
        <v>1</v>
      </c>
      <c r="AE50" t="s">
        <v>166</v>
      </c>
      <c r="AF50" t="s">
        <v>166</v>
      </c>
      <c r="AG50" s="150">
        <v>65.515000000000001</v>
      </c>
      <c r="AH50" t="s">
        <v>166</v>
      </c>
      <c r="AI50" t="s">
        <v>166</v>
      </c>
      <c r="AJ50" t="s">
        <v>253</v>
      </c>
      <c r="AK50">
        <v>18.440300000000001</v>
      </c>
      <c r="AL50">
        <v>-179.5558</v>
      </c>
      <c r="AM50" s="163">
        <v>11.793680191040039</v>
      </c>
      <c r="AN50" t="s">
        <v>166</v>
      </c>
      <c r="AO50">
        <v>-1530</v>
      </c>
      <c r="AP50">
        <v>-1400</v>
      </c>
      <c r="AQ50" t="s">
        <v>254</v>
      </c>
      <c r="AR50" t="s">
        <v>166</v>
      </c>
      <c r="AS50" s="150">
        <v>46.317082516284628</v>
      </c>
      <c r="AT50" t="s">
        <v>166</v>
      </c>
      <c r="AU50" t="s">
        <v>166</v>
      </c>
      <c r="AV50" t="s">
        <v>166</v>
      </c>
      <c r="AW50" t="s">
        <v>255</v>
      </c>
      <c r="AX50" t="s">
        <v>256</v>
      </c>
      <c r="AY50" t="s">
        <v>166</v>
      </c>
      <c r="AZ50" t="s">
        <v>166</v>
      </c>
      <c r="BA50" t="s">
        <v>166</v>
      </c>
      <c r="BB50" t="s">
        <v>166</v>
      </c>
      <c r="BC50" t="s">
        <v>166</v>
      </c>
      <c r="BD50" t="s">
        <v>166</v>
      </c>
      <c r="BE50" t="s">
        <v>166</v>
      </c>
      <c r="BF50" t="s">
        <v>166</v>
      </c>
      <c r="BG50" s="151" t="s">
        <v>296</v>
      </c>
      <c r="BH50" s="149" t="s">
        <v>192</v>
      </c>
      <c r="BI50" t="s">
        <v>166</v>
      </c>
      <c r="BJ50" s="152" t="s">
        <v>166</v>
      </c>
      <c r="BK50" t="s">
        <v>297</v>
      </c>
      <c r="BL50" t="s">
        <v>194</v>
      </c>
      <c r="BM50" t="s">
        <v>195</v>
      </c>
      <c r="BN50" t="s">
        <v>166</v>
      </c>
      <c r="BO50" t="s">
        <v>166</v>
      </c>
      <c r="BP50" t="s">
        <v>166</v>
      </c>
      <c r="BQ50" s="150">
        <v>14.950956307728136</v>
      </c>
      <c r="BR50" t="s">
        <v>196</v>
      </c>
      <c r="BS50" s="150">
        <v>0.23069862681587061</v>
      </c>
      <c r="BT50">
        <v>1</v>
      </c>
      <c r="BU50" t="s">
        <v>197</v>
      </c>
      <c r="BV50" t="s">
        <v>166</v>
      </c>
      <c r="BW50">
        <v>0</v>
      </c>
      <c r="BX50" t="s">
        <v>197</v>
      </c>
      <c r="BY50" t="s">
        <v>166</v>
      </c>
      <c r="BZ50" t="s">
        <v>198</v>
      </c>
      <c r="CA50" t="s">
        <v>166</v>
      </c>
      <c r="CB50" s="150">
        <v>14.950956307728136</v>
      </c>
      <c r="CC50" t="s">
        <v>196</v>
      </c>
      <c r="CD50" s="150">
        <v>0.23069862681587061</v>
      </c>
      <c r="CE50" t="s">
        <v>199</v>
      </c>
      <c r="CF50" t="s">
        <v>166</v>
      </c>
      <c r="CG50" t="s">
        <v>200</v>
      </c>
      <c r="CH50" t="s">
        <v>166</v>
      </c>
      <c r="CI50" t="s">
        <v>166</v>
      </c>
      <c r="CJ50" s="139">
        <v>35.582766389062847</v>
      </c>
      <c r="CK50" t="s">
        <v>201</v>
      </c>
      <c r="CL50">
        <v>2</v>
      </c>
      <c r="CM50">
        <v>2</v>
      </c>
      <c r="CN50" t="s">
        <v>166</v>
      </c>
      <c r="CO50" s="139">
        <v>4.0418700983930238</v>
      </c>
      <c r="CP50" t="s">
        <v>166</v>
      </c>
      <c r="CQ50" t="s">
        <v>166</v>
      </c>
      <c r="CR50" t="s">
        <v>166</v>
      </c>
      <c r="CS50" s="153" t="s">
        <v>202</v>
      </c>
      <c r="CT50" t="s">
        <v>203</v>
      </c>
      <c r="CU50">
        <v>2.2000000000000002</v>
      </c>
      <c r="CV50" t="s">
        <v>204</v>
      </c>
      <c r="CW50" t="s">
        <v>166</v>
      </c>
      <c r="CX50" t="s">
        <v>166</v>
      </c>
      <c r="CY50" t="s">
        <v>166</v>
      </c>
      <c r="CZ50" t="s">
        <v>166</v>
      </c>
      <c r="DA50" s="154" t="s">
        <v>166</v>
      </c>
      <c r="DB50" t="s">
        <v>166</v>
      </c>
      <c r="DC50" t="s">
        <v>166</v>
      </c>
      <c r="DD50" t="s">
        <v>166</v>
      </c>
      <c r="DE50" t="s">
        <v>166</v>
      </c>
      <c r="DF50" t="s">
        <v>205</v>
      </c>
      <c r="DG50">
        <v>35</v>
      </c>
      <c r="DH50" t="s">
        <v>201</v>
      </c>
      <c r="DI50">
        <v>1</v>
      </c>
      <c r="DJ50" t="s">
        <v>206</v>
      </c>
      <c r="DK50">
        <v>17</v>
      </c>
      <c r="DL50" t="s">
        <v>166</v>
      </c>
      <c r="DM50" t="s">
        <v>166</v>
      </c>
      <c r="DN50" t="s">
        <v>207</v>
      </c>
      <c r="DO50">
        <v>38</v>
      </c>
      <c r="DP50" t="s">
        <v>208</v>
      </c>
      <c r="DQ50">
        <v>3</v>
      </c>
      <c r="DR50" t="s">
        <v>209</v>
      </c>
      <c r="DS50" t="s">
        <v>166</v>
      </c>
      <c r="DT50" t="s">
        <v>166</v>
      </c>
      <c r="DU50" t="s">
        <v>166</v>
      </c>
      <c r="DV50" t="s">
        <v>166</v>
      </c>
      <c r="DW50">
        <v>432.6</v>
      </c>
      <c r="DX50" t="s">
        <v>166</v>
      </c>
      <c r="DY50" t="s">
        <v>166</v>
      </c>
      <c r="DZ50" t="s">
        <v>210</v>
      </c>
      <c r="EA50" t="s">
        <v>211</v>
      </c>
      <c r="EB50" t="s">
        <v>212</v>
      </c>
      <c r="EC50" t="s">
        <v>166</v>
      </c>
      <c r="ED50" t="s">
        <v>213</v>
      </c>
      <c r="EE50" s="155" t="s">
        <v>214</v>
      </c>
      <c r="EF50" s="155" t="s">
        <v>214</v>
      </c>
      <c r="EG50">
        <v>1.0271999999999999</v>
      </c>
      <c r="EH50" t="s">
        <v>215</v>
      </c>
      <c r="EI50" t="s">
        <v>215</v>
      </c>
      <c r="EJ50" t="s">
        <v>216</v>
      </c>
      <c r="EK50" t="s">
        <v>215</v>
      </c>
      <c r="EL50" t="s">
        <v>215</v>
      </c>
      <c r="EM50" t="s">
        <v>217</v>
      </c>
      <c r="EN50" s="156" t="s">
        <v>214</v>
      </c>
      <c r="EO50" s="156" t="s">
        <v>214</v>
      </c>
      <c r="EP50" s="156" t="s">
        <v>214</v>
      </c>
      <c r="EQ50" s="156" t="s">
        <v>214</v>
      </c>
      <c r="ET50" t="s">
        <v>218</v>
      </c>
      <c r="EU50" t="s">
        <v>219</v>
      </c>
      <c r="EV50" t="s">
        <v>213</v>
      </c>
      <c r="EW50" t="s">
        <v>166</v>
      </c>
      <c r="EX50" t="s">
        <v>166</v>
      </c>
      <c r="EY50" t="s">
        <v>166</v>
      </c>
      <c r="EZ50" t="s">
        <v>166</v>
      </c>
      <c r="FA50" s="157">
        <v>6.5</v>
      </c>
      <c r="FB50" t="s">
        <v>220</v>
      </c>
      <c r="FC50" s="157">
        <v>1</v>
      </c>
      <c r="FD50" s="157">
        <v>1</v>
      </c>
      <c r="FE50" s="150">
        <v>7.70858905784808</v>
      </c>
      <c r="FF50" t="s">
        <v>221</v>
      </c>
      <c r="FG50" s="150">
        <v>3.3826388655180395E-2</v>
      </c>
      <c r="FH50" s="150">
        <v>3.2539897549820118E-2</v>
      </c>
      <c r="FI50" s="144">
        <v>1004.9624409604</v>
      </c>
      <c r="FJ50" t="s">
        <v>166</v>
      </c>
      <c r="FK50" t="s">
        <v>166</v>
      </c>
      <c r="FL50" s="144">
        <f t="shared" si="2"/>
        <v>1004.9624409604</v>
      </c>
      <c r="FM50" s="144">
        <v>205.13541292956006</v>
      </c>
      <c r="FN50" s="144">
        <v>172.23866971787413</v>
      </c>
      <c r="FO50" t="s">
        <v>222</v>
      </c>
      <c r="FP50" t="s">
        <v>223</v>
      </c>
      <c r="FQ50" s="144" t="s">
        <v>166</v>
      </c>
      <c r="FR50" s="144" t="s">
        <v>166</v>
      </c>
      <c r="FS50" s="144" t="s">
        <v>166</v>
      </c>
      <c r="FT50" s="144" t="s">
        <v>166</v>
      </c>
      <c r="FU50" s="144" t="s">
        <v>166</v>
      </c>
      <c r="FV50" s="144" t="s">
        <v>166</v>
      </c>
      <c r="FW50" s="144" t="s">
        <v>166</v>
      </c>
      <c r="FX50" s="144" t="s">
        <v>166</v>
      </c>
      <c r="FY50" s="144" t="s">
        <v>166</v>
      </c>
      <c r="FZ50" s="144" t="s">
        <v>166</v>
      </c>
      <c r="GA50" s="144" t="s">
        <v>166</v>
      </c>
      <c r="GB50" s="144" t="s">
        <v>166</v>
      </c>
      <c r="GC50" s="158" t="s">
        <v>224</v>
      </c>
    </row>
    <row r="51" spans="1:185" ht="17">
      <c r="A51" s="140" t="s">
        <v>162</v>
      </c>
      <c r="B51" s="143" t="s">
        <v>163</v>
      </c>
      <c r="C51" s="140" t="s">
        <v>164</v>
      </c>
      <c r="D51" s="140" t="s">
        <v>165</v>
      </c>
      <c r="E51" s="140">
        <v>2020</v>
      </c>
      <c r="F51" t="s">
        <v>184</v>
      </c>
      <c r="G51" s="139">
        <v>46655.171636576735</v>
      </c>
      <c r="H51" s="147">
        <f t="shared" ref="H51" si="48">0.0083*G51^(0.9482)</f>
        <v>221.88547557933344</v>
      </c>
      <c r="I51" s="147">
        <f t="shared" si="1"/>
        <v>221.88547557933344</v>
      </c>
      <c r="J51" s="144">
        <v>962.39851717586998</v>
      </c>
      <c r="K51" s="144">
        <v>188.06021880521985</v>
      </c>
      <c r="L51" s="144">
        <v>154.47149413964303</v>
      </c>
      <c r="M51" s="140" t="b">
        <v>1</v>
      </c>
      <c r="N51" s="140">
        <v>1</v>
      </c>
      <c r="O51" s="302" t="s">
        <v>581</v>
      </c>
      <c r="P51" s="140" t="s">
        <v>166</v>
      </c>
      <c r="Q51" s="140" t="s">
        <v>166</v>
      </c>
      <c r="R51" s="140" t="s">
        <v>166</v>
      </c>
      <c r="S51" s="140" t="b">
        <v>1</v>
      </c>
      <c r="T51" s="140" t="b">
        <v>0</v>
      </c>
      <c r="U51" s="140" t="s">
        <v>166</v>
      </c>
      <c r="V51" s="140" t="b">
        <v>0</v>
      </c>
      <c r="W51" s="140" t="b">
        <v>0</v>
      </c>
      <c r="X51" s="140" t="s">
        <v>580</v>
      </c>
      <c r="Y51" s="148" t="s">
        <v>186</v>
      </c>
      <c r="Z51" t="s">
        <v>184</v>
      </c>
      <c r="AA51" s="149">
        <v>865</v>
      </c>
      <c r="AB51" s="149" t="s">
        <v>233</v>
      </c>
      <c r="AC51" s="149">
        <v>8</v>
      </c>
      <c r="AD51" s="149">
        <v>2</v>
      </c>
      <c r="AE51" t="s">
        <v>166</v>
      </c>
      <c r="AF51" t="s">
        <v>166</v>
      </c>
      <c r="AG51" s="150">
        <v>67.015000000000001</v>
      </c>
      <c r="AH51" t="s">
        <v>166</v>
      </c>
      <c r="AI51" t="s">
        <v>166</v>
      </c>
      <c r="AJ51" t="s">
        <v>253</v>
      </c>
      <c r="AK51">
        <v>18.440300000000001</v>
      </c>
      <c r="AL51">
        <v>-179.5558</v>
      </c>
      <c r="AM51" s="163">
        <v>11.819914817810059</v>
      </c>
      <c r="AN51" t="s">
        <v>166</v>
      </c>
      <c r="AO51">
        <v>-1530</v>
      </c>
      <c r="AP51">
        <v>-1400</v>
      </c>
      <c r="AQ51" t="s">
        <v>254</v>
      </c>
      <c r="AR51" t="s">
        <v>166</v>
      </c>
      <c r="AS51" s="150">
        <v>46.655171636576732</v>
      </c>
      <c r="AT51" t="s">
        <v>166</v>
      </c>
      <c r="AU51" t="s">
        <v>166</v>
      </c>
      <c r="AV51" t="s">
        <v>166</v>
      </c>
      <c r="AW51" t="s">
        <v>255</v>
      </c>
      <c r="AX51" t="s">
        <v>256</v>
      </c>
      <c r="AY51" t="s">
        <v>166</v>
      </c>
      <c r="AZ51" t="s">
        <v>166</v>
      </c>
      <c r="BA51" t="s">
        <v>166</v>
      </c>
      <c r="BB51" t="s">
        <v>166</v>
      </c>
      <c r="BC51" t="s">
        <v>166</v>
      </c>
      <c r="BD51" t="s">
        <v>166</v>
      </c>
      <c r="BE51" t="s">
        <v>166</v>
      </c>
      <c r="BF51" t="s">
        <v>166</v>
      </c>
      <c r="BG51" s="151" t="s">
        <v>296</v>
      </c>
      <c r="BH51" s="149" t="s">
        <v>192</v>
      </c>
      <c r="BI51" t="s">
        <v>166</v>
      </c>
      <c r="BJ51" s="152" t="s">
        <v>166</v>
      </c>
      <c r="BK51" t="s">
        <v>298</v>
      </c>
      <c r="BL51" t="s">
        <v>194</v>
      </c>
      <c r="BM51" t="s">
        <v>195</v>
      </c>
      <c r="BN51" t="s">
        <v>166</v>
      </c>
      <c r="BO51" t="s">
        <v>166</v>
      </c>
      <c r="BP51" t="s">
        <v>166</v>
      </c>
      <c r="BQ51" s="150">
        <v>15.02054879231407</v>
      </c>
      <c r="BR51" t="s">
        <v>196</v>
      </c>
      <c r="BS51" s="150">
        <v>0.23340414267506779</v>
      </c>
      <c r="BT51">
        <v>1</v>
      </c>
      <c r="BU51" t="s">
        <v>197</v>
      </c>
      <c r="BV51" t="s">
        <v>166</v>
      </c>
      <c r="BW51">
        <v>0</v>
      </c>
      <c r="BX51" t="s">
        <v>197</v>
      </c>
      <c r="BY51" t="s">
        <v>166</v>
      </c>
      <c r="BZ51" t="s">
        <v>198</v>
      </c>
      <c r="CA51" t="s">
        <v>166</v>
      </c>
      <c r="CB51" s="150">
        <v>15.02054879231407</v>
      </c>
      <c r="CC51" t="s">
        <v>196</v>
      </c>
      <c r="CD51" s="150">
        <v>0.23340414267506779</v>
      </c>
      <c r="CE51" t="s">
        <v>199</v>
      </c>
      <c r="CF51" t="s">
        <v>166</v>
      </c>
      <c r="CG51" t="s">
        <v>200</v>
      </c>
      <c r="CH51" t="s">
        <v>166</v>
      </c>
      <c r="CI51" t="s">
        <v>166</v>
      </c>
      <c r="CJ51" s="139">
        <v>35.759045328335887</v>
      </c>
      <c r="CK51" t="s">
        <v>201</v>
      </c>
      <c r="CL51">
        <v>2</v>
      </c>
      <c r="CM51">
        <v>2</v>
      </c>
      <c r="CN51" t="s">
        <v>166</v>
      </c>
      <c r="CO51" s="139">
        <v>4.0822294240612811</v>
      </c>
      <c r="CP51" t="s">
        <v>166</v>
      </c>
      <c r="CQ51" t="s">
        <v>166</v>
      </c>
      <c r="CR51" t="s">
        <v>166</v>
      </c>
      <c r="CS51" s="153" t="s">
        <v>202</v>
      </c>
      <c r="CT51" t="s">
        <v>203</v>
      </c>
      <c r="CU51">
        <v>2.2000000000000002</v>
      </c>
      <c r="CV51" t="s">
        <v>204</v>
      </c>
      <c r="CW51" t="s">
        <v>166</v>
      </c>
      <c r="CX51" t="s">
        <v>166</v>
      </c>
      <c r="CY51" t="s">
        <v>166</v>
      </c>
      <c r="CZ51" t="s">
        <v>166</v>
      </c>
      <c r="DA51" s="154" t="s">
        <v>166</v>
      </c>
      <c r="DB51" t="s">
        <v>166</v>
      </c>
      <c r="DC51" t="s">
        <v>166</v>
      </c>
      <c r="DD51" t="s">
        <v>166</v>
      </c>
      <c r="DE51" t="s">
        <v>166</v>
      </c>
      <c r="DF51" t="s">
        <v>205</v>
      </c>
      <c r="DG51">
        <v>35</v>
      </c>
      <c r="DH51" t="s">
        <v>201</v>
      </c>
      <c r="DI51">
        <v>1</v>
      </c>
      <c r="DJ51" t="s">
        <v>206</v>
      </c>
      <c r="DK51">
        <v>17</v>
      </c>
      <c r="DL51" t="s">
        <v>166</v>
      </c>
      <c r="DM51" t="s">
        <v>166</v>
      </c>
      <c r="DN51" t="s">
        <v>207</v>
      </c>
      <c r="DO51">
        <v>38</v>
      </c>
      <c r="DP51" t="s">
        <v>208</v>
      </c>
      <c r="DQ51">
        <v>3</v>
      </c>
      <c r="DR51" t="s">
        <v>209</v>
      </c>
      <c r="DS51" t="s">
        <v>166</v>
      </c>
      <c r="DT51" t="s">
        <v>166</v>
      </c>
      <c r="DU51" t="s">
        <v>166</v>
      </c>
      <c r="DV51" t="s">
        <v>166</v>
      </c>
      <c r="DW51">
        <v>432.6</v>
      </c>
      <c r="DX51" t="s">
        <v>166</v>
      </c>
      <c r="DY51" t="s">
        <v>166</v>
      </c>
      <c r="DZ51" t="s">
        <v>210</v>
      </c>
      <c r="EA51" t="s">
        <v>211</v>
      </c>
      <c r="EB51" t="s">
        <v>212</v>
      </c>
      <c r="EC51" t="s">
        <v>166</v>
      </c>
      <c r="ED51" t="s">
        <v>213</v>
      </c>
      <c r="EE51" s="155" t="s">
        <v>214</v>
      </c>
      <c r="EF51" s="155" t="s">
        <v>214</v>
      </c>
      <c r="EG51">
        <v>1.0271999999999999</v>
      </c>
      <c r="EH51" t="s">
        <v>215</v>
      </c>
      <c r="EI51" t="s">
        <v>215</v>
      </c>
      <c r="EJ51" t="s">
        <v>216</v>
      </c>
      <c r="EK51" t="s">
        <v>215</v>
      </c>
      <c r="EL51" t="s">
        <v>215</v>
      </c>
      <c r="EM51" t="s">
        <v>217</v>
      </c>
      <c r="EN51" s="156" t="s">
        <v>214</v>
      </c>
      <c r="EO51" s="156" t="s">
        <v>214</v>
      </c>
      <c r="EP51" s="156" t="s">
        <v>214</v>
      </c>
      <c r="EQ51" s="156" t="s">
        <v>214</v>
      </c>
      <c r="ET51" t="s">
        <v>218</v>
      </c>
      <c r="EU51" t="s">
        <v>219</v>
      </c>
      <c r="EV51" t="s">
        <v>213</v>
      </c>
      <c r="EW51" t="s">
        <v>166</v>
      </c>
      <c r="EX51" t="s">
        <v>166</v>
      </c>
      <c r="EY51" t="s">
        <v>166</v>
      </c>
      <c r="EZ51" t="s">
        <v>166</v>
      </c>
      <c r="FA51" s="157">
        <v>6.5</v>
      </c>
      <c r="FB51" t="s">
        <v>220</v>
      </c>
      <c r="FC51" s="157">
        <v>1</v>
      </c>
      <c r="FD51" s="157">
        <v>1</v>
      </c>
      <c r="FE51" s="150">
        <v>7.7169225982163496</v>
      </c>
      <c r="FF51" t="s">
        <v>221</v>
      </c>
      <c r="FG51" s="150">
        <v>3.3289551708739928E-2</v>
      </c>
      <c r="FH51" s="150">
        <v>3.168832991413062E-2</v>
      </c>
      <c r="FI51" s="144">
        <v>962.39851717586998</v>
      </c>
      <c r="FJ51" t="s">
        <v>166</v>
      </c>
      <c r="FK51" t="s">
        <v>166</v>
      </c>
      <c r="FL51" s="144">
        <f t="shared" si="2"/>
        <v>962.39851717586998</v>
      </c>
      <c r="FM51" s="144">
        <v>188.06021880521985</v>
      </c>
      <c r="FN51" s="144">
        <v>154.47149413964303</v>
      </c>
      <c r="FO51" t="s">
        <v>222</v>
      </c>
      <c r="FP51" t="s">
        <v>223</v>
      </c>
      <c r="FQ51" s="144" t="s">
        <v>166</v>
      </c>
      <c r="FR51" s="144" t="s">
        <v>166</v>
      </c>
      <c r="FS51" s="144" t="s">
        <v>166</v>
      </c>
      <c r="FT51" s="144" t="s">
        <v>166</v>
      </c>
      <c r="FU51" s="144" t="s">
        <v>166</v>
      </c>
      <c r="FV51" s="144" t="s">
        <v>166</v>
      </c>
      <c r="FW51" s="144" t="s">
        <v>166</v>
      </c>
      <c r="FX51" s="144" t="s">
        <v>166</v>
      </c>
      <c r="FY51" s="144" t="s">
        <v>166</v>
      </c>
      <c r="FZ51" s="144" t="s">
        <v>166</v>
      </c>
      <c r="GA51" s="144" t="s">
        <v>166</v>
      </c>
      <c r="GB51" s="144" t="s">
        <v>166</v>
      </c>
      <c r="GC51" s="158" t="s">
        <v>224</v>
      </c>
    </row>
    <row r="52" spans="1:185" ht="17">
      <c r="A52" s="140" t="s">
        <v>162</v>
      </c>
      <c r="B52" s="143" t="s">
        <v>163</v>
      </c>
      <c r="C52" s="140" t="s">
        <v>164</v>
      </c>
      <c r="D52" s="140" t="s">
        <v>165</v>
      </c>
      <c r="E52" s="140">
        <v>2020</v>
      </c>
      <c r="F52" t="s">
        <v>184</v>
      </c>
      <c r="G52" s="139">
        <v>47331.349877160952</v>
      </c>
      <c r="H52" s="147">
        <f t="shared" ref="H52" si="49">0.0083*G52^(0.9482)</f>
        <v>224.93356704845931</v>
      </c>
      <c r="I52" s="147">
        <f t="shared" si="1"/>
        <v>224.93356704845931</v>
      </c>
      <c r="J52" s="144">
        <v>1070.4269003171898</v>
      </c>
      <c r="K52" s="144">
        <v>192.96580082357013</v>
      </c>
      <c r="L52" s="144">
        <v>163.18315777595285</v>
      </c>
      <c r="M52" s="140" t="b">
        <v>1</v>
      </c>
      <c r="N52" s="140">
        <v>1</v>
      </c>
      <c r="O52" s="302" t="s">
        <v>581</v>
      </c>
      <c r="P52" s="140" t="s">
        <v>166</v>
      </c>
      <c r="Q52" s="140" t="s">
        <v>166</v>
      </c>
      <c r="R52" s="140" t="s">
        <v>166</v>
      </c>
      <c r="S52" s="140" t="b">
        <v>1</v>
      </c>
      <c r="T52" s="140" t="b">
        <v>0</v>
      </c>
      <c r="U52" s="140" t="s">
        <v>166</v>
      </c>
      <c r="V52" s="140" t="b">
        <v>0</v>
      </c>
      <c r="W52" s="140" t="b">
        <v>0</v>
      </c>
      <c r="X52" s="140" t="s">
        <v>580</v>
      </c>
      <c r="Y52" s="148" t="s">
        <v>186</v>
      </c>
      <c r="Z52" t="s">
        <v>184</v>
      </c>
      <c r="AA52" s="149">
        <v>865</v>
      </c>
      <c r="AB52" s="149" t="s">
        <v>233</v>
      </c>
      <c r="AC52" s="149">
        <v>8</v>
      </c>
      <c r="AD52" s="149">
        <v>4</v>
      </c>
      <c r="AE52" t="s">
        <v>166</v>
      </c>
      <c r="AF52" t="s">
        <v>166</v>
      </c>
      <c r="AG52" s="150">
        <v>70.015000000000001</v>
      </c>
      <c r="AH52" t="s">
        <v>166</v>
      </c>
      <c r="AI52" t="s">
        <v>166</v>
      </c>
      <c r="AJ52" t="s">
        <v>253</v>
      </c>
      <c r="AK52">
        <v>18.440300000000001</v>
      </c>
      <c r="AL52">
        <v>-179.5558</v>
      </c>
      <c r="AM52" s="163">
        <v>11.872383117675781</v>
      </c>
      <c r="AN52" t="s">
        <v>166</v>
      </c>
      <c r="AO52">
        <v>-1530</v>
      </c>
      <c r="AP52">
        <v>-1400</v>
      </c>
      <c r="AQ52" t="s">
        <v>254</v>
      </c>
      <c r="AR52" t="s">
        <v>166</v>
      </c>
      <c r="AS52" s="150">
        <v>47.331349877160953</v>
      </c>
      <c r="AT52" t="s">
        <v>166</v>
      </c>
      <c r="AU52" t="s">
        <v>166</v>
      </c>
      <c r="AV52" t="s">
        <v>166</v>
      </c>
      <c r="AW52" t="s">
        <v>255</v>
      </c>
      <c r="AX52" t="s">
        <v>256</v>
      </c>
      <c r="AY52" t="s">
        <v>166</v>
      </c>
      <c r="AZ52" t="s">
        <v>166</v>
      </c>
      <c r="BA52" t="s">
        <v>166</v>
      </c>
      <c r="BB52" t="s">
        <v>166</v>
      </c>
      <c r="BC52" t="s">
        <v>166</v>
      </c>
      <c r="BD52" t="s">
        <v>166</v>
      </c>
      <c r="BE52" t="s">
        <v>166</v>
      </c>
      <c r="BF52" t="s">
        <v>166</v>
      </c>
      <c r="BG52" s="151" t="s">
        <v>296</v>
      </c>
      <c r="BH52" s="149" t="s">
        <v>192</v>
      </c>
      <c r="BI52" t="s">
        <v>166</v>
      </c>
      <c r="BJ52" s="152" t="s">
        <v>166</v>
      </c>
      <c r="BK52" t="s">
        <v>299</v>
      </c>
      <c r="BL52" t="s">
        <v>194</v>
      </c>
      <c r="BM52" t="s">
        <v>195</v>
      </c>
      <c r="BN52" t="s">
        <v>166</v>
      </c>
      <c r="BO52" t="s">
        <v>166</v>
      </c>
      <c r="BP52" t="s">
        <v>166</v>
      </c>
      <c r="BQ52" s="150">
        <v>14.787082661907981</v>
      </c>
      <c r="BR52" t="s">
        <v>196</v>
      </c>
      <c r="BS52" s="150">
        <v>0.1430996197915117</v>
      </c>
      <c r="BT52">
        <v>1</v>
      </c>
      <c r="BU52" t="s">
        <v>197</v>
      </c>
      <c r="BV52" t="s">
        <v>166</v>
      </c>
      <c r="BW52">
        <v>0</v>
      </c>
      <c r="BX52" t="s">
        <v>197</v>
      </c>
      <c r="BY52" t="s">
        <v>166</v>
      </c>
      <c r="BZ52" t="s">
        <v>198</v>
      </c>
      <c r="CA52" t="s">
        <v>166</v>
      </c>
      <c r="CB52" s="150">
        <v>14.787082661907981</v>
      </c>
      <c r="CC52" t="s">
        <v>196</v>
      </c>
      <c r="CD52" s="150">
        <v>0.1430996197915117</v>
      </c>
      <c r="CE52" t="s">
        <v>199</v>
      </c>
      <c r="CF52" t="s">
        <v>166</v>
      </c>
      <c r="CG52" t="s">
        <v>200</v>
      </c>
      <c r="CH52" t="s">
        <v>166</v>
      </c>
      <c r="CI52" t="s">
        <v>166</v>
      </c>
      <c r="CJ52" s="139">
        <v>34.305101696391901</v>
      </c>
      <c r="CK52" t="s">
        <v>201</v>
      </c>
      <c r="CL52">
        <v>2</v>
      </c>
      <c r="CM52">
        <v>2</v>
      </c>
      <c r="CN52" t="s">
        <v>166</v>
      </c>
      <c r="CO52" s="139">
        <v>3.7610312475929071</v>
      </c>
      <c r="CP52" t="s">
        <v>166</v>
      </c>
      <c r="CQ52" t="s">
        <v>166</v>
      </c>
      <c r="CR52" t="s">
        <v>166</v>
      </c>
      <c r="CS52" s="153" t="s">
        <v>202</v>
      </c>
      <c r="CT52" t="s">
        <v>203</v>
      </c>
      <c r="CU52">
        <v>2.2000000000000002</v>
      </c>
      <c r="CV52" t="s">
        <v>204</v>
      </c>
      <c r="CW52" t="s">
        <v>166</v>
      </c>
      <c r="CX52" t="s">
        <v>166</v>
      </c>
      <c r="CY52" t="s">
        <v>166</v>
      </c>
      <c r="CZ52" t="s">
        <v>166</v>
      </c>
      <c r="DA52" s="154" t="s">
        <v>166</v>
      </c>
      <c r="DB52" t="s">
        <v>166</v>
      </c>
      <c r="DC52" t="s">
        <v>166</v>
      </c>
      <c r="DD52" t="s">
        <v>166</v>
      </c>
      <c r="DE52" t="s">
        <v>166</v>
      </c>
      <c r="DF52" t="s">
        <v>205</v>
      </c>
      <c r="DG52">
        <v>35</v>
      </c>
      <c r="DH52" t="s">
        <v>201</v>
      </c>
      <c r="DI52">
        <v>1</v>
      </c>
      <c r="DJ52" t="s">
        <v>206</v>
      </c>
      <c r="DK52">
        <v>17</v>
      </c>
      <c r="DL52" t="s">
        <v>166</v>
      </c>
      <c r="DM52" t="s">
        <v>166</v>
      </c>
      <c r="DN52" t="s">
        <v>207</v>
      </c>
      <c r="DO52">
        <v>38</v>
      </c>
      <c r="DP52" t="s">
        <v>208</v>
      </c>
      <c r="DQ52">
        <v>3</v>
      </c>
      <c r="DR52" t="s">
        <v>209</v>
      </c>
      <c r="DS52" t="s">
        <v>166</v>
      </c>
      <c r="DT52" t="s">
        <v>166</v>
      </c>
      <c r="DU52" t="s">
        <v>166</v>
      </c>
      <c r="DV52" t="s">
        <v>166</v>
      </c>
      <c r="DW52">
        <v>432.6</v>
      </c>
      <c r="DX52" t="s">
        <v>166</v>
      </c>
      <c r="DY52" t="s">
        <v>166</v>
      </c>
      <c r="DZ52" t="s">
        <v>210</v>
      </c>
      <c r="EA52" t="s">
        <v>211</v>
      </c>
      <c r="EB52" t="s">
        <v>212</v>
      </c>
      <c r="EC52" t="s">
        <v>166</v>
      </c>
      <c r="ED52" t="s">
        <v>213</v>
      </c>
      <c r="EE52" s="155" t="s">
        <v>214</v>
      </c>
      <c r="EF52" s="155" t="s">
        <v>214</v>
      </c>
      <c r="EG52">
        <v>1.0271999999999999</v>
      </c>
      <c r="EH52" t="s">
        <v>215</v>
      </c>
      <c r="EI52" t="s">
        <v>215</v>
      </c>
      <c r="EJ52" t="s">
        <v>216</v>
      </c>
      <c r="EK52" t="s">
        <v>215</v>
      </c>
      <c r="EL52" t="s">
        <v>215</v>
      </c>
      <c r="EM52" t="s">
        <v>217</v>
      </c>
      <c r="EN52" s="156" t="s">
        <v>214</v>
      </c>
      <c r="EO52" s="156" t="s">
        <v>214</v>
      </c>
      <c r="EP52" s="156" t="s">
        <v>214</v>
      </c>
      <c r="EQ52" s="156" t="s">
        <v>214</v>
      </c>
      <c r="ET52" t="s">
        <v>218</v>
      </c>
      <c r="EU52" t="s">
        <v>219</v>
      </c>
      <c r="EV52" t="s">
        <v>213</v>
      </c>
      <c r="EW52" t="s">
        <v>166</v>
      </c>
      <c r="EX52" t="s">
        <v>166</v>
      </c>
      <c r="EY52" t="s">
        <v>166</v>
      </c>
      <c r="EZ52" t="s">
        <v>166</v>
      </c>
      <c r="FA52" s="157">
        <v>6.5</v>
      </c>
      <c r="FB52" t="s">
        <v>220</v>
      </c>
      <c r="FC52" s="157">
        <v>1</v>
      </c>
      <c r="FD52" s="157">
        <v>1</v>
      </c>
      <c r="FE52" s="150">
        <v>7.7035701847135503</v>
      </c>
      <c r="FF52" t="s">
        <v>221</v>
      </c>
      <c r="FG52" s="150">
        <v>2.8843551543260126E-2</v>
      </c>
      <c r="FH52" s="150">
        <v>2.9487663103549444E-2</v>
      </c>
      <c r="FI52" s="144">
        <v>1070.4269003171898</v>
      </c>
      <c r="FJ52" t="s">
        <v>166</v>
      </c>
      <c r="FK52" t="s">
        <v>166</v>
      </c>
      <c r="FL52" s="144">
        <f t="shared" si="2"/>
        <v>1070.4269003171898</v>
      </c>
      <c r="FM52" s="144">
        <v>192.96580082357013</v>
      </c>
      <c r="FN52" s="144">
        <v>163.18315777595285</v>
      </c>
      <c r="FO52" t="s">
        <v>222</v>
      </c>
      <c r="FP52" t="s">
        <v>223</v>
      </c>
      <c r="FQ52" s="144" t="s">
        <v>166</v>
      </c>
      <c r="FR52" s="144" t="s">
        <v>166</v>
      </c>
      <c r="FS52" s="144" t="s">
        <v>166</v>
      </c>
      <c r="FT52" s="144" t="s">
        <v>166</v>
      </c>
      <c r="FU52" s="144" t="s">
        <v>166</v>
      </c>
      <c r="FV52" s="144" t="s">
        <v>166</v>
      </c>
      <c r="FW52" s="144" t="s">
        <v>166</v>
      </c>
      <c r="FX52" s="144" t="s">
        <v>166</v>
      </c>
      <c r="FY52" s="144" t="s">
        <v>166</v>
      </c>
      <c r="FZ52" s="144" t="s">
        <v>166</v>
      </c>
      <c r="GA52" s="144" t="s">
        <v>166</v>
      </c>
      <c r="GB52" s="144" t="s">
        <v>166</v>
      </c>
      <c r="GC52" s="158" t="s">
        <v>224</v>
      </c>
    </row>
    <row r="53" spans="1:185" ht="17">
      <c r="A53" s="140" t="s">
        <v>162</v>
      </c>
      <c r="B53" s="143" t="s">
        <v>163</v>
      </c>
      <c r="C53" s="140" t="s">
        <v>164</v>
      </c>
      <c r="D53" s="140" t="s">
        <v>165</v>
      </c>
      <c r="E53" s="140">
        <v>2020</v>
      </c>
      <c r="F53" t="s">
        <v>184</v>
      </c>
      <c r="G53" s="139">
        <v>48015.416863885315</v>
      </c>
      <c r="H53" s="147">
        <f t="shared" ref="H53" si="50">0.0083*G53^(0.9482)</f>
        <v>228.0149252182118</v>
      </c>
      <c r="I53" s="147">
        <f t="shared" si="1"/>
        <v>228.0149252182118</v>
      </c>
      <c r="J53" s="144">
        <v>1136.7089096346399</v>
      </c>
      <c r="K53" s="144">
        <v>200.91810905365014</v>
      </c>
      <c r="L53" s="144">
        <v>197.22008818376389</v>
      </c>
      <c r="M53" s="140" t="b">
        <v>1</v>
      </c>
      <c r="N53" s="140">
        <v>1</v>
      </c>
      <c r="O53" s="302" t="s">
        <v>581</v>
      </c>
      <c r="P53" s="140" t="s">
        <v>166</v>
      </c>
      <c r="Q53" s="140" t="s">
        <v>166</v>
      </c>
      <c r="R53" s="140" t="s">
        <v>166</v>
      </c>
      <c r="S53" s="140" t="b">
        <v>1</v>
      </c>
      <c r="T53" s="140" t="b">
        <v>0</v>
      </c>
      <c r="U53" s="140" t="s">
        <v>166</v>
      </c>
      <c r="V53" s="140" t="b">
        <v>0</v>
      </c>
      <c r="W53" s="140" t="b">
        <v>0</v>
      </c>
      <c r="X53" s="140" t="s">
        <v>580</v>
      </c>
      <c r="Y53" s="148" t="s">
        <v>186</v>
      </c>
      <c r="Z53" t="s">
        <v>184</v>
      </c>
      <c r="AA53" s="149">
        <v>865</v>
      </c>
      <c r="AB53" s="149" t="s">
        <v>233</v>
      </c>
      <c r="AC53" s="149">
        <v>8</v>
      </c>
      <c r="AD53" s="149">
        <v>6</v>
      </c>
      <c r="AE53">
        <v>5</v>
      </c>
      <c r="AF53">
        <v>10</v>
      </c>
      <c r="AG53" s="150">
        <v>73.05</v>
      </c>
      <c r="AH53" t="s">
        <v>166</v>
      </c>
      <c r="AI53" t="s">
        <v>166</v>
      </c>
      <c r="AJ53" t="s">
        <v>253</v>
      </c>
      <c r="AK53">
        <v>18.440300000000001</v>
      </c>
      <c r="AL53">
        <v>-179.5558</v>
      </c>
      <c r="AM53" s="163">
        <v>11.925464630126953</v>
      </c>
      <c r="AN53" t="s">
        <v>166</v>
      </c>
      <c r="AO53">
        <v>-1530</v>
      </c>
      <c r="AP53">
        <v>-1400</v>
      </c>
      <c r="AQ53" t="s">
        <v>254</v>
      </c>
      <c r="AR53" t="s">
        <v>166</v>
      </c>
      <c r="AS53" s="150">
        <v>48.015416863885314</v>
      </c>
      <c r="AT53" t="s">
        <v>166</v>
      </c>
      <c r="AU53" t="s">
        <v>166</v>
      </c>
      <c r="AV53" t="s">
        <v>166</v>
      </c>
      <c r="AW53" t="s">
        <v>255</v>
      </c>
      <c r="AX53" t="s">
        <v>256</v>
      </c>
      <c r="AY53" t="s">
        <v>166</v>
      </c>
      <c r="AZ53" t="s">
        <v>166</v>
      </c>
      <c r="BA53" t="s">
        <v>166</v>
      </c>
      <c r="BB53" t="s">
        <v>166</v>
      </c>
      <c r="BC53" t="s">
        <v>166</v>
      </c>
      <c r="BD53" t="s">
        <v>166</v>
      </c>
      <c r="BE53" t="s">
        <v>166</v>
      </c>
      <c r="BF53" t="s">
        <v>166</v>
      </c>
      <c r="BG53" s="151" t="s">
        <v>300</v>
      </c>
      <c r="BH53" s="149" t="s">
        <v>263</v>
      </c>
      <c r="BI53" t="s">
        <v>166</v>
      </c>
      <c r="BJ53" s="152" t="s">
        <v>166</v>
      </c>
      <c r="BK53" t="s">
        <v>301</v>
      </c>
      <c r="BL53" t="s">
        <v>194</v>
      </c>
      <c r="BM53" t="s">
        <v>195</v>
      </c>
      <c r="BN53" t="s">
        <v>166</v>
      </c>
      <c r="BO53" t="s">
        <v>166</v>
      </c>
      <c r="BP53" t="s">
        <v>166</v>
      </c>
      <c r="BQ53" s="150">
        <v>14.673850746558026</v>
      </c>
      <c r="BR53" t="s">
        <v>196</v>
      </c>
      <c r="BS53" s="150">
        <v>0.21060340191087115</v>
      </c>
      <c r="BT53">
        <v>1</v>
      </c>
      <c r="BU53" t="s">
        <v>197</v>
      </c>
      <c r="BV53" t="s">
        <v>166</v>
      </c>
      <c r="BW53">
        <v>0</v>
      </c>
      <c r="BX53" t="s">
        <v>197</v>
      </c>
      <c r="BY53" t="s">
        <v>166</v>
      </c>
      <c r="BZ53" t="s">
        <v>198</v>
      </c>
      <c r="CA53" t="s">
        <v>166</v>
      </c>
      <c r="CB53" s="150">
        <v>14.673850746558026</v>
      </c>
      <c r="CC53" t="s">
        <v>196</v>
      </c>
      <c r="CD53" s="150">
        <v>0.21060340191087115</v>
      </c>
      <c r="CE53" t="s">
        <v>199</v>
      </c>
      <c r="CF53" t="s">
        <v>166</v>
      </c>
      <c r="CG53" t="s">
        <v>200</v>
      </c>
      <c r="CH53" t="s">
        <v>166</v>
      </c>
      <c r="CI53" t="s">
        <v>166</v>
      </c>
      <c r="CJ53" s="139">
        <v>33.30825223440506</v>
      </c>
      <c r="CK53" t="s">
        <v>201</v>
      </c>
      <c r="CL53">
        <v>2</v>
      </c>
      <c r="CM53">
        <v>2</v>
      </c>
      <c r="CN53" t="s">
        <v>166</v>
      </c>
      <c r="CO53" s="139">
        <v>3.5555393395396302</v>
      </c>
      <c r="CP53" t="s">
        <v>166</v>
      </c>
      <c r="CQ53" t="s">
        <v>166</v>
      </c>
      <c r="CR53" t="s">
        <v>166</v>
      </c>
      <c r="CS53" s="153" t="s">
        <v>202</v>
      </c>
      <c r="CT53" t="s">
        <v>203</v>
      </c>
      <c r="CU53">
        <v>2.2000000000000002</v>
      </c>
      <c r="CV53" t="s">
        <v>204</v>
      </c>
      <c r="CW53" t="s">
        <v>166</v>
      </c>
      <c r="CX53" t="s">
        <v>166</v>
      </c>
      <c r="CY53" t="s">
        <v>166</v>
      </c>
      <c r="CZ53" t="s">
        <v>166</v>
      </c>
      <c r="DA53" s="154" t="s">
        <v>166</v>
      </c>
      <c r="DB53" t="s">
        <v>166</v>
      </c>
      <c r="DC53" t="s">
        <v>166</v>
      </c>
      <c r="DD53" t="s">
        <v>166</v>
      </c>
      <c r="DE53" t="s">
        <v>166</v>
      </c>
      <c r="DF53" t="s">
        <v>205</v>
      </c>
      <c r="DG53">
        <v>35</v>
      </c>
      <c r="DH53" t="s">
        <v>201</v>
      </c>
      <c r="DI53">
        <v>1</v>
      </c>
      <c r="DJ53" t="s">
        <v>206</v>
      </c>
      <c r="DK53">
        <v>17</v>
      </c>
      <c r="DL53" t="s">
        <v>166</v>
      </c>
      <c r="DM53" t="s">
        <v>166</v>
      </c>
      <c r="DN53" t="s">
        <v>207</v>
      </c>
      <c r="DO53">
        <v>38</v>
      </c>
      <c r="DP53" t="s">
        <v>208</v>
      </c>
      <c r="DQ53">
        <v>3</v>
      </c>
      <c r="DR53" t="s">
        <v>209</v>
      </c>
      <c r="DS53" t="s">
        <v>166</v>
      </c>
      <c r="DT53" t="s">
        <v>166</v>
      </c>
      <c r="DU53" t="s">
        <v>166</v>
      </c>
      <c r="DV53" t="s">
        <v>166</v>
      </c>
      <c r="DW53">
        <v>432.6</v>
      </c>
      <c r="DX53" t="s">
        <v>166</v>
      </c>
      <c r="DY53" t="s">
        <v>166</v>
      </c>
      <c r="DZ53" t="s">
        <v>210</v>
      </c>
      <c r="EA53" t="s">
        <v>211</v>
      </c>
      <c r="EB53" t="s">
        <v>212</v>
      </c>
      <c r="EC53" t="s">
        <v>166</v>
      </c>
      <c r="ED53" t="s">
        <v>213</v>
      </c>
      <c r="EE53" s="155" t="s">
        <v>214</v>
      </c>
      <c r="EF53" s="155" t="s">
        <v>214</v>
      </c>
      <c r="EG53">
        <v>1.0271999999999999</v>
      </c>
      <c r="EH53" t="s">
        <v>215</v>
      </c>
      <c r="EI53" t="s">
        <v>215</v>
      </c>
      <c r="EJ53" t="s">
        <v>216</v>
      </c>
      <c r="EK53" t="s">
        <v>215</v>
      </c>
      <c r="EL53" t="s">
        <v>215</v>
      </c>
      <c r="EM53" t="s">
        <v>217</v>
      </c>
      <c r="EN53" s="156" t="s">
        <v>214</v>
      </c>
      <c r="EO53" s="156" t="s">
        <v>214</v>
      </c>
      <c r="EP53" s="156" t="s">
        <v>214</v>
      </c>
      <c r="EQ53" s="156" t="s">
        <v>214</v>
      </c>
      <c r="ET53" t="s">
        <v>218</v>
      </c>
      <c r="EU53" t="s">
        <v>219</v>
      </c>
      <c r="EV53" t="s">
        <v>213</v>
      </c>
      <c r="EW53" t="s">
        <v>166</v>
      </c>
      <c r="EX53" t="s">
        <v>166</v>
      </c>
      <c r="EY53" t="s">
        <v>166</v>
      </c>
      <c r="EZ53" t="s">
        <v>166</v>
      </c>
      <c r="FA53" s="157">
        <v>6.5</v>
      </c>
      <c r="FB53" t="s">
        <v>220</v>
      </c>
      <c r="FC53" s="157">
        <v>1</v>
      </c>
      <c r="FD53" s="157">
        <v>1</v>
      </c>
      <c r="FE53" s="150">
        <v>7.6995400867069996</v>
      </c>
      <c r="FF53" t="s">
        <v>221</v>
      </c>
      <c r="FG53" s="150">
        <v>3.4673473742230065E-2</v>
      </c>
      <c r="FH53" s="150">
        <v>3.2666593613140726E-2</v>
      </c>
      <c r="FI53" s="144">
        <v>1136.7089096346399</v>
      </c>
      <c r="FJ53" t="s">
        <v>166</v>
      </c>
      <c r="FK53" t="s">
        <v>166</v>
      </c>
      <c r="FL53" s="144">
        <f t="shared" si="2"/>
        <v>1136.7089096346399</v>
      </c>
      <c r="FM53" s="144">
        <v>200.91810905365014</v>
      </c>
      <c r="FN53" s="144">
        <v>197.22008818376389</v>
      </c>
      <c r="FO53" t="s">
        <v>222</v>
      </c>
      <c r="FP53" t="s">
        <v>223</v>
      </c>
      <c r="FQ53" s="144" t="s">
        <v>166</v>
      </c>
      <c r="FR53" s="144" t="s">
        <v>166</v>
      </c>
      <c r="FS53" s="144" t="s">
        <v>166</v>
      </c>
      <c r="FT53" s="144" t="s">
        <v>166</v>
      </c>
      <c r="FU53" s="144" t="s">
        <v>166</v>
      </c>
      <c r="FV53" s="144" t="s">
        <v>166</v>
      </c>
      <c r="FW53" s="144" t="s">
        <v>166</v>
      </c>
      <c r="FX53" s="144" t="s">
        <v>166</v>
      </c>
      <c r="FY53" s="144" t="s">
        <v>166</v>
      </c>
      <c r="FZ53" s="144" t="s">
        <v>166</v>
      </c>
      <c r="GA53" s="144" t="s">
        <v>166</v>
      </c>
      <c r="GB53" s="144" t="s">
        <v>166</v>
      </c>
      <c r="GC53" s="158" t="s">
        <v>224</v>
      </c>
    </row>
    <row r="54" spans="1:185" ht="17">
      <c r="A54" s="140" t="s">
        <v>162</v>
      </c>
      <c r="B54" s="143" t="s">
        <v>163</v>
      </c>
      <c r="C54" s="140" t="s">
        <v>164</v>
      </c>
      <c r="D54" s="140" t="s">
        <v>165</v>
      </c>
      <c r="E54" s="140">
        <v>2020</v>
      </c>
      <c r="F54" t="s">
        <v>184</v>
      </c>
      <c r="G54" s="139">
        <v>48015.416863885315</v>
      </c>
      <c r="H54" s="147">
        <f t="shared" ref="H54" si="51">0.0083*G54^(0.9482)</f>
        <v>228.0149252182118</v>
      </c>
      <c r="I54" s="147">
        <f t="shared" si="1"/>
        <v>228.0149252182118</v>
      </c>
      <c r="J54" s="144">
        <v>1039.0337485929001</v>
      </c>
      <c r="K54" s="144">
        <v>215.6753557746099</v>
      </c>
      <c r="L54" s="144">
        <v>184.78755014379715</v>
      </c>
      <c r="M54" s="140" t="b">
        <v>1</v>
      </c>
      <c r="N54" s="140">
        <v>1</v>
      </c>
      <c r="O54" s="302" t="s">
        <v>581</v>
      </c>
      <c r="P54" s="140" t="s">
        <v>166</v>
      </c>
      <c r="Q54" s="140" t="s">
        <v>166</v>
      </c>
      <c r="R54" s="140" t="s">
        <v>166</v>
      </c>
      <c r="S54" s="140" t="b">
        <v>1</v>
      </c>
      <c r="T54" s="140" t="b">
        <v>0</v>
      </c>
      <c r="U54" s="140" t="s">
        <v>166</v>
      </c>
      <c r="V54" s="140" t="b">
        <v>0</v>
      </c>
      <c r="W54" s="140" t="b">
        <v>0</v>
      </c>
      <c r="X54" s="140" t="s">
        <v>580</v>
      </c>
      <c r="Y54" s="148" t="s">
        <v>186</v>
      </c>
      <c r="Z54" t="s">
        <v>184</v>
      </c>
      <c r="AA54" s="149">
        <v>865</v>
      </c>
      <c r="AB54" s="149" t="s">
        <v>233</v>
      </c>
      <c r="AC54" s="149">
        <v>8</v>
      </c>
      <c r="AD54" s="149">
        <v>6</v>
      </c>
      <c r="AE54">
        <v>5</v>
      </c>
      <c r="AF54">
        <v>10</v>
      </c>
      <c r="AG54" s="150">
        <v>73.05</v>
      </c>
      <c r="AH54" t="s">
        <v>166</v>
      </c>
      <c r="AI54" t="s">
        <v>166</v>
      </c>
      <c r="AJ54" t="s">
        <v>253</v>
      </c>
      <c r="AK54">
        <v>18.440300000000001</v>
      </c>
      <c r="AL54">
        <v>-179.5558</v>
      </c>
      <c r="AM54" s="163">
        <v>11.925464630126953</v>
      </c>
      <c r="AN54" t="s">
        <v>166</v>
      </c>
      <c r="AO54">
        <v>-1530</v>
      </c>
      <c r="AP54">
        <v>-1400</v>
      </c>
      <c r="AQ54" t="s">
        <v>254</v>
      </c>
      <c r="AR54" t="s">
        <v>166</v>
      </c>
      <c r="AS54" s="150">
        <v>48.015416863885314</v>
      </c>
      <c r="AT54" t="s">
        <v>166</v>
      </c>
      <c r="AU54" t="s">
        <v>166</v>
      </c>
      <c r="AV54" t="s">
        <v>166</v>
      </c>
      <c r="AW54" t="s">
        <v>255</v>
      </c>
      <c r="AX54" t="s">
        <v>256</v>
      </c>
      <c r="AY54" t="s">
        <v>166</v>
      </c>
      <c r="AZ54" t="s">
        <v>166</v>
      </c>
      <c r="BA54" t="s">
        <v>166</v>
      </c>
      <c r="BB54" t="s">
        <v>166</v>
      </c>
      <c r="BC54" t="s">
        <v>166</v>
      </c>
      <c r="BD54" t="s">
        <v>166</v>
      </c>
      <c r="BE54" t="s">
        <v>166</v>
      </c>
      <c r="BF54" t="s">
        <v>166</v>
      </c>
      <c r="BG54" s="151" t="s">
        <v>302</v>
      </c>
      <c r="BH54" s="149" t="s">
        <v>192</v>
      </c>
      <c r="BI54" t="s">
        <v>166</v>
      </c>
      <c r="BJ54" s="152" t="s">
        <v>166</v>
      </c>
      <c r="BK54" t="s">
        <v>303</v>
      </c>
      <c r="BL54" t="s">
        <v>194</v>
      </c>
      <c r="BM54" t="s">
        <v>195</v>
      </c>
      <c r="BN54" t="s">
        <v>166</v>
      </c>
      <c r="BO54" t="s">
        <v>166</v>
      </c>
      <c r="BP54" t="s">
        <v>166</v>
      </c>
      <c r="BQ54" s="150">
        <v>14.961002995291018</v>
      </c>
      <c r="BR54" t="s">
        <v>196</v>
      </c>
      <c r="BS54" s="150">
        <v>0.26048910441655482</v>
      </c>
      <c r="BT54">
        <v>1</v>
      </c>
      <c r="BU54" t="s">
        <v>197</v>
      </c>
      <c r="BV54" t="s">
        <v>166</v>
      </c>
      <c r="BW54">
        <v>0</v>
      </c>
      <c r="BX54" t="s">
        <v>197</v>
      </c>
      <c r="BY54" t="s">
        <v>166</v>
      </c>
      <c r="BZ54" t="s">
        <v>198</v>
      </c>
      <c r="CA54" t="s">
        <v>166</v>
      </c>
      <c r="CB54" s="150">
        <v>14.961002995291018</v>
      </c>
      <c r="CC54" t="s">
        <v>196</v>
      </c>
      <c r="CD54" s="150">
        <v>0.26048910441655482</v>
      </c>
      <c r="CE54" t="s">
        <v>199</v>
      </c>
      <c r="CF54" t="s">
        <v>166</v>
      </c>
      <c r="CG54" t="s">
        <v>200</v>
      </c>
      <c r="CH54" t="s">
        <v>166</v>
      </c>
      <c r="CI54" t="s">
        <v>166</v>
      </c>
      <c r="CJ54" s="139">
        <v>38.161302477850874</v>
      </c>
      <c r="CK54" t="s">
        <v>201</v>
      </c>
      <c r="CL54">
        <v>2</v>
      </c>
      <c r="CM54">
        <v>2</v>
      </c>
      <c r="CN54" t="s">
        <v>166</v>
      </c>
      <c r="CO54" s="139">
        <v>4.6741348585470481</v>
      </c>
      <c r="CP54" t="s">
        <v>166</v>
      </c>
      <c r="CQ54" t="s">
        <v>166</v>
      </c>
      <c r="CR54" t="s">
        <v>166</v>
      </c>
      <c r="CS54" s="153" t="s">
        <v>202</v>
      </c>
      <c r="CT54" t="s">
        <v>203</v>
      </c>
      <c r="CU54">
        <v>2.2000000000000002</v>
      </c>
      <c r="CV54" t="s">
        <v>204</v>
      </c>
      <c r="CW54" t="s">
        <v>166</v>
      </c>
      <c r="CX54" t="s">
        <v>166</v>
      </c>
      <c r="CY54" t="s">
        <v>166</v>
      </c>
      <c r="CZ54" t="s">
        <v>166</v>
      </c>
      <c r="DA54" s="154" t="s">
        <v>166</v>
      </c>
      <c r="DB54" t="s">
        <v>166</v>
      </c>
      <c r="DC54" t="s">
        <v>166</v>
      </c>
      <c r="DD54" t="s">
        <v>166</v>
      </c>
      <c r="DE54" t="s">
        <v>166</v>
      </c>
      <c r="DF54" t="s">
        <v>205</v>
      </c>
      <c r="DG54">
        <v>35</v>
      </c>
      <c r="DH54" t="s">
        <v>201</v>
      </c>
      <c r="DI54">
        <v>1</v>
      </c>
      <c r="DJ54" t="s">
        <v>206</v>
      </c>
      <c r="DK54">
        <v>17</v>
      </c>
      <c r="DL54" t="s">
        <v>166</v>
      </c>
      <c r="DM54" t="s">
        <v>166</v>
      </c>
      <c r="DN54" t="s">
        <v>207</v>
      </c>
      <c r="DO54">
        <v>38</v>
      </c>
      <c r="DP54" t="s">
        <v>208</v>
      </c>
      <c r="DQ54">
        <v>3</v>
      </c>
      <c r="DR54" t="s">
        <v>209</v>
      </c>
      <c r="DS54" t="s">
        <v>166</v>
      </c>
      <c r="DT54" t="s">
        <v>166</v>
      </c>
      <c r="DU54" t="s">
        <v>166</v>
      </c>
      <c r="DV54" t="s">
        <v>166</v>
      </c>
      <c r="DW54">
        <v>432.6</v>
      </c>
      <c r="DX54" t="s">
        <v>166</v>
      </c>
      <c r="DY54" t="s">
        <v>166</v>
      </c>
      <c r="DZ54" t="s">
        <v>210</v>
      </c>
      <c r="EA54" t="s">
        <v>211</v>
      </c>
      <c r="EB54" t="s">
        <v>212</v>
      </c>
      <c r="EC54" t="s">
        <v>166</v>
      </c>
      <c r="ED54" t="s">
        <v>213</v>
      </c>
      <c r="EE54" s="155" t="s">
        <v>214</v>
      </c>
      <c r="EF54" s="155" t="s">
        <v>214</v>
      </c>
      <c r="EG54">
        <v>1.0271999999999999</v>
      </c>
      <c r="EH54" t="s">
        <v>215</v>
      </c>
      <c r="EI54" t="s">
        <v>215</v>
      </c>
      <c r="EJ54" t="s">
        <v>216</v>
      </c>
      <c r="EK54" t="s">
        <v>215</v>
      </c>
      <c r="EL54" t="s">
        <v>215</v>
      </c>
      <c r="EM54" t="s">
        <v>217</v>
      </c>
      <c r="EN54" s="156" t="s">
        <v>214</v>
      </c>
      <c r="EO54" s="156" t="s">
        <v>214</v>
      </c>
      <c r="EP54" s="156" t="s">
        <v>214</v>
      </c>
      <c r="EQ54" s="156" t="s">
        <v>214</v>
      </c>
      <c r="ET54" t="s">
        <v>218</v>
      </c>
      <c r="EU54" t="s">
        <v>219</v>
      </c>
      <c r="EV54" t="s">
        <v>213</v>
      </c>
      <c r="EW54" t="s">
        <v>166</v>
      </c>
      <c r="EX54" t="s">
        <v>166</v>
      </c>
      <c r="EY54" t="s">
        <v>166</v>
      </c>
      <c r="EZ54" t="s">
        <v>166</v>
      </c>
      <c r="FA54" s="157">
        <v>6.5</v>
      </c>
      <c r="FB54" t="s">
        <v>220</v>
      </c>
      <c r="FC54" s="157">
        <v>1</v>
      </c>
      <c r="FD54" s="157">
        <v>1</v>
      </c>
      <c r="FE54" s="150">
        <v>7.6833587804826102</v>
      </c>
      <c r="FF54" t="s">
        <v>221</v>
      </c>
      <c r="FG54" s="150">
        <v>3.9225691999639878E-2</v>
      </c>
      <c r="FH54" s="150">
        <v>3.5827806077429969E-2</v>
      </c>
      <c r="FI54" s="144">
        <v>1039.0337485929001</v>
      </c>
      <c r="FJ54" t="s">
        <v>166</v>
      </c>
      <c r="FK54" t="s">
        <v>166</v>
      </c>
      <c r="FL54" s="144">
        <f t="shared" si="2"/>
        <v>1039.0337485929001</v>
      </c>
      <c r="FM54" s="144">
        <v>215.6753557746099</v>
      </c>
      <c r="FN54" s="144">
        <v>184.78755014379715</v>
      </c>
      <c r="FO54" t="s">
        <v>222</v>
      </c>
      <c r="FP54" t="s">
        <v>223</v>
      </c>
      <c r="FQ54" s="144" t="s">
        <v>166</v>
      </c>
      <c r="FR54" s="144" t="s">
        <v>166</v>
      </c>
      <c r="FS54" s="144" t="s">
        <v>166</v>
      </c>
      <c r="FT54" s="144" t="s">
        <v>166</v>
      </c>
      <c r="FU54" s="144" t="s">
        <v>166</v>
      </c>
      <c r="FV54" s="144" t="s">
        <v>166</v>
      </c>
      <c r="FW54" s="144" t="s">
        <v>166</v>
      </c>
      <c r="FX54" s="144" t="s">
        <v>166</v>
      </c>
      <c r="FY54" s="144" t="s">
        <v>166</v>
      </c>
      <c r="FZ54" s="144" t="s">
        <v>166</v>
      </c>
      <c r="GA54" s="144" t="s">
        <v>166</v>
      </c>
      <c r="GB54" s="144" t="s">
        <v>166</v>
      </c>
      <c r="GC54" s="158" t="s">
        <v>224</v>
      </c>
    </row>
    <row r="55" spans="1:185" ht="17">
      <c r="A55" s="140" t="s">
        <v>162</v>
      </c>
      <c r="B55" s="143" t="s">
        <v>163</v>
      </c>
      <c r="C55" s="140" t="s">
        <v>164</v>
      </c>
      <c r="D55" s="140" t="s">
        <v>165</v>
      </c>
      <c r="E55" s="140">
        <v>2020</v>
      </c>
      <c r="F55" t="s">
        <v>184</v>
      </c>
      <c r="G55" s="139">
        <v>49134.491852052197</v>
      </c>
      <c r="H55" s="147">
        <f t="shared" ref="H55" si="52">0.0083*G55^(0.9482)</f>
        <v>233.05087735098033</v>
      </c>
      <c r="I55" s="147">
        <f t="shared" si="1"/>
        <v>233.05087735098033</v>
      </c>
      <c r="J55" s="144">
        <v>1185.02199530142</v>
      </c>
      <c r="K55" s="144">
        <v>255.20047168568999</v>
      </c>
      <c r="L55" s="144">
        <v>211.33207927916499</v>
      </c>
      <c r="M55" s="140" t="b">
        <v>1</v>
      </c>
      <c r="N55" s="140">
        <v>1</v>
      </c>
      <c r="O55" s="302" t="s">
        <v>581</v>
      </c>
      <c r="P55" s="140" t="s">
        <v>166</v>
      </c>
      <c r="Q55" s="140" t="s">
        <v>166</v>
      </c>
      <c r="R55" s="140" t="s">
        <v>166</v>
      </c>
      <c r="S55" s="140" t="b">
        <v>1</v>
      </c>
      <c r="T55" s="140" t="b">
        <v>0</v>
      </c>
      <c r="U55" s="140" t="s">
        <v>166</v>
      </c>
      <c r="V55" s="140" t="b">
        <v>0</v>
      </c>
      <c r="W55" s="140" t="b">
        <v>0</v>
      </c>
      <c r="X55" s="140" t="s">
        <v>580</v>
      </c>
      <c r="Y55" s="148" t="s">
        <v>186</v>
      </c>
      <c r="Z55" t="s">
        <v>184</v>
      </c>
      <c r="AA55" s="149">
        <v>865</v>
      </c>
      <c r="AB55" s="149" t="s">
        <v>233</v>
      </c>
      <c r="AC55" s="149">
        <v>9</v>
      </c>
      <c r="AD55" s="149">
        <v>3</v>
      </c>
      <c r="AE55" t="s">
        <v>166</v>
      </c>
      <c r="AF55" t="s">
        <v>166</v>
      </c>
      <c r="AG55" s="150">
        <v>78.015000000000001</v>
      </c>
      <c r="AH55" t="s">
        <v>166</v>
      </c>
      <c r="AI55" t="s">
        <v>166</v>
      </c>
      <c r="AJ55" t="s">
        <v>253</v>
      </c>
      <c r="AK55">
        <v>18.440300000000001</v>
      </c>
      <c r="AL55">
        <v>-179.5558</v>
      </c>
      <c r="AM55" s="163">
        <v>12.012299537658691</v>
      </c>
      <c r="AN55" t="s">
        <v>166</v>
      </c>
      <c r="AO55">
        <v>-1530</v>
      </c>
      <c r="AP55">
        <v>-1400</v>
      </c>
      <c r="AQ55" t="s">
        <v>254</v>
      </c>
      <c r="AR55" t="s">
        <v>166</v>
      </c>
      <c r="AS55" s="150">
        <v>49.1344918520522</v>
      </c>
      <c r="AT55" t="s">
        <v>166</v>
      </c>
      <c r="AU55" t="s">
        <v>166</v>
      </c>
      <c r="AV55" t="s">
        <v>166</v>
      </c>
      <c r="AW55" t="s">
        <v>255</v>
      </c>
      <c r="AX55" t="s">
        <v>256</v>
      </c>
      <c r="AY55" t="s">
        <v>166</v>
      </c>
      <c r="AZ55" t="s">
        <v>166</v>
      </c>
      <c r="BA55" t="s">
        <v>166</v>
      </c>
      <c r="BB55" t="s">
        <v>166</v>
      </c>
      <c r="BC55" t="s">
        <v>166</v>
      </c>
      <c r="BD55" t="s">
        <v>166</v>
      </c>
      <c r="BE55" t="s">
        <v>166</v>
      </c>
      <c r="BF55" t="s">
        <v>166</v>
      </c>
      <c r="BG55" s="151" t="s">
        <v>304</v>
      </c>
      <c r="BH55" s="149" t="s">
        <v>192</v>
      </c>
      <c r="BI55" t="s">
        <v>166</v>
      </c>
      <c r="BJ55" s="152" t="s">
        <v>166</v>
      </c>
      <c r="BK55" t="s">
        <v>305</v>
      </c>
      <c r="BL55" t="s">
        <v>194</v>
      </c>
      <c r="BM55" t="s">
        <v>195</v>
      </c>
      <c r="BN55" t="s">
        <v>166</v>
      </c>
      <c r="BO55" t="s">
        <v>166</v>
      </c>
      <c r="BP55" t="s">
        <v>166</v>
      </c>
      <c r="BQ55" s="150">
        <v>14.807578184167113</v>
      </c>
      <c r="BR55" t="s">
        <v>196</v>
      </c>
      <c r="BS55" s="150">
        <v>0.25731268537716939</v>
      </c>
      <c r="BT55">
        <v>1</v>
      </c>
      <c r="BU55" t="s">
        <v>197</v>
      </c>
      <c r="BV55" t="s">
        <v>166</v>
      </c>
      <c r="BW55">
        <v>0</v>
      </c>
      <c r="BX55" t="s">
        <v>197</v>
      </c>
      <c r="BY55" t="s">
        <v>166</v>
      </c>
      <c r="BZ55" t="s">
        <v>198</v>
      </c>
      <c r="CA55" t="s">
        <v>166</v>
      </c>
      <c r="CB55" s="150">
        <v>14.807578184167113</v>
      </c>
      <c r="CC55" t="s">
        <v>196</v>
      </c>
      <c r="CD55" s="150">
        <v>0.25731268537716939</v>
      </c>
      <c r="CE55" t="s">
        <v>199</v>
      </c>
      <c r="CF55" t="s">
        <v>166</v>
      </c>
      <c r="CG55" t="s">
        <v>200</v>
      </c>
      <c r="CH55" t="s">
        <v>166</v>
      </c>
      <c r="CI55" t="s">
        <v>166</v>
      </c>
      <c r="CJ55" s="139">
        <v>39.68153762245224</v>
      </c>
      <c r="CK55" t="s">
        <v>201</v>
      </c>
      <c r="CL55">
        <v>2</v>
      </c>
      <c r="CM55">
        <v>2</v>
      </c>
      <c r="CN55" t="s">
        <v>166</v>
      </c>
      <c r="CO55" s="139">
        <v>5.0923052318533637</v>
      </c>
      <c r="CP55" t="s">
        <v>166</v>
      </c>
      <c r="CQ55" t="s">
        <v>166</v>
      </c>
      <c r="CR55" t="s">
        <v>166</v>
      </c>
      <c r="CS55" s="153" t="s">
        <v>202</v>
      </c>
      <c r="CT55" t="s">
        <v>203</v>
      </c>
      <c r="CU55">
        <v>2.2000000000000002</v>
      </c>
      <c r="CV55" t="s">
        <v>204</v>
      </c>
      <c r="CW55" t="s">
        <v>166</v>
      </c>
      <c r="CX55" t="s">
        <v>166</v>
      </c>
      <c r="CY55" t="s">
        <v>166</v>
      </c>
      <c r="CZ55" t="s">
        <v>166</v>
      </c>
      <c r="DA55" s="154" t="s">
        <v>166</v>
      </c>
      <c r="DB55" t="s">
        <v>166</v>
      </c>
      <c r="DC55" t="s">
        <v>166</v>
      </c>
      <c r="DD55" t="s">
        <v>166</v>
      </c>
      <c r="DE55" t="s">
        <v>166</v>
      </c>
      <c r="DF55" t="s">
        <v>205</v>
      </c>
      <c r="DG55">
        <v>35</v>
      </c>
      <c r="DH55" t="s">
        <v>201</v>
      </c>
      <c r="DI55">
        <v>1</v>
      </c>
      <c r="DJ55" t="s">
        <v>206</v>
      </c>
      <c r="DK55">
        <v>17</v>
      </c>
      <c r="DL55" t="s">
        <v>166</v>
      </c>
      <c r="DM55" t="s">
        <v>166</v>
      </c>
      <c r="DN55" t="s">
        <v>207</v>
      </c>
      <c r="DO55">
        <v>38</v>
      </c>
      <c r="DP55" t="s">
        <v>208</v>
      </c>
      <c r="DQ55">
        <v>3</v>
      </c>
      <c r="DR55" t="s">
        <v>209</v>
      </c>
      <c r="DS55" t="s">
        <v>166</v>
      </c>
      <c r="DT55" t="s">
        <v>166</v>
      </c>
      <c r="DU55" t="s">
        <v>166</v>
      </c>
      <c r="DV55" t="s">
        <v>166</v>
      </c>
      <c r="DW55">
        <v>432.6</v>
      </c>
      <c r="DX55" t="s">
        <v>166</v>
      </c>
      <c r="DY55" t="s">
        <v>166</v>
      </c>
      <c r="DZ55" t="s">
        <v>210</v>
      </c>
      <c r="EA55" t="s">
        <v>211</v>
      </c>
      <c r="EB55" t="s">
        <v>212</v>
      </c>
      <c r="EC55" t="s">
        <v>166</v>
      </c>
      <c r="ED55" t="s">
        <v>213</v>
      </c>
      <c r="EE55" s="155" t="s">
        <v>214</v>
      </c>
      <c r="EF55" s="155" t="s">
        <v>214</v>
      </c>
      <c r="EG55">
        <v>1.0271999999999999</v>
      </c>
      <c r="EH55" t="s">
        <v>215</v>
      </c>
      <c r="EI55" t="s">
        <v>215</v>
      </c>
      <c r="EJ55" t="s">
        <v>216</v>
      </c>
      <c r="EK55" t="s">
        <v>215</v>
      </c>
      <c r="EL55" t="s">
        <v>215</v>
      </c>
      <c r="EM55" t="s">
        <v>217</v>
      </c>
      <c r="EN55" s="156" t="s">
        <v>214</v>
      </c>
      <c r="EO55" s="156" t="s">
        <v>214</v>
      </c>
      <c r="EP55" s="156" t="s">
        <v>214</v>
      </c>
      <c r="EQ55" s="156" t="s">
        <v>214</v>
      </c>
      <c r="ET55" t="s">
        <v>218</v>
      </c>
      <c r="EU55" t="s">
        <v>219</v>
      </c>
      <c r="EV55" t="s">
        <v>213</v>
      </c>
      <c r="EW55" t="s">
        <v>166</v>
      </c>
      <c r="EX55" t="s">
        <v>166</v>
      </c>
      <c r="EY55" t="s">
        <v>166</v>
      </c>
      <c r="EZ55" t="s">
        <v>166</v>
      </c>
      <c r="FA55" s="157">
        <v>6.5</v>
      </c>
      <c r="FB55" t="s">
        <v>220</v>
      </c>
      <c r="FC55" s="157">
        <v>1</v>
      </c>
      <c r="FD55" s="157">
        <v>1</v>
      </c>
      <c r="FE55" s="150">
        <v>7.6425764906782696</v>
      </c>
      <c r="FF55" t="s">
        <v>221</v>
      </c>
      <c r="FG55" s="150">
        <v>3.7407071679909976E-2</v>
      </c>
      <c r="FH55" s="150">
        <v>3.7296977483450178E-2</v>
      </c>
      <c r="FI55" s="144">
        <v>1185.02199530142</v>
      </c>
      <c r="FJ55" t="s">
        <v>166</v>
      </c>
      <c r="FK55" t="s">
        <v>166</v>
      </c>
      <c r="FL55" s="144">
        <f t="shared" si="2"/>
        <v>1185.02199530142</v>
      </c>
      <c r="FM55" s="144">
        <v>255.20047168568999</v>
      </c>
      <c r="FN55" s="144">
        <v>211.33207927916499</v>
      </c>
      <c r="FO55" t="s">
        <v>222</v>
      </c>
      <c r="FP55" t="s">
        <v>223</v>
      </c>
      <c r="FQ55" s="144" t="s">
        <v>166</v>
      </c>
      <c r="FR55" s="144" t="s">
        <v>166</v>
      </c>
      <c r="FS55" s="144" t="s">
        <v>166</v>
      </c>
      <c r="FT55" s="144" t="s">
        <v>166</v>
      </c>
      <c r="FU55" s="144" t="s">
        <v>166</v>
      </c>
      <c r="FV55" s="144" t="s">
        <v>166</v>
      </c>
      <c r="FW55" s="144" t="s">
        <v>166</v>
      </c>
      <c r="FX55" s="144" t="s">
        <v>166</v>
      </c>
      <c r="FY55" s="144" t="s">
        <v>166</v>
      </c>
      <c r="FZ55" s="144" t="s">
        <v>166</v>
      </c>
      <c r="GA55" s="144" t="s">
        <v>166</v>
      </c>
      <c r="GB55" s="144" t="s">
        <v>166</v>
      </c>
      <c r="GC55" s="158" t="s">
        <v>224</v>
      </c>
    </row>
    <row r="56" spans="1:185" ht="17">
      <c r="A56" s="140" t="s">
        <v>162</v>
      </c>
      <c r="B56" s="143" t="s">
        <v>163</v>
      </c>
      <c r="C56" s="140" t="s">
        <v>164</v>
      </c>
      <c r="D56" s="140" t="s">
        <v>165</v>
      </c>
      <c r="E56" s="140">
        <v>2020</v>
      </c>
      <c r="F56" t="s">
        <v>184</v>
      </c>
      <c r="G56" s="139">
        <v>49818.55883877656</v>
      </c>
      <c r="H56" s="147">
        <f t="shared" ref="H56" si="53">0.0083*G56^(0.9482)</f>
        <v>236.12631541635386</v>
      </c>
      <c r="I56" s="147">
        <f t="shared" si="1"/>
        <v>236.12631541635386</v>
      </c>
      <c r="J56" s="144">
        <v>1116.42396788734</v>
      </c>
      <c r="K56" s="144">
        <v>256.92838680676005</v>
      </c>
      <c r="L56" s="144">
        <v>207.65083709309999</v>
      </c>
      <c r="M56" s="140" t="b">
        <v>1</v>
      </c>
      <c r="N56" s="140">
        <v>1</v>
      </c>
      <c r="O56" s="302" t="s">
        <v>581</v>
      </c>
      <c r="P56" s="140" t="s">
        <v>166</v>
      </c>
      <c r="Q56" s="140" t="s">
        <v>166</v>
      </c>
      <c r="R56" s="140" t="s">
        <v>166</v>
      </c>
      <c r="S56" s="140" t="b">
        <v>1</v>
      </c>
      <c r="T56" s="140" t="b">
        <v>0</v>
      </c>
      <c r="U56" s="140" t="s">
        <v>166</v>
      </c>
      <c r="V56" s="140" t="b">
        <v>0</v>
      </c>
      <c r="W56" s="140" t="b">
        <v>0</v>
      </c>
      <c r="X56" s="140" t="s">
        <v>580</v>
      </c>
      <c r="Y56" s="148" t="s">
        <v>186</v>
      </c>
      <c r="Z56" t="s">
        <v>184</v>
      </c>
      <c r="AA56" s="149">
        <v>865</v>
      </c>
      <c r="AB56" s="149" t="s">
        <v>233</v>
      </c>
      <c r="AC56" s="149">
        <v>9</v>
      </c>
      <c r="AD56" s="149">
        <v>5</v>
      </c>
      <c r="AE56">
        <v>5</v>
      </c>
      <c r="AF56">
        <v>13</v>
      </c>
      <c r="AG56" s="150">
        <v>81.05</v>
      </c>
      <c r="AH56" t="s">
        <v>166</v>
      </c>
      <c r="AI56" t="s">
        <v>166</v>
      </c>
      <c r="AJ56" t="s">
        <v>253</v>
      </c>
      <c r="AK56">
        <v>18.440300000000001</v>
      </c>
      <c r="AL56">
        <v>-179.5558</v>
      </c>
      <c r="AM56" s="163">
        <v>12.065381050109863</v>
      </c>
      <c r="AN56" t="s">
        <v>166</v>
      </c>
      <c r="AO56">
        <v>-1530</v>
      </c>
      <c r="AP56">
        <v>-1400</v>
      </c>
      <c r="AQ56" t="s">
        <v>254</v>
      </c>
      <c r="AR56" t="s">
        <v>166</v>
      </c>
      <c r="AS56" s="150">
        <v>49.818558838776561</v>
      </c>
      <c r="AT56" t="s">
        <v>166</v>
      </c>
      <c r="AU56" t="s">
        <v>166</v>
      </c>
      <c r="AV56" t="s">
        <v>166</v>
      </c>
      <c r="AW56" t="s">
        <v>255</v>
      </c>
      <c r="AX56" t="s">
        <v>256</v>
      </c>
      <c r="AY56" t="s">
        <v>166</v>
      </c>
      <c r="AZ56" t="s">
        <v>166</v>
      </c>
      <c r="BA56" t="s">
        <v>166</v>
      </c>
      <c r="BB56" t="s">
        <v>166</v>
      </c>
      <c r="BC56" t="s">
        <v>166</v>
      </c>
      <c r="BD56" t="s">
        <v>166</v>
      </c>
      <c r="BE56" t="s">
        <v>166</v>
      </c>
      <c r="BF56" t="s">
        <v>166</v>
      </c>
      <c r="BG56" s="151" t="s">
        <v>306</v>
      </c>
      <c r="BH56" s="149" t="s">
        <v>192</v>
      </c>
      <c r="BI56" t="s">
        <v>166</v>
      </c>
      <c r="BJ56" s="152" t="s">
        <v>166</v>
      </c>
      <c r="BK56" t="s">
        <v>307</v>
      </c>
      <c r="BL56" t="s">
        <v>194</v>
      </c>
      <c r="BM56" t="s">
        <v>195</v>
      </c>
      <c r="BN56" t="s">
        <v>166</v>
      </c>
      <c r="BO56" t="s">
        <v>166</v>
      </c>
      <c r="BP56" t="s">
        <v>166</v>
      </c>
      <c r="BQ56" s="150">
        <v>14.891583824810706</v>
      </c>
      <c r="BR56" t="s">
        <v>196</v>
      </c>
      <c r="BS56" s="150">
        <v>0.25483578606854462</v>
      </c>
      <c r="BT56">
        <v>1</v>
      </c>
      <c r="BU56" t="s">
        <v>197</v>
      </c>
      <c r="BV56" t="s">
        <v>166</v>
      </c>
      <c r="BW56">
        <v>0</v>
      </c>
      <c r="BX56" t="s">
        <v>197</v>
      </c>
      <c r="BY56" t="s">
        <v>166</v>
      </c>
      <c r="BZ56" t="s">
        <v>198</v>
      </c>
      <c r="CA56" t="s">
        <v>166</v>
      </c>
      <c r="CB56" s="150">
        <v>14.891583824810706</v>
      </c>
      <c r="CC56" t="s">
        <v>196</v>
      </c>
      <c r="CD56" s="150">
        <v>0.25483578606854462</v>
      </c>
      <c r="CE56" t="s">
        <v>199</v>
      </c>
      <c r="CF56" t="s">
        <v>166</v>
      </c>
      <c r="CG56" t="s">
        <v>200</v>
      </c>
      <c r="CH56" t="s">
        <v>166</v>
      </c>
      <c r="CI56" t="s">
        <v>166</v>
      </c>
      <c r="CJ56" s="139">
        <v>39.68153762245224</v>
      </c>
      <c r="CK56" t="s">
        <v>201</v>
      </c>
      <c r="CL56">
        <v>2</v>
      </c>
      <c r="CM56">
        <v>2</v>
      </c>
      <c r="CN56" t="s">
        <v>166</v>
      </c>
      <c r="CO56" s="139">
        <v>5.0923052318533637</v>
      </c>
      <c r="CP56" t="s">
        <v>166</v>
      </c>
      <c r="CQ56" t="s">
        <v>166</v>
      </c>
      <c r="CR56" t="s">
        <v>166</v>
      </c>
      <c r="CS56" s="153" t="s">
        <v>202</v>
      </c>
      <c r="CT56" t="s">
        <v>203</v>
      </c>
      <c r="CU56">
        <v>2.2000000000000002</v>
      </c>
      <c r="CV56" t="s">
        <v>204</v>
      </c>
      <c r="CW56" t="s">
        <v>166</v>
      </c>
      <c r="CX56" t="s">
        <v>166</v>
      </c>
      <c r="CY56" t="s">
        <v>166</v>
      </c>
      <c r="CZ56" t="s">
        <v>166</v>
      </c>
      <c r="DA56" s="154" t="s">
        <v>166</v>
      </c>
      <c r="DB56" t="s">
        <v>166</v>
      </c>
      <c r="DC56" t="s">
        <v>166</v>
      </c>
      <c r="DD56" t="s">
        <v>166</v>
      </c>
      <c r="DE56" t="s">
        <v>166</v>
      </c>
      <c r="DF56" t="s">
        <v>205</v>
      </c>
      <c r="DG56">
        <v>35</v>
      </c>
      <c r="DH56" t="s">
        <v>201</v>
      </c>
      <c r="DI56">
        <v>1</v>
      </c>
      <c r="DJ56" t="s">
        <v>206</v>
      </c>
      <c r="DK56">
        <v>17</v>
      </c>
      <c r="DL56" t="s">
        <v>166</v>
      </c>
      <c r="DM56" t="s">
        <v>166</v>
      </c>
      <c r="DN56" t="s">
        <v>207</v>
      </c>
      <c r="DO56">
        <v>38</v>
      </c>
      <c r="DP56" t="s">
        <v>208</v>
      </c>
      <c r="DQ56">
        <v>3</v>
      </c>
      <c r="DR56" t="s">
        <v>209</v>
      </c>
      <c r="DS56" t="s">
        <v>166</v>
      </c>
      <c r="DT56" t="s">
        <v>166</v>
      </c>
      <c r="DU56" t="s">
        <v>166</v>
      </c>
      <c r="DV56" t="s">
        <v>166</v>
      </c>
      <c r="DW56">
        <v>432.6</v>
      </c>
      <c r="DX56" t="s">
        <v>166</v>
      </c>
      <c r="DY56" t="s">
        <v>166</v>
      </c>
      <c r="DZ56" t="s">
        <v>210</v>
      </c>
      <c r="EA56" t="s">
        <v>211</v>
      </c>
      <c r="EB56" t="s">
        <v>212</v>
      </c>
      <c r="EC56" t="s">
        <v>166</v>
      </c>
      <c r="ED56" t="s">
        <v>213</v>
      </c>
      <c r="EE56" s="155" t="s">
        <v>214</v>
      </c>
      <c r="EF56" s="155" t="s">
        <v>214</v>
      </c>
      <c r="EG56">
        <v>1.0271999999999999</v>
      </c>
      <c r="EH56" t="s">
        <v>215</v>
      </c>
      <c r="EI56" t="s">
        <v>215</v>
      </c>
      <c r="EJ56" t="s">
        <v>216</v>
      </c>
      <c r="EK56" t="s">
        <v>215</v>
      </c>
      <c r="EL56" t="s">
        <v>215</v>
      </c>
      <c r="EM56" t="s">
        <v>217</v>
      </c>
      <c r="EN56" s="156" t="s">
        <v>214</v>
      </c>
      <c r="EO56" s="156" t="s">
        <v>214</v>
      </c>
      <c r="EP56" s="156" t="s">
        <v>214</v>
      </c>
      <c r="EQ56" s="156" t="s">
        <v>214</v>
      </c>
      <c r="ET56" t="s">
        <v>218</v>
      </c>
      <c r="EU56" t="s">
        <v>219</v>
      </c>
      <c r="EV56" t="s">
        <v>213</v>
      </c>
      <c r="EW56" t="s">
        <v>166</v>
      </c>
      <c r="EX56" t="s">
        <v>166</v>
      </c>
      <c r="EY56" t="s">
        <v>166</v>
      </c>
      <c r="EZ56" t="s">
        <v>166</v>
      </c>
      <c r="FA56" s="157">
        <v>6.5</v>
      </c>
      <c r="FB56" t="s">
        <v>220</v>
      </c>
      <c r="FC56" s="157">
        <v>1</v>
      </c>
      <c r="FD56" s="157">
        <v>1</v>
      </c>
      <c r="FE56" s="150">
        <v>7.6574231948338802</v>
      </c>
      <c r="FF56" t="s">
        <v>221</v>
      </c>
      <c r="FG56" s="150">
        <v>3.8061618184690005E-2</v>
      </c>
      <c r="FH56" s="150">
        <v>3.5703865117489464E-2</v>
      </c>
      <c r="FI56" s="144">
        <v>1116.42396788734</v>
      </c>
      <c r="FJ56" t="s">
        <v>166</v>
      </c>
      <c r="FK56" t="s">
        <v>166</v>
      </c>
      <c r="FL56" s="144">
        <f t="shared" si="2"/>
        <v>1116.42396788734</v>
      </c>
      <c r="FM56" s="144">
        <v>256.92838680676005</v>
      </c>
      <c r="FN56" s="144">
        <v>207.65083709309999</v>
      </c>
      <c r="FO56" t="s">
        <v>222</v>
      </c>
      <c r="FP56" t="s">
        <v>223</v>
      </c>
      <c r="FQ56" s="144" t="s">
        <v>166</v>
      </c>
      <c r="FR56" s="144" t="s">
        <v>166</v>
      </c>
      <c r="FS56" s="144" t="s">
        <v>166</v>
      </c>
      <c r="FT56" s="144" t="s">
        <v>166</v>
      </c>
      <c r="FU56" s="144" t="s">
        <v>166</v>
      </c>
      <c r="FV56" s="144" t="s">
        <v>166</v>
      </c>
      <c r="FW56" s="144" t="s">
        <v>166</v>
      </c>
      <c r="FX56" s="144" t="s">
        <v>166</v>
      </c>
      <c r="FY56" s="144" t="s">
        <v>166</v>
      </c>
      <c r="FZ56" s="144" t="s">
        <v>166</v>
      </c>
      <c r="GA56" s="144" t="s">
        <v>166</v>
      </c>
      <c r="GB56" s="144" t="s">
        <v>166</v>
      </c>
      <c r="GC56" s="158" t="s">
        <v>224</v>
      </c>
    </row>
    <row r="57" spans="1:185" ht="17">
      <c r="A57" s="140" t="s">
        <v>162</v>
      </c>
      <c r="B57" s="143" t="s">
        <v>163</v>
      </c>
      <c r="C57" s="140" t="s">
        <v>164</v>
      </c>
      <c r="D57" s="140" t="s">
        <v>165</v>
      </c>
      <c r="E57" s="140">
        <v>2020</v>
      </c>
      <c r="F57" t="s">
        <v>184</v>
      </c>
      <c r="G57" s="139">
        <v>48112.476348876953</v>
      </c>
      <c r="H57" s="147">
        <f t="shared" ref="H57" si="54">0.0083*G57^(0.9482)</f>
        <v>228.4519416669375</v>
      </c>
      <c r="I57" s="147">
        <f t="shared" si="1"/>
        <v>228.4519416669375</v>
      </c>
      <c r="J57" s="144">
        <v>985.12186854968797</v>
      </c>
      <c r="K57" s="144">
        <v>274.01274599179203</v>
      </c>
      <c r="L57" s="144">
        <v>222.33926038719596</v>
      </c>
      <c r="M57" s="140" t="b">
        <v>1</v>
      </c>
      <c r="N57" s="140">
        <v>1</v>
      </c>
      <c r="O57" s="302" t="s">
        <v>581</v>
      </c>
      <c r="P57" s="140" t="s">
        <v>166</v>
      </c>
      <c r="Q57" s="140" t="s">
        <v>166</v>
      </c>
      <c r="R57" s="140" t="s">
        <v>166</v>
      </c>
      <c r="S57" s="140" t="b">
        <v>1</v>
      </c>
      <c r="T57" s="140" t="b">
        <v>0</v>
      </c>
      <c r="U57" s="140" t="s">
        <v>166</v>
      </c>
      <c r="V57" s="140" t="b">
        <v>0</v>
      </c>
      <c r="W57" s="140" t="b">
        <v>0</v>
      </c>
      <c r="X57" s="140" t="s">
        <v>580</v>
      </c>
      <c r="Y57" s="148" t="s">
        <v>186</v>
      </c>
      <c r="Z57" t="s">
        <v>184</v>
      </c>
      <c r="AA57" s="149">
        <v>1407</v>
      </c>
      <c r="AB57" s="149" t="s">
        <v>308</v>
      </c>
      <c r="AC57" s="149">
        <v>12</v>
      </c>
      <c r="AD57" s="149" t="s">
        <v>309</v>
      </c>
      <c r="AE57" t="s">
        <v>166</v>
      </c>
      <c r="AF57" t="s">
        <v>166</v>
      </c>
      <c r="AG57" s="150">
        <v>102.83</v>
      </c>
      <c r="AH57" t="s">
        <v>166</v>
      </c>
      <c r="AI57" t="s">
        <v>166</v>
      </c>
      <c r="AJ57" t="s">
        <v>310</v>
      </c>
      <c r="AK57">
        <v>41.424987999999999</v>
      </c>
      <c r="AL57">
        <v>-49.823312000000001</v>
      </c>
      <c r="AM57">
        <v>31.4</v>
      </c>
      <c r="AN57" t="s">
        <v>166</v>
      </c>
      <c r="AO57">
        <v>-3070</v>
      </c>
      <c r="AP57">
        <v>-2600</v>
      </c>
      <c r="AQ57" t="s">
        <v>311</v>
      </c>
      <c r="AR57" t="s">
        <v>166</v>
      </c>
      <c r="AS57" s="150">
        <v>48.112476348876953</v>
      </c>
      <c r="AT57" t="s">
        <v>166</v>
      </c>
      <c r="AU57" t="s">
        <v>166</v>
      </c>
      <c r="AV57" t="s">
        <v>166</v>
      </c>
      <c r="AW57" t="s">
        <v>166</v>
      </c>
      <c r="AX57" t="s">
        <v>166</v>
      </c>
      <c r="AY57" t="s">
        <v>190</v>
      </c>
      <c r="AZ57" t="s">
        <v>166</v>
      </c>
      <c r="BA57" t="s">
        <v>166</v>
      </c>
      <c r="BB57" t="s">
        <v>166</v>
      </c>
      <c r="BC57" t="s">
        <v>166</v>
      </c>
      <c r="BD57" t="s">
        <v>166</v>
      </c>
      <c r="BE57" t="s">
        <v>166</v>
      </c>
      <c r="BF57" t="s">
        <v>166</v>
      </c>
      <c r="BG57" s="151" t="s">
        <v>296</v>
      </c>
      <c r="BH57" s="149" t="s">
        <v>263</v>
      </c>
      <c r="BI57" t="s">
        <v>166</v>
      </c>
      <c r="BJ57" s="152" t="s">
        <v>166</v>
      </c>
      <c r="BK57" t="s">
        <v>312</v>
      </c>
      <c r="BL57" t="s">
        <v>194</v>
      </c>
      <c r="BM57" t="s">
        <v>195</v>
      </c>
      <c r="BN57" t="s">
        <v>166</v>
      </c>
      <c r="BO57" t="s">
        <v>166</v>
      </c>
      <c r="BP57" t="s">
        <v>166</v>
      </c>
      <c r="BQ57" s="150">
        <v>14.314629770332061</v>
      </c>
      <c r="BR57" t="s">
        <v>196</v>
      </c>
      <c r="BS57" s="150">
        <v>0.2479196571344934</v>
      </c>
      <c r="BT57">
        <v>1</v>
      </c>
      <c r="BU57" t="s">
        <v>197</v>
      </c>
      <c r="BV57" t="s">
        <v>166</v>
      </c>
      <c r="BW57">
        <v>0</v>
      </c>
      <c r="BX57" t="s">
        <v>197</v>
      </c>
      <c r="BY57" t="s">
        <v>166</v>
      </c>
      <c r="BZ57" t="s">
        <v>198</v>
      </c>
      <c r="CA57" t="s">
        <v>166</v>
      </c>
      <c r="CB57" s="150">
        <v>14.314629770332061</v>
      </c>
      <c r="CC57" t="s">
        <v>196</v>
      </c>
      <c r="CD57" s="150">
        <v>0.2479196571344934</v>
      </c>
      <c r="CE57" t="s">
        <v>199</v>
      </c>
      <c r="CF57" t="s">
        <v>166</v>
      </c>
      <c r="CG57" t="s">
        <v>200</v>
      </c>
      <c r="CH57" t="s">
        <v>166</v>
      </c>
      <c r="CI57" t="s">
        <v>166</v>
      </c>
      <c r="CJ57" s="139">
        <v>33.302018893749583</v>
      </c>
      <c r="CK57" t="s">
        <v>201</v>
      </c>
      <c r="CL57">
        <v>2</v>
      </c>
      <c r="CM57">
        <v>2</v>
      </c>
      <c r="CN57" t="s">
        <v>166</v>
      </c>
      <c r="CO57" s="139">
        <v>3.5542903699419073</v>
      </c>
      <c r="CP57" t="s">
        <v>166</v>
      </c>
      <c r="CQ57" t="s">
        <v>166</v>
      </c>
      <c r="CR57" t="s">
        <v>166</v>
      </c>
      <c r="CS57" s="153" t="s">
        <v>202</v>
      </c>
      <c r="CT57" t="s">
        <v>203</v>
      </c>
      <c r="CU57">
        <v>2.2000000000000002</v>
      </c>
      <c r="CV57" t="s">
        <v>204</v>
      </c>
      <c r="CW57" t="s">
        <v>166</v>
      </c>
      <c r="CX57" t="s">
        <v>166</v>
      </c>
      <c r="CY57" t="s">
        <v>166</v>
      </c>
      <c r="CZ57" t="s">
        <v>166</v>
      </c>
      <c r="DA57" s="154" t="s">
        <v>166</v>
      </c>
      <c r="DB57" t="s">
        <v>166</v>
      </c>
      <c r="DC57" t="s">
        <v>166</v>
      </c>
      <c r="DD57" t="s">
        <v>166</v>
      </c>
      <c r="DE57" t="s">
        <v>166</v>
      </c>
      <c r="DF57" t="s">
        <v>205</v>
      </c>
      <c r="DG57">
        <v>35</v>
      </c>
      <c r="DH57" t="s">
        <v>201</v>
      </c>
      <c r="DI57">
        <v>1</v>
      </c>
      <c r="DJ57" t="s">
        <v>206</v>
      </c>
      <c r="DK57">
        <v>17</v>
      </c>
      <c r="DL57" t="s">
        <v>166</v>
      </c>
      <c r="DM57" t="s">
        <v>166</v>
      </c>
      <c r="DN57" t="s">
        <v>207</v>
      </c>
      <c r="DO57">
        <v>38</v>
      </c>
      <c r="DP57" t="s">
        <v>208</v>
      </c>
      <c r="DQ57">
        <v>3</v>
      </c>
      <c r="DR57" t="s">
        <v>209</v>
      </c>
      <c r="DS57" t="s">
        <v>166</v>
      </c>
      <c r="DT57" t="s">
        <v>166</v>
      </c>
      <c r="DU57" t="s">
        <v>166</v>
      </c>
      <c r="DV57" t="s">
        <v>166</v>
      </c>
      <c r="DW57">
        <v>432.6</v>
      </c>
      <c r="DX57" t="s">
        <v>166</v>
      </c>
      <c r="DY57" t="s">
        <v>166</v>
      </c>
      <c r="DZ57" t="s">
        <v>210</v>
      </c>
      <c r="EA57" t="s">
        <v>211</v>
      </c>
      <c r="EB57" t="s">
        <v>212</v>
      </c>
      <c r="EC57" t="s">
        <v>166</v>
      </c>
      <c r="ED57" t="s">
        <v>213</v>
      </c>
      <c r="EE57" s="155" t="s">
        <v>214</v>
      </c>
      <c r="EF57" s="155" t="s">
        <v>214</v>
      </c>
      <c r="EG57">
        <v>1.0271999999999999</v>
      </c>
      <c r="EH57" t="s">
        <v>215</v>
      </c>
      <c r="EI57" t="s">
        <v>215</v>
      </c>
      <c r="EJ57" t="s">
        <v>216</v>
      </c>
      <c r="EK57" t="s">
        <v>215</v>
      </c>
      <c r="EL57" t="s">
        <v>215</v>
      </c>
      <c r="EM57" t="s">
        <v>217</v>
      </c>
      <c r="EN57" s="156" t="s">
        <v>214</v>
      </c>
      <c r="EO57" s="156" t="s">
        <v>214</v>
      </c>
      <c r="EP57" s="156" t="s">
        <v>214</v>
      </c>
      <c r="EQ57" s="156" t="s">
        <v>214</v>
      </c>
      <c r="ET57" t="s">
        <v>218</v>
      </c>
      <c r="EU57" t="s">
        <v>219</v>
      </c>
      <c r="EV57" t="s">
        <v>213</v>
      </c>
      <c r="EW57" t="s">
        <v>166</v>
      </c>
      <c r="EX57" t="s">
        <v>166</v>
      </c>
      <c r="EY57" t="s">
        <v>166</v>
      </c>
      <c r="EZ57" t="s">
        <v>166</v>
      </c>
      <c r="FA57" s="157">
        <v>4.5</v>
      </c>
      <c r="FB57" t="s">
        <v>220</v>
      </c>
      <c r="FC57" s="157">
        <v>1</v>
      </c>
      <c r="FD57" s="157">
        <v>1</v>
      </c>
      <c r="FE57" s="150">
        <v>7.65035126961694</v>
      </c>
      <c r="FF57" t="s">
        <v>221</v>
      </c>
      <c r="FG57" s="150">
        <v>3.8536785166320087E-2</v>
      </c>
      <c r="FH57" s="150">
        <v>4.1214310657210262E-2</v>
      </c>
      <c r="FI57" s="144">
        <v>985.12186854968797</v>
      </c>
      <c r="FJ57" t="s">
        <v>166</v>
      </c>
      <c r="FK57" t="s">
        <v>166</v>
      </c>
      <c r="FL57" s="144">
        <f t="shared" si="2"/>
        <v>985.12186854968797</v>
      </c>
      <c r="FM57" s="144">
        <v>274.01274599179203</v>
      </c>
      <c r="FN57" s="144">
        <v>222.33926038719596</v>
      </c>
      <c r="FO57" t="s">
        <v>222</v>
      </c>
      <c r="FP57" t="s">
        <v>223</v>
      </c>
      <c r="FQ57" s="144" t="s">
        <v>166</v>
      </c>
      <c r="FR57" s="144" t="s">
        <v>166</v>
      </c>
      <c r="FS57" s="144" t="s">
        <v>166</v>
      </c>
      <c r="FT57" s="144" t="s">
        <v>166</v>
      </c>
      <c r="FU57" s="144" t="s">
        <v>166</v>
      </c>
      <c r="FV57" s="144" t="s">
        <v>166</v>
      </c>
      <c r="FW57" s="144" t="s">
        <v>166</v>
      </c>
      <c r="FX57" s="144" t="s">
        <v>166</v>
      </c>
      <c r="FY57" s="144" t="s">
        <v>166</v>
      </c>
      <c r="FZ57" s="144" t="s">
        <v>166</v>
      </c>
      <c r="GA57" s="144" t="s">
        <v>166</v>
      </c>
      <c r="GB57" s="144" t="s">
        <v>166</v>
      </c>
      <c r="GC57" s="158" t="s">
        <v>224</v>
      </c>
    </row>
    <row r="58" spans="1:185" ht="17">
      <c r="A58" s="140" t="s">
        <v>162</v>
      </c>
      <c r="B58" s="143" t="s">
        <v>163</v>
      </c>
      <c r="C58" s="140" t="s">
        <v>164</v>
      </c>
      <c r="D58" s="140" t="s">
        <v>165</v>
      </c>
      <c r="E58" s="140">
        <v>2020</v>
      </c>
      <c r="F58" t="s">
        <v>184</v>
      </c>
      <c r="G58" s="139">
        <v>49990.741729736328</v>
      </c>
      <c r="H58" s="147">
        <f t="shared" ref="H58" si="55">0.0083*G58^(0.9482)</f>
        <v>236.90007197949859</v>
      </c>
      <c r="I58" s="147">
        <f t="shared" si="1"/>
        <v>236.90007197949859</v>
      </c>
      <c r="J58" s="144">
        <v>1476.54254098668</v>
      </c>
      <c r="K58" s="144">
        <v>400.71921974782003</v>
      </c>
      <c r="L58" s="144">
        <v>342.10992035260006</v>
      </c>
      <c r="M58" s="140" t="b">
        <v>1</v>
      </c>
      <c r="N58" s="140">
        <v>1</v>
      </c>
      <c r="O58" s="302" t="s">
        <v>581</v>
      </c>
      <c r="P58" s="140" t="s">
        <v>166</v>
      </c>
      <c r="Q58" s="140" t="s">
        <v>166</v>
      </c>
      <c r="R58" s="140" t="s">
        <v>166</v>
      </c>
      <c r="S58" s="140" t="b">
        <v>1</v>
      </c>
      <c r="T58" s="140" t="b">
        <v>0</v>
      </c>
      <c r="U58" s="140" t="s">
        <v>166</v>
      </c>
      <c r="V58" s="140" t="b">
        <v>0</v>
      </c>
      <c r="W58" s="140" t="b">
        <v>0</v>
      </c>
      <c r="X58" s="140" t="s">
        <v>580</v>
      </c>
      <c r="Y58" s="148" t="s">
        <v>186</v>
      </c>
      <c r="Z58" t="s">
        <v>184</v>
      </c>
      <c r="AA58" s="149">
        <v>1409</v>
      </c>
      <c r="AB58" s="149" t="s">
        <v>250</v>
      </c>
      <c r="AC58" s="149">
        <v>13</v>
      </c>
      <c r="AD58" s="149" t="s">
        <v>309</v>
      </c>
      <c r="AE58" t="s">
        <v>166</v>
      </c>
      <c r="AF58" t="s">
        <v>166</v>
      </c>
      <c r="AG58" s="150">
        <v>116.28</v>
      </c>
      <c r="AH58" t="s">
        <v>166</v>
      </c>
      <c r="AI58" t="s">
        <v>166</v>
      </c>
      <c r="AJ58" t="s">
        <v>310</v>
      </c>
      <c r="AK58">
        <v>41.295653000000001</v>
      </c>
      <c r="AL58">
        <v>-49.233088000000002</v>
      </c>
      <c r="AM58">
        <v>30.938451766967773</v>
      </c>
      <c r="AN58" t="s">
        <v>166</v>
      </c>
      <c r="AO58">
        <v>-3500</v>
      </c>
      <c r="AP58">
        <v>-3050</v>
      </c>
      <c r="AQ58" t="s">
        <v>313</v>
      </c>
      <c r="AR58" t="s">
        <v>166</v>
      </c>
      <c r="AS58" s="150">
        <v>49.990741729736328</v>
      </c>
      <c r="AT58" t="s">
        <v>166</v>
      </c>
      <c r="AU58" t="s">
        <v>166</v>
      </c>
      <c r="AV58" t="s">
        <v>166</v>
      </c>
      <c r="AW58" t="s">
        <v>166</v>
      </c>
      <c r="AX58" t="s">
        <v>166</v>
      </c>
      <c r="AY58" t="s">
        <v>190</v>
      </c>
      <c r="AZ58" t="s">
        <v>166</v>
      </c>
      <c r="BA58" t="s">
        <v>166</v>
      </c>
      <c r="BB58" t="s">
        <v>166</v>
      </c>
      <c r="BC58" t="s">
        <v>166</v>
      </c>
      <c r="BD58" t="s">
        <v>166</v>
      </c>
      <c r="BE58" t="s">
        <v>166</v>
      </c>
      <c r="BF58" t="s">
        <v>166</v>
      </c>
      <c r="BG58" s="151" t="s">
        <v>314</v>
      </c>
      <c r="BH58" s="149" t="s">
        <v>315</v>
      </c>
      <c r="BI58" t="s">
        <v>166</v>
      </c>
      <c r="BJ58" s="152" t="s">
        <v>166</v>
      </c>
      <c r="BK58" t="s">
        <v>316</v>
      </c>
      <c r="BL58" t="s">
        <v>194</v>
      </c>
      <c r="BM58" t="s">
        <v>195</v>
      </c>
      <c r="BN58" t="s">
        <v>166</v>
      </c>
      <c r="BO58" t="s">
        <v>166</v>
      </c>
      <c r="BP58" t="s">
        <v>166</v>
      </c>
      <c r="BQ58" s="150">
        <v>13.754406942115885</v>
      </c>
      <c r="BR58" t="s">
        <v>196</v>
      </c>
      <c r="BS58" s="150">
        <v>0.2505455214578568</v>
      </c>
      <c r="BT58">
        <v>1</v>
      </c>
      <c r="BU58" t="s">
        <v>197</v>
      </c>
      <c r="BV58" t="s">
        <v>166</v>
      </c>
      <c r="BW58">
        <v>0</v>
      </c>
      <c r="BX58" t="s">
        <v>197</v>
      </c>
      <c r="BY58" t="s">
        <v>166</v>
      </c>
      <c r="BZ58" t="s">
        <v>198</v>
      </c>
      <c r="CA58" t="s">
        <v>166</v>
      </c>
      <c r="CB58" s="150">
        <v>13.754406942115885</v>
      </c>
      <c r="CC58" t="s">
        <v>196</v>
      </c>
      <c r="CD58" s="150">
        <v>0.2505455214578568</v>
      </c>
      <c r="CE58" t="s">
        <v>199</v>
      </c>
      <c r="CF58" t="s">
        <v>166</v>
      </c>
      <c r="CG58" t="s">
        <v>200</v>
      </c>
      <c r="CH58" t="s">
        <v>166</v>
      </c>
      <c r="CI58" t="s">
        <v>166</v>
      </c>
      <c r="CJ58" s="139">
        <v>32.664924731133354</v>
      </c>
      <c r="CK58" t="s">
        <v>201</v>
      </c>
      <c r="CL58">
        <v>2</v>
      </c>
      <c r="CM58">
        <v>2</v>
      </c>
      <c r="CN58" t="s">
        <v>166</v>
      </c>
      <c r="CO58" s="139">
        <v>3.4289231220763816</v>
      </c>
      <c r="CP58" t="s">
        <v>166</v>
      </c>
      <c r="CQ58" t="s">
        <v>166</v>
      </c>
      <c r="CR58" t="s">
        <v>166</v>
      </c>
      <c r="CS58" s="153" t="s">
        <v>202</v>
      </c>
      <c r="CT58" t="s">
        <v>203</v>
      </c>
      <c r="CU58">
        <v>2.2000000000000002</v>
      </c>
      <c r="CV58" t="s">
        <v>204</v>
      </c>
      <c r="CW58" t="s">
        <v>166</v>
      </c>
      <c r="CX58" t="s">
        <v>166</v>
      </c>
      <c r="CY58" t="s">
        <v>166</v>
      </c>
      <c r="CZ58" t="s">
        <v>166</v>
      </c>
      <c r="DA58" s="154" t="s">
        <v>166</v>
      </c>
      <c r="DB58" t="s">
        <v>166</v>
      </c>
      <c r="DC58" t="s">
        <v>166</v>
      </c>
      <c r="DD58" t="s">
        <v>166</v>
      </c>
      <c r="DE58" t="s">
        <v>166</v>
      </c>
      <c r="DF58" t="s">
        <v>205</v>
      </c>
      <c r="DG58">
        <v>35</v>
      </c>
      <c r="DH58" t="s">
        <v>201</v>
      </c>
      <c r="DI58">
        <v>1</v>
      </c>
      <c r="DJ58" t="s">
        <v>206</v>
      </c>
      <c r="DK58">
        <v>17</v>
      </c>
      <c r="DL58" t="s">
        <v>166</v>
      </c>
      <c r="DM58" t="s">
        <v>166</v>
      </c>
      <c r="DN58" t="s">
        <v>207</v>
      </c>
      <c r="DO58">
        <v>38</v>
      </c>
      <c r="DP58" t="s">
        <v>208</v>
      </c>
      <c r="DQ58">
        <v>3</v>
      </c>
      <c r="DR58" t="s">
        <v>209</v>
      </c>
      <c r="DS58" t="s">
        <v>166</v>
      </c>
      <c r="DT58" t="s">
        <v>166</v>
      </c>
      <c r="DU58" t="s">
        <v>166</v>
      </c>
      <c r="DV58" t="s">
        <v>166</v>
      </c>
      <c r="DW58">
        <v>432.6</v>
      </c>
      <c r="DX58" t="s">
        <v>166</v>
      </c>
      <c r="DY58" t="s">
        <v>166</v>
      </c>
      <c r="DZ58" t="s">
        <v>210</v>
      </c>
      <c r="EA58" t="s">
        <v>211</v>
      </c>
      <c r="EB58" t="s">
        <v>212</v>
      </c>
      <c r="EC58" t="s">
        <v>166</v>
      </c>
      <c r="ED58" t="s">
        <v>213</v>
      </c>
      <c r="EE58" s="155" t="s">
        <v>214</v>
      </c>
      <c r="EF58" s="155" t="s">
        <v>214</v>
      </c>
      <c r="EG58">
        <v>1.0271999999999999</v>
      </c>
      <c r="EH58" t="s">
        <v>215</v>
      </c>
      <c r="EI58" t="s">
        <v>215</v>
      </c>
      <c r="EJ58" t="s">
        <v>216</v>
      </c>
      <c r="EK58" t="s">
        <v>215</v>
      </c>
      <c r="EL58" t="s">
        <v>215</v>
      </c>
      <c r="EM58" t="s">
        <v>217</v>
      </c>
      <c r="EN58" s="156" t="s">
        <v>214</v>
      </c>
      <c r="EO58" s="156" t="s">
        <v>214</v>
      </c>
      <c r="EP58" s="156" t="s">
        <v>214</v>
      </c>
      <c r="EQ58" s="156" t="s">
        <v>214</v>
      </c>
      <c r="ET58" t="s">
        <v>218</v>
      </c>
      <c r="EU58" t="s">
        <v>219</v>
      </c>
      <c r="EV58" t="s">
        <v>213</v>
      </c>
      <c r="EW58" t="s">
        <v>166</v>
      </c>
      <c r="EX58" t="s">
        <v>166</v>
      </c>
      <c r="EY58" t="s">
        <v>166</v>
      </c>
      <c r="EZ58" t="s">
        <v>166</v>
      </c>
      <c r="FA58" s="157">
        <v>4.5</v>
      </c>
      <c r="FB58" t="s">
        <v>220</v>
      </c>
      <c r="FC58" s="157">
        <v>1</v>
      </c>
      <c r="FD58" s="157">
        <v>1</v>
      </c>
      <c r="FE58" s="150">
        <v>7.5669454999214203</v>
      </c>
      <c r="FF58" t="s">
        <v>221</v>
      </c>
      <c r="FG58" s="150">
        <v>4.1028146452979364E-2</v>
      </c>
      <c r="FH58" s="150">
        <v>4.5072249681950005E-2</v>
      </c>
      <c r="FI58" s="144">
        <v>1476.54254098668</v>
      </c>
      <c r="FJ58" t="s">
        <v>166</v>
      </c>
      <c r="FK58" t="s">
        <v>166</v>
      </c>
      <c r="FL58" s="144">
        <f t="shared" si="2"/>
        <v>1476.54254098668</v>
      </c>
      <c r="FM58" s="144">
        <v>400.71921974782003</v>
      </c>
      <c r="FN58" s="144">
        <v>342.10992035260006</v>
      </c>
      <c r="FO58" t="s">
        <v>222</v>
      </c>
      <c r="FP58" t="s">
        <v>223</v>
      </c>
      <c r="FQ58" s="144" t="s">
        <v>166</v>
      </c>
      <c r="FR58" s="144" t="s">
        <v>166</v>
      </c>
      <c r="FS58" s="144" t="s">
        <v>166</v>
      </c>
      <c r="FT58" s="144" t="s">
        <v>166</v>
      </c>
      <c r="FU58" s="144" t="s">
        <v>166</v>
      </c>
      <c r="FV58" s="144" t="s">
        <v>166</v>
      </c>
      <c r="FW58" s="144" t="s">
        <v>166</v>
      </c>
      <c r="FX58" s="144" t="s">
        <v>166</v>
      </c>
      <c r="FY58" s="144" t="s">
        <v>166</v>
      </c>
      <c r="FZ58" s="144" t="s">
        <v>166</v>
      </c>
      <c r="GA58" s="144" t="s">
        <v>166</v>
      </c>
      <c r="GB58" s="144" t="s">
        <v>166</v>
      </c>
      <c r="GC58" s="158" t="s">
        <v>224</v>
      </c>
    </row>
    <row r="59" spans="1:185" ht="17">
      <c r="A59" s="140" t="s">
        <v>162</v>
      </c>
      <c r="B59" s="143" t="s">
        <v>163</v>
      </c>
      <c r="C59" s="140" t="s">
        <v>164</v>
      </c>
      <c r="D59" s="140" t="s">
        <v>165</v>
      </c>
      <c r="E59" s="140">
        <v>2020</v>
      </c>
      <c r="F59" t="s">
        <v>184</v>
      </c>
      <c r="G59" s="139">
        <v>49990.741729736328</v>
      </c>
      <c r="H59" s="147">
        <f t="shared" ref="H59" si="56">0.0083*G59^(0.9482)</f>
        <v>236.90007197949859</v>
      </c>
      <c r="I59" s="147">
        <f t="shared" si="1"/>
        <v>236.90007197949859</v>
      </c>
      <c r="J59" s="144">
        <v>1491.93193944261</v>
      </c>
      <c r="K59" s="144">
        <v>477.80112759268013</v>
      </c>
      <c r="L59" s="144">
        <v>360.5176635048299</v>
      </c>
      <c r="M59" s="140" t="b">
        <v>1</v>
      </c>
      <c r="N59" s="140">
        <v>1</v>
      </c>
      <c r="O59" s="302" t="s">
        <v>581</v>
      </c>
      <c r="P59" s="140" t="s">
        <v>166</v>
      </c>
      <c r="Q59" s="140" t="s">
        <v>166</v>
      </c>
      <c r="R59" s="140" t="s">
        <v>166</v>
      </c>
      <c r="S59" s="140" t="b">
        <v>1</v>
      </c>
      <c r="T59" s="140" t="b">
        <v>0</v>
      </c>
      <c r="U59" s="140" t="s">
        <v>166</v>
      </c>
      <c r="V59" s="140" t="b">
        <v>0</v>
      </c>
      <c r="W59" s="140" t="b">
        <v>0</v>
      </c>
      <c r="X59" s="140" t="s">
        <v>580</v>
      </c>
      <c r="Y59" s="148" t="s">
        <v>186</v>
      </c>
      <c r="Z59" t="s">
        <v>184</v>
      </c>
      <c r="AA59" s="149">
        <v>1409</v>
      </c>
      <c r="AB59" s="149" t="s">
        <v>250</v>
      </c>
      <c r="AC59" s="149">
        <v>13</v>
      </c>
      <c r="AD59" s="149" t="s">
        <v>309</v>
      </c>
      <c r="AE59" t="s">
        <v>166</v>
      </c>
      <c r="AF59" t="s">
        <v>166</v>
      </c>
      <c r="AG59" s="150">
        <v>116.28</v>
      </c>
      <c r="AH59" t="s">
        <v>166</v>
      </c>
      <c r="AI59" t="s">
        <v>166</v>
      </c>
      <c r="AJ59" t="s">
        <v>310</v>
      </c>
      <c r="AK59">
        <v>41.295653000000001</v>
      </c>
      <c r="AL59">
        <v>-49.233088000000002</v>
      </c>
      <c r="AM59">
        <v>30.938451766967773</v>
      </c>
      <c r="AN59" t="s">
        <v>166</v>
      </c>
      <c r="AO59">
        <v>-3500</v>
      </c>
      <c r="AP59">
        <v>-3050</v>
      </c>
      <c r="AQ59" t="s">
        <v>317</v>
      </c>
      <c r="AR59" t="s">
        <v>166</v>
      </c>
      <c r="AS59" s="150">
        <v>49.990741729736328</v>
      </c>
      <c r="AT59" t="s">
        <v>166</v>
      </c>
      <c r="AU59" t="s">
        <v>166</v>
      </c>
      <c r="AV59" t="s">
        <v>166</v>
      </c>
      <c r="AW59" t="s">
        <v>166</v>
      </c>
      <c r="AX59" t="s">
        <v>166</v>
      </c>
      <c r="AY59" t="s">
        <v>190</v>
      </c>
      <c r="AZ59" t="s">
        <v>166</v>
      </c>
      <c r="BA59" t="s">
        <v>166</v>
      </c>
      <c r="BB59" t="s">
        <v>166</v>
      </c>
      <c r="BC59" t="s">
        <v>166</v>
      </c>
      <c r="BD59" t="s">
        <v>166</v>
      </c>
      <c r="BE59" t="s">
        <v>166</v>
      </c>
      <c r="BF59" t="s">
        <v>166</v>
      </c>
      <c r="BG59" s="151" t="s">
        <v>318</v>
      </c>
      <c r="BH59" s="149" t="s">
        <v>192</v>
      </c>
      <c r="BI59" t="s">
        <v>166</v>
      </c>
      <c r="BJ59" s="152" t="s">
        <v>166</v>
      </c>
      <c r="BK59" t="s">
        <v>319</v>
      </c>
      <c r="BL59" t="s">
        <v>194</v>
      </c>
      <c r="BM59" t="s">
        <v>195</v>
      </c>
      <c r="BN59" t="s">
        <v>166</v>
      </c>
      <c r="BO59" t="s">
        <v>166</v>
      </c>
      <c r="BP59" t="s">
        <v>166</v>
      </c>
      <c r="BQ59" s="150">
        <v>13.695230774905781</v>
      </c>
      <c r="BR59" t="s">
        <v>196</v>
      </c>
      <c r="BS59" s="150">
        <v>0.24693781753887656</v>
      </c>
      <c r="BT59">
        <v>1</v>
      </c>
      <c r="BU59" t="s">
        <v>197</v>
      </c>
      <c r="BV59" t="s">
        <v>166</v>
      </c>
      <c r="BW59">
        <v>0</v>
      </c>
      <c r="BX59" t="s">
        <v>197</v>
      </c>
      <c r="BY59" t="s">
        <v>166</v>
      </c>
      <c r="BZ59" t="s">
        <v>198</v>
      </c>
      <c r="CA59" t="s">
        <v>166</v>
      </c>
      <c r="CB59" s="150">
        <v>13.695230774905781</v>
      </c>
      <c r="CC59" t="s">
        <v>196</v>
      </c>
      <c r="CD59" s="150">
        <v>0.24693781753887656</v>
      </c>
      <c r="CE59" t="s">
        <v>199</v>
      </c>
      <c r="CF59" t="s">
        <v>166</v>
      </c>
      <c r="CG59" t="s">
        <v>200</v>
      </c>
      <c r="CH59" t="s">
        <v>166</v>
      </c>
      <c r="CI59" t="s">
        <v>166</v>
      </c>
      <c r="CJ59" s="139">
        <v>30.853221280326625</v>
      </c>
      <c r="CK59" t="s">
        <v>201</v>
      </c>
      <c r="CL59">
        <v>2</v>
      </c>
      <c r="CM59">
        <v>2</v>
      </c>
      <c r="CN59" t="s">
        <v>166</v>
      </c>
      <c r="CO59" s="139">
        <v>3.0960632961238761</v>
      </c>
      <c r="CP59" t="s">
        <v>166</v>
      </c>
      <c r="CQ59" t="s">
        <v>166</v>
      </c>
      <c r="CR59" t="s">
        <v>166</v>
      </c>
      <c r="CS59" s="153" t="s">
        <v>202</v>
      </c>
      <c r="CT59" t="s">
        <v>203</v>
      </c>
      <c r="CU59">
        <v>2.2000000000000002</v>
      </c>
      <c r="CV59" t="s">
        <v>204</v>
      </c>
      <c r="CW59" t="s">
        <v>166</v>
      </c>
      <c r="CX59" t="s">
        <v>166</v>
      </c>
      <c r="CY59" t="s">
        <v>166</v>
      </c>
      <c r="CZ59" t="s">
        <v>166</v>
      </c>
      <c r="DA59" s="154" t="s">
        <v>166</v>
      </c>
      <c r="DB59" t="s">
        <v>166</v>
      </c>
      <c r="DC59" t="s">
        <v>166</v>
      </c>
      <c r="DD59" t="s">
        <v>166</v>
      </c>
      <c r="DE59" t="s">
        <v>166</v>
      </c>
      <c r="DF59" t="s">
        <v>205</v>
      </c>
      <c r="DG59">
        <v>35</v>
      </c>
      <c r="DH59" t="s">
        <v>201</v>
      </c>
      <c r="DI59">
        <v>1</v>
      </c>
      <c r="DJ59" t="s">
        <v>206</v>
      </c>
      <c r="DK59">
        <v>17</v>
      </c>
      <c r="DL59" t="s">
        <v>166</v>
      </c>
      <c r="DM59" t="s">
        <v>166</v>
      </c>
      <c r="DN59" t="s">
        <v>207</v>
      </c>
      <c r="DO59">
        <v>38</v>
      </c>
      <c r="DP59" t="s">
        <v>208</v>
      </c>
      <c r="DQ59">
        <v>3</v>
      </c>
      <c r="DR59" t="s">
        <v>209</v>
      </c>
      <c r="DS59" t="s">
        <v>166</v>
      </c>
      <c r="DT59" t="s">
        <v>166</v>
      </c>
      <c r="DU59" t="s">
        <v>166</v>
      </c>
      <c r="DV59" t="s">
        <v>166</v>
      </c>
      <c r="DW59">
        <v>432.6</v>
      </c>
      <c r="DX59" t="s">
        <v>166</v>
      </c>
      <c r="DY59" t="s">
        <v>166</v>
      </c>
      <c r="DZ59" t="s">
        <v>210</v>
      </c>
      <c r="EA59" t="s">
        <v>211</v>
      </c>
      <c r="EB59" t="s">
        <v>212</v>
      </c>
      <c r="EC59" t="s">
        <v>166</v>
      </c>
      <c r="ED59" t="s">
        <v>213</v>
      </c>
      <c r="EE59" s="155" t="s">
        <v>214</v>
      </c>
      <c r="EF59" s="155" t="s">
        <v>214</v>
      </c>
      <c r="EG59">
        <v>1.0271999999999999</v>
      </c>
      <c r="EH59" t="s">
        <v>215</v>
      </c>
      <c r="EI59" t="s">
        <v>215</v>
      </c>
      <c r="EJ59" t="s">
        <v>216</v>
      </c>
      <c r="EK59" t="s">
        <v>215</v>
      </c>
      <c r="EL59" t="s">
        <v>215</v>
      </c>
      <c r="EM59" t="s">
        <v>217</v>
      </c>
      <c r="EN59" s="156" t="s">
        <v>214</v>
      </c>
      <c r="EO59" s="156" t="s">
        <v>214</v>
      </c>
      <c r="EP59" s="156" t="s">
        <v>214</v>
      </c>
      <c r="EQ59" s="156" t="s">
        <v>214</v>
      </c>
      <c r="ET59" t="s">
        <v>218</v>
      </c>
      <c r="EU59" t="s">
        <v>219</v>
      </c>
      <c r="EV59" t="s">
        <v>213</v>
      </c>
      <c r="EW59" t="s">
        <v>166</v>
      </c>
      <c r="EX59" t="s">
        <v>166</v>
      </c>
      <c r="EY59" t="s">
        <v>166</v>
      </c>
      <c r="EZ59" t="s">
        <v>166</v>
      </c>
      <c r="FA59" s="157">
        <v>4.5</v>
      </c>
      <c r="FB59" t="s">
        <v>220</v>
      </c>
      <c r="FC59" s="157">
        <v>1</v>
      </c>
      <c r="FD59" s="157">
        <v>1</v>
      </c>
      <c r="FE59" s="150">
        <v>7.57697400778122</v>
      </c>
      <c r="FF59" t="s">
        <v>221</v>
      </c>
      <c r="FG59" s="150">
        <v>4.0141869007779718E-2</v>
      </c>
      <c r="FH59" s="150">
        <v>4.9367314793980377E-2</v>
      </c>
      <c r="FI59" s="144">
        <v>1491.93193944261</v>
      </c>
      <c r="FJ59" t="s">
        <v>166</v>
      </c>
      <c r="FK59" t="s">
        <v>166</v>
      </c>
      <c r="FL59" s="144">
        <f t="shared" si="2"/>
        <v>1491.93193944261</v>
      </c>
      <c r="FM59" s="144">
        <v>477.80112759268013</v>
      </c>
      <c r="FN59" s="144">
        <v>360.5176635048299</v>
      </c>
      <c r="FO59" t="s">
        <v>222</v>
      </c>
      <c r="FP59" t="s">
        <v>223</v>
      </c>
      <c r="FQ59" s="144" t="s">
        <v>166</v>
      </c>
      <c r="FR59" s="144" t="s">
        <v>166</v>
      </c>
      <c r="FS59" s="144" t="s">
        <v>166</v>
      </c>
      <c r="FT59" s="144" t="s">
        <v>166</v>
      </c>
      <c r="FU59" s="144" t="s">
        <v>166</v>
      </c>
      <c r="FV59" s="144" t="s">
        <v>166</v>
      </c>
      <c r="FW59" s="144" t="s">
        <v>166</v>
      </c>
      <c r="FX59" s="144" t="s">
        <v>166</v>
      </c>
      <c r="FY59" s="144" t="s">
        <v>166</v>
      </c>
      <c r="FZ59" s="144" t="s">
        <v>166</v>
      </c>
      <c r="GA59" s="144" t="s">
        <v>166</v>
      </c>
      <c r="GB59" s="144" t="s">
        <v>166</v>
      </c>
      <c r="GC59" s="158" t="s">
        <v>224</v>
      </c>
    </row>
    <row r="60" spans="1:185" ht="17">
      <c r="A60" s="140" t="s">
        <v>162</v>
      </c>
      <c r="B60" s="143" t="s">
        <v>163</v>
      </c>
      <c r="C60" s="140" t="s">
        <v>164</v>
      </c>
      <c r="D60" s="140" t="s">
        <v>165</v>
      </c>
      <c r="E60" s="140">
        <v>2020</v>
      </c>
      <c r="F60" t="s">
        <v>184</v>
      </c>
      <c r="G60" s="139">
        <v>50541.614532470703</v>
      </c>
      <c r="H60" s="147">
        <f t="shared" ref="H60" si="57">0.0083*G60^(0.9482)</f>
        <v>239.37466283184472</v>
      </c>
      <c r="I60" s="147">
        <f t="shared" si="1"/>
        <v>239.37466283184472</v>
      </c>
      <c r="J60" s="144">
        <v>2127.5920369578703</v>
      </c>
      <c r="K60" s="144">
        <v>689.82867473878969</v>
      </c>
      <c r="L60" s="144">
        <v>539.58945368960008</v>
      </c>
      <c r="M60" s="140" t="b">
        <v>1</v>
      </c>
      <c r="N60" s="140">
        <v>1</v>
      </c>
      <c r="O60" s="302" t="s">
        <v>581</v>
      </c>
      <c r="P60" s="140" t="s">
        <v>166</v>
      </c>
      <c r="Q60" s="140" t="s">
        <v>166</v>
      </c>
      <c r="R60" s="140" t="s">
        <v>166</v>
      </c>
      <c r="S60" s="140" t="b">
        <v>1</v>
      </c>
      <c r="T60" s="140" t="b">
        <v>0</v>
      </c>
      <c r="U60" s="140" t="s">
        <v>166</v>
      </c>
      <c r="V60" s="140" t="b">
        <v>0</v>
      </c>
      <c r="W60" s="140" t="b">
        <v>0</v>
      </c>
      <c r="X60" s="140" t="s">
        <v>580</v>
      </c>
      <c r="Y60" s="148" t="s">
        <v>186</v>
      </c>
      <c r="Z60" t="s">
        <v>184</v>
      </c>
      <c r="AA60" s="149">
        <v>1409</v>
      </c>
      <c r="AB60" s="149" t="s">
        <v>233</v>
      </c>
      <c r="AC60" s="149">
        <v>13</v>
      </c>
      <c r="AD60" s="149">
        <v>3</v>
      </c>
      <c r="AE60" t="s">
        <v>166</v>
      </c>
      <c r="AF60" t="s">
        <v>166</v>
      </c>
      <c r="AG60" s="149">
        <v>116.46</v>
      </c>
      <c r="AH60" t="s">
        <v>166</v>
      </c>
      <c r="AI60" t="s">
        <v>166</v>
      </c>
      <c r="AJ60" t="s">
        <v>310</v>
      </c>
      <c r="AK60">
        <v>41.295822000000001</v>
      </c>
      <c r="AL60">
        <v>-49.233086999999998</v>
      </c>
      <c r="AM60">
        <v>30.950828552246094</v>
      </c>
      <c r="AN60" t="s">
        <v>166</v>
      </c>
      <c r="AO60">
        <v>-3500</v>
      </c>
      <c r="AP60">
        <v>-3050</v>
      </c>
      <c r="AQ60" t="s">
        <v>320</v>
      </c>
      <c r="AR60" t="s">
        <v>166</v>
      </c>
      <c r="AS60" s="164">
        <v>50.541614532470703</v>
      </c>
      <c r="AT60" t="s">
        <v>166</v>
      </c>
      <c r="AU60" t="s">
        <v>166</v>
      </c>
      <c r="AV60" t="s">
        <v>166</v>
      </c>
      <c r="AW60" t="s">
        <v>166</v>
      </c>
      <c r="AX60" t="s">
        <v>166</v>
      </c>
      <c r="AY60" t="s">
        <v>190</v>
      </c>
      <c r="AZ60" t="s">
        <v>166</v>
      </c>
      <c r="BA60" t="s">
        <v>166</v>
      </c>
      <c r="BB60" t="s">
        <v>166</v>
      </c>
      <c r="BC60" t="s">
        <v>166</v>
      </c>
      <c r="BD60" t="s">
        <v>166</v>
      </c>
      <c r="BE60" t="s">
        <v>166</v>
      </c>
      <c r="BF60" t="s">
        <v>166</v>
      </c>
      <c r="BG60" s="151" t="s">
        <v>321</v>
      </c>
      <c r="BH60" s="149" t="s">
        <v>192</v>
      </c>
      <c r="BI60" t="s">
        <v>166</v>
      </c>
      <c r="BJ60" s="152" t="s">
        <v>166</v>
      </c>
      <c r="BK60" t="s">
        <v>322</v>
      </c>
      <c r="BL60" t="s">
        <v>194</v>
      </c>
      <c r="BM60" t="s">
        <v>195</v>
      </c>
      <c r="BN60" t="s">
        <v>166</v>
      </c>
      <c r="BO60" t="s">
        <v>166</v>
      </c>
      <c r="BP60" t="s">
        <v>166</v>
      </c>
      <c r="BQ60" s="150">
        <v>13.372273385680455</v>
      </c>
      <c r="BR60" t="s">
        <v>196</v>
      </c>
      <c r="BS60" s="150">
        <v>0.2614169957038589</v>
      </c>
      <c r="BT60">
        <v>1</v>
      </c>
      <c r="BU60" t="s">
        <v>197</v>
      </c>
      <c r="BV60" t="s">
        <v>166</v>
      </c>
      <c r="BW60">
        <v>0</v>
      </c>
      <c r="BX60" t="s">
        <v>197</v>
      </c>
      <c r="BY60" t="s">
        <v>166</v>
      </c>
      <c r="BZ60" t="s">
        <v>198</v>
      </c>
      <c r="CA60" t="s">
        <v>166</v>
      </c>
      <c r="CB60" s="150">
        <v>13.372273385680455</v>
      </c>
      <c r="CC60" t="s">
        <v>196</v>
      </c>
      <c r="CD60" s="150">
        <v>0.2614169957038589</v>
      </c>
      <c r="CE60" t="s">
        <v>199</v>
      </c>
      <c r="CF60" t="s">
        <v>166</v>
      </c>
      <c r="CG60" t="s">
        <v>200</v>
      </c>
      <c r="CH60" t="s">
        <v>166</v>
      </c>
      <c r="CI60" t="s">
        <v>166</v>
      </c>
      <c r="CJ60" s="139">
        <v>35.030249291114927</v>
      </c>
      <c r="CK60" t="s">
        <v>201</v>
      </c>
      <c r="CL60">
        <v>2</v>
      </c>
      <c r="CM60">
        <v>2</v>
      </c>
      <c r="CN60" t="s">
        <v>166</v>
      </c>
      <c r="CO60" s="139">
        <v>3.9179376544617264</v>
      </c>
      <c r="CP60" t="s">
        <v>166</v>
      </c>
      <c r="CQ60" t="s">
        <v>166</v>
      </c>
      <c r="CR60" t="s">
        <v>166</v>
      </c>
      <c r="CS60" s="153" t="s">
        <v>202</v>
      </c>
      <c r="CT60" t="s">
        <v>203</v>
      </c>
      <c r="CU60">
        <v>2.2000000000000002</v>
      </c>
      <c r="CV60" t="s">
        <v>204</v>
      </c>
      <c r="CW60" t="s">
        <v>166</v>
      </c>
      <c r="CX60" t="s">
        <v>166</v>
      </c>
      <c r="CY60" t="s">
        <v>166</v>
      </c>
      <c r="CZ60" t="s">
        <v>166</v>
      </c>
      <c r="DA60" s="154" t="s">
        <v>166</v>
      </c>
      <c r="DB60" t="s">
        <v>166</v>
      </c>
      <c r="DC60" t="s">
        <v>166</v>
      </c>
      <c r="DD60" t="s">
        <v>166</v>
      </c>
      <c r="DE60" t="s">
        <v>166</v>
      </c>
      <c r="DF60" t="s">
        <v>205</v>
      </c>
      <c r="DG60">
        <v>35</v>
      </c>
      <c r="DH60" t="s">
        <v>201</v>
      </c>
      <c r="DI60">
        <v>1</v>
      </c>
      <c r="DJ60" t="s">
        <v>206</v>
      </c>
      <c r="DK60">
        <v>17</v>
      </c>
      <c r="DL60" t="s">
        <v>166</v>
      </c>
      <c r="DM60" t="s">
        <v>166</v>
      </c>
      <c r="DN60" t="s">
        <v>207</v>
      </c>
      <c r="DO60">
        <v>38</v>
      </c>
      <c r="DP60" t="s">
        <v>208</v>
      </c>
      <c r="DQ60">
        <v>3</v>
      </c>
      <c r="DR60" t="s">
        <v>209</v>
      </c>
      <c r="DS60" t="s">
        <v>166</v>
      </c>
      <c r="DT60" t="s">
        <v>166</v>
      </c>
      <c r="DU60" t="s">
        <v>166</v>
      </c>
      <c r="DV60" t="s">
        <v>166</v>
      </c>
      <c r="DW60">
        <v>432.6</v>
      </c>
      <c r="DX60" t="s">
        <v>166</v>
      </c>
      <c r="DY60" t="s">
        <v>166</v>
      </c>
      <c r="DZ60" t="s">
        <v>210</v>
      </c>
      <c r="EA60" t="s">
        <v>211</v>
      </c>
      <c r="EB60" t="s">
        <v>212</v>
      </c>
      <c r="EC60" t="s">
        <v>166</v>
      </c>
      <c r="ED60" t="s">
        <v>213</v>
      </c>
      <c r="EE60" s="155" t="s">
        <v>214</v>
      </c>
      <c r="EF60" s="155" t="s">
        <v>214</v>
      </c>
      <c r="EG60">
        <v>1.0271999999999999</v>
      </c>
      <c r="EH60" t="s">
        <v>215</v>
      </c>
      <c r="EI60" t="s">
        <v>215</v>
      </c>
      <c r="EJ60" t="s">
        <v>216</v>
      </c>
      <c r="EK60" t="s">
        <v>215</v>
      </c>
      <c r="EL60" t="s">
        <v>215</v>
      </c>
      <c r="EM60" t="s">
        <v>217</v>
      </c>
      <c r="EN60" s="156" t="s">
        <v>214</v>
      </c>
      <c r="EO60" s="156" t="s">
        <v>214</v>
      </c>
      <c r="EP60" s="156" t="s">
        <v>214</v>
      </c>
      <c r="EQ60" s="156" t="s">
        <v>214</v>
      </c>
      <c r="ET60" t="s">
        <v>218</v>
      </c>
      <c r="EU60" t="s">
        <v>219</v>
      </c>
      <c r="EV60" t="s">
        <v>213</v>
      </c>
      <c r="EW60" t="s">
        <v>166</v>
      </c>
      <c r="EX60" t="s">
        <v>166</v>
      </c>
      <c r="EY60" t="s">
        <v>166</v>
      </c>
      <c r="EZ60" t="s">
        <v>166</v>
      </c>
      <c r="FA60" s="157">
        <v>4.5</v>
      </c>
      <c r="FB60" t="s">
        <v>220</v>
      </c>
      <c r="FC60" s="157">
        <v>1</v>
      </c>
      <c r="FD60" s="157">
        <v>1</v>
      </c>
      <c r="FE60" s="164">
        <v>7.4701039383497596</v>
      </c>
      <c r="FF60" t="s">
        <v>221</v>
      </c>
      <c r="FG60" s="164">
        <v>4.6661660817940209E-2</v>
      </c>
      <c r="FH60" s="164">
        <v>4.66773336130899E-2</v>
      </c>
      <c r="FI60" s="144">
        <v>2127.5920369578703</v>
      </c>
      <c r="FJ60" t="s">
        <v>166</v>
      </c>
      <c r="FK60" t="s">
        <v>166</v>
      </c>
      <c r="FL60" s="144">
        <f t="shared" si="2"/>
        <v>2127.5920369578703</v>
      </c>
      <c r="FM60" s="144">
        <v>689.82867473878969</v>
      </c>
      <c r="FN60" s="144">
        <v>539.58945368960008</v>
      </c>
      <c r="FO60" t="s">
        <v>222</v>
      </c>
      <c r="FP60" t="s">
        <v>223</v>
      </c>
      <c r="FQ60" s="144" t="s">
        <v>166</v>
      </c>
      <c r="FR60" s="144" t="s">
        <v>166</v>
      </c>
      <c r="FS60" s="144" t="s">
        <v>166</v>
      </c>
      <c r="FT60" s="144" t="s">
        <v>166</v>
      </c>
      <c r="FU60" s="144" t="s">
        <v>166</v>
      </c>
      <c r="FV60" s="144" t="s">
        <v>166</v>
      </c>
      <c r="FW60" s="144" t="s">
        <v>166</v>
      </c>
      <c r="FX60" s="144" t="s">
        <v>166</v>
      </c>
      <c r="FY60" s="144" t="s">
        <v>166</v>
      </c>
      <c r="FZ60" s="144" t="s">
        <v>166</v>
      </c>
      <c r="GA60" s="144" t="s">
        <v>166</v>
      </c>
      <c r="GB60" s="144" t="s">
        <v>166</v>
      </c>
      <c r="GC60" s="158" t="s">
        <v>224</v>
      </c>
    </row>
    <row r="61" spans="1:185" ht="17">
      <c r="A61" s="140" t="s">
        <v>162</v>
      </c>
      <c r="B61" s="143" t="s">
        <v>163</v>
      </c>
      <c r="C61" s="140" t="s">
        <v>164</v>
      </c>
      <c r="D61" s="140" t="s">
        <v>165</v>
      </c>
      <c r="E61" s="140">
        <v>2020</v>
      </c>
      <c r="F61" t="s">
        <v>184</v>
      </c>
      <c r="G61" s="139">
        <v>50593.761444091797</v>
      </c>
      <c r="H61" s="147">
        <f t="shared" ref="H61" si="58">0.0083*G61^(0.9482)</f>
        <v>239.60884078761902</v>
      </c>
      <c r="I61" s="147">
        <f t="shared" si="1"/>
        <v>239.60884078761902</v>
      </c>
      <c r="J61" s="144">
        <v>2157.3731131508898</v>
      </c>
      <c r="K61" s="144">
        <v>897.56889961700017</v>
      </c>
      <c r="L61" s="144">
        <v>592.08942858467003</v>
      </c>
      <c r="M61" s="140" t="b">
        <v>1</v>
      </c>
      <c r="N61" s="140">
        <v>1</v>
      </c>
      <c r="O61" s="302" t="s">
        <v>581</v>
      </c>
      <c r="P61" s="140" t="s">
        <v>166</v>
      </c>
      <c r="Q61" s="140" t="s">
        <v>166</v>
      </c>
      <c r="R61" s="140" t="s">
        <v>166</v>
      </c>
      <c r="S61" s="140" t="b">
        <v>1</v>
      </c>
      <c r="T61" s="140" t="b">
        <v>0</v>
      </c>
      <c r="U61" s="140" t="s">
        <v>166</v>
      </c>
      <c r="V61" s="140" t="b">
        <v>0</v>
      </c>
      <c r="W61" s="140" t="b">
        <v>0</v>
      </c>
      <c r="X61" s="140" t="s">
        <v>580</v>
      </c>
      <c r="Y61" s="148" t="s">
        <v>186</v>
      </c>
      <c r="Z61" t="s">
        <v>184</v>
      </c>
      <c r="AA61" s="149">
        <v>1409</v>
      </c>
      <c r="AB61" s="149" t="s">
        <v>233</v>
      </c>
      <c r="AC61" s="149">
        <v>13</v>
      </c>
      <c r="AD61" s="149">
        <v>3</v>
      </c>
      <c r="AE61" t="s">
        <v>166</v>
      </c>
      <c r="AF61" t="s">
        <v>166</v>
      </c>
      <c r="AG61" s="149">
        <v>117.01</v>
      </c>
      <c r="AH61" t="s">
        <v>166</v>
      </c>
      <c r="AI61" t="s">
        <v>166</v>
      </c>
      <c r="AJ61" t="s">
        <v>310</v>
      </c>
      <c r="AK61">
        <v>41.295822000000001</v>
      </c>
      <c r="AL61">
        <v>-49.233086999999998</v>
      </c>
      <c r="AM61">
        <v>30.951999664306641</v>
      </c>
      <c r="AN61" t="s">
        <v>166</v>
      </c>
      <c r="AO61">
        <v>-3500</v>
      </c>
      <c r="AP61">
        <v>-3050</v>
      </c>
      <c r="AQ61" t="s">
        <v>323</v>
      </c>
      <c r="AR61" t="s">
        <v>166</v>
      </c>
      <c r="AS61" s="164">
        <v>50.593761444091797</v>
      </c>
      <c r="AT61" t="s">
        <v>166</v>
      </c>
      <c r="AU61" t="s">
        <v>166</v>
      </c>
      <c r="AV61" t="s">
        <v>166</v>
      </c>
      <c r="AW61" t="s">
        <v>166</v>
      </c>
      <c r="AX61" t="s">
        <v>166</v>
      </c>
      <c r="AY61" t="s">
        <v>190</v>
      </c>
      <c r="AZ61" t="s">
        <v>166</v>
      </c>
      <c r="BA61" t="s">
        <v>166</v>
      </c>
      <c r="BB61" t="s">
        <v>166</v>
      </c>
      <c r="BC61" t="s">
        <v>166</v>
      </c>
      <c r="BD61" t="s">
        <v>166</v>
      </c>
      <c r="BE61" t="s">
        <v>166</v>
      </c>
      <c r="BF61" t="s">
        <v>166</v>
      </c>
      <c r="BG61" s="151" t="s">
        <v>321</v>
      </c>
      <c r="BH61" s="149" t="s">
        <v>192</v>
      </c>
      <c r="BI61" t="s">
        <v>166</v>
      </c>
      <c r="BJ61" s="152" t="s">
        <v>166</v>
      </c>
      <c r="BK61" t="s">
        <v>324</v>
      </c>
      <c r="BL61" t="s">
        <v>194</v>
      </c>
      <c r="BM61" t="s">
        <v>195</v>
      </c>
      <c r="BN61" t="s">
        <v>166</v>
      </c>
      <c r="BO61" t="s">
        <v>166</v>
      </c>
      <c r="BP61" t="s">
        <v>166</v>
      </c>
      <c r="BQ61" s="150">
        <v>13.330152370756281</v>
      </c>
      <c r="BR61" t="s">
        <v>196</v>
      </c>
      <c r="BS61" s="150">
        <v>0.33613498071287573</v>
      </c>
      <c r="BT61">
        <v>1</v>
      </c>
      <c r="BU61" t="s">
        <v>197</v>
      </c>
      <c r="BV61" t="s">
        <v>166</v>
      </c>
      <c r="BW61">
        <v>0</v>
      </c>
      <c r="BX61" t="s">
        <v>197</v>
      </c>
      <c r="BY61" t="s">
        <v>166</v>
      </c>
      <c r="BZ61" t="s">
        <v>198</v>
      </c>
      <c r="CA61" t="s">
        <v>166</v>
      </c>
      <c r="CB61" s="150">
        <v>13.330152370756281</v>
      </c>
      <c r="CC61" t="s">
        <v>196</v>
      </c>
      <c r="CD61" s="150">
        <v>0.33613498071287573</v>
      </c>
      <c r="CE61" t="s">
        <v>199</v>
      </c>
      <c r="CF61" t="s">
        <v>166</v>
      </c>
      <c r="CG61" t="s">
        <v>200</v>
      </c>
      <c r="CH61" t="s">
        <v>166</v>
      </c>
      <c r="CI61" t="s">
        <v>166</v>
      </c>
      <c r="CJ61" s="139">
        <v>33.388010581099408</v>
      </c>
      <c r="CK61" t="s">
        <v>201</v>
      </c>
      <c r="CL61">
        <v>2</v>
      </c>
      <c r="CM61">
        <v>2</v>
      </c>
      <c r="CN61" t="s">
        <v>166</v>
      </c>
      <c r="CO61" s="139">
        <v>3.5715592464577948</v>
      </c>
      <c r="CP61" t="s">
        <v>166</v>
      </c>
      <c r="CQ61" t="s">
        <v>166</v>
      </c>
      <c r="CR61" t="s">
        <v>166</v>
      </c>
      <c r="CS61" s="153" t="s">
        <v>202</v>
      </c>
      <c r="CT61" t="s">
        <v>203</v>
      </c>
      <c r="CU61">
        <v>2.2000000000000002</v>
      </c>
      <c r="CV61" t="s">
        <v>204</v>
      </c>
      <c r="CW61" t="s">
        <v>166</v>
      </c>
      <c r="CX61" t="s">
        <v>166</v>
      </c>
      <c r="CY61" t="s">
        <v>166</v>
      </c>
      <c r="CZ61" t="s">
        <v>166</v>
      </c>
      <c r="DA61" s="154" t="s">
        <v>166</v>
      </c>
      <c r="DB61" t="s">
        <v>166</v>
      </c>
      <c r="DC61" t="s">
        <v>166</v>
      </c>
      <c r="DD61" t="s">
        <v>166</v>
      </c>
      <c r="DE61" t="s">
        <v>166</v>
      </c>
      <c r="DF61" t="s">
        <v>205</v>
      </c>
      <c r="DG61">
        <v>35</v>
      </c>
      <c r="DH61" t="s">
        <v>201</v>
      </c>
      <c r="DI61">
        <v>1</v>
      </c>
      <c r="DJ61" t="s">
        <v>206</v>
      </c>
      <c r="DK61">
        <v>17</v>
      </c>
      <c r="DL61" t="s">
        <v>166</v>
      </c>
      <c r="DM61" t="s">
        <v>166</v>
      </c>
      <c r="DN61" t="s">
        <v>207</v>
      </c>
      <c r="DO61">
        <v>38</v>
      </c>
      <c r="DP61" t="s">
        <v>208</v>
      </c>
      <c r="DQ61">
        <v>3</v>
      </c>
      <c r="DR61" t="s">
        <v>209</v>
      </c>
      <c r="DS61" t="s">
        <v>166</v>
      </c>
      <c r="DT61" t="s">
        <v>166</v>
      </c>
      <c r="DU61" t="s">
        <v>166</v>
      </c>
      <c r="DV61" t="s">
        <v>166</v>
      </c>
      <c r="DW61">
        <v>432.6</v>
      </c>
      <c r="DX61" t="s">
        <v>166</v>
      </c>
      <c r="DY61" t="s">
        <v>166</v>
      </c>
      <c r="DZ61" t="s">
        <v>210</v>
      </c>
      <c r="EA61" t="s">
        <v>211</v>
      </c>
      <c r="EB61" t="s">
        <v>212</v>
      </c>
      <c r="EC61" t="s">
        <v>166</v>
      </c>
      <c r="ED61" t="s">
        <v>213</v>
      </c>
      <c r="EE61" s="155" t="s">
        <v>214</v>
      </c>
      <c r="EF61" s="155" t="s">
        <v>214</v>
      </c>
      <c r="EG61">
        <v>1.0271999999999999</v>
      </c>
      <c r="EH61" t="s">
        <v>215</v>
      </c>
      <c r="EI61" t="s">
        <v>215</v>
      </c>
      <c r="EJ61" t="s">
        <v>216</v>
      </c>
      <c r="EK61" t="s">
        <v>215</v>
      </c>
      <c r="EL61" t="s">
        <v>215</v>
      </c>
      <c r="EM61" t="s">
        <v>217</v>
      </c>
      <c r="EN61" s="156" t="s">
        <v>214</v>
      </c>
      <c r="EO61" s="156" t="s">
        <v>214</v>
      </c>
      <c r="EP61" s="156" t="s">
        <v>214</v>
      </c>
      <c r="EQ61" s="156" t="s">
        <v>214</v>
      </c>
      <c r="ET61" t="s">
        <v>218</v>
      </c>
      <c r="EU61" t="s">
        <v>219</v>
      </c>
      <c r="EV61" t="s">
        <v>213</v>
      </c>
      <c r="EW61" t="s">
        <v>166</v>
      </c>
      <c r="EX61" t="s">
        <v>166</v>
      </c>
      <c r="EY61" t="s">
        <v>166</v>
      </c>
      <c r="EZ61" t="s">
        <v>166</v>
      </c>
      <c r="FA61" s="157">
        <v>4.5</v>
      </c>
      <c r="FB61" t="s">
        <v>220</v>
      </c>
      <c r="FC61" s="157">
        <v>1</v>
      </c>
      <c r="FD61" s="157">
        <v>1</v>
      </c>
      <c r="FE61" s="164">
        <v>7.4788326613229703</v>
      </c>
      <c r="FF61" t="s">
        <v>221</v>
      </c>
      <c r="FG61" s="164">
        <v>5.6227875443429554E-2</v>
      </c>
      <c r="FH61" s="164">
        <v>6.6389803001600356E-2</v>
      </c>
      <c r="FI61" s="144">
        <v>2157.3731131508898</v>
      </c>
      <c r="FJ61" t="s">
        <v>166</v>
      </c>
      <c r="FK61" t="s">
        <v>166</v>
      </c>
      <c r="FL61" s="144">
        <f t="shared" si="2"/>
        <v>2157.3731131508898</v>
      </c>
      <c r="FM61" s="144">
        <v>897.56889961700017</v>
      </c>
      <c r="FN61" s="144">
        <v>592.08942858467003</v>
      </c>
      <c r="FO61" t="s">
        <v>222</v>
      </c>
      <c r="FP61" t="s">
        <v>223</v>
      </c>
      <c r="FQ61" s="144" t="s">
        <v>166</v>
      </c>
      <c r="FR61" s="144" t="s">
        <v>166</v>
      </c>
      <c r="FS61" s="144" t="s">
        <v>166</v>
      </c>
      <c r="FT61" s="144" t="s">
        <v>166</v>
      </c>
      <c r="FU61" s="144" t="s">
        <v>166</v>
      </c>
      <c r="FV61" s="144" t="s">
        <v>166</v>
      </c>
      <c r="FW61" s="144" t="s">
        <v>166</v>
      </c>
      <c r="FX61" s="144" t="s">
        <v>166</v>
      </c>
      <c r="FY61" s="144" t="s">
        <v>166</v>
      </c>
      <c r="FZ61" s="144" t="s">
        <v>166</v>
      </c>
      <c r="GA61" s="144" t="s">
        <v>166</v>
      </c>
      <c r="GB61" s="144" t="s">
        <v>166</v>
      </c>
      <c r="GC61" s="158" t="s">
        <v>224</v>
      </c>
    </row>
    <row r="62" spans="1:185" ht="17">
      <c r="A62" s="140" t="s">
        <v>162</v>
      </c>
      <c r="B62" s="143" t="s">
        <v>163</v>
      </c>
      <c r="C62" s="140" t="s">
        <v>164</v>
      </c>
      <c r="D62" s="140" t="s">
        <v>165</v>
      </c>
      <c r="E62" s="140">
        <v>2020</v>
      </c>
      <c r="F62" t="s">
        <v>184</v>
      </c>
      <c r="G62" s="139">
        <v>50603.240966796875</v>
      </c>
      <c r="H62" s="147">
        <f t="shared" ref="H62" si="59">0.0083*G62^(0.9482)</f>
        <v>239.65140946768045</v>
      </c>
      <c r="I62" s="147">
        <f t="shared" si="1"/>
        <v>239.65140946768045</v>
      </c>
      <c r="J62" s="144">
        <v>2117.7710702685999</v>
      </c>
      <c r="K62" s="144">
        <v>667.09896863242011</v>
      </c>
      <c r="L62" s="144">
        <v>535.37488827539983</v>
      </c>
      <c r="M62" s="140" t="b">
        <v>1</v>
      </c>
      <c r="N62" s="140">
        <v>1</v>
      </c>
      <c r="O62" s="302" t="s">
        <v>581</v>
      </c>
      <c r="P62" s="140" t="s">
        <v>166</v>
      </c>
      <c r="Q62" s="140" t="s">
        <v>166</v>
      </c>
      <c r="R62" s="140" t="s">
        <v>166</v>
      </c>
      <c r="S62" s="140" t="b">
        <v>1</v>
      </c>
      <c r="T62" s="140" t="b">
        <v>0</v>
      </c>
      <c r="U62" s="140" t="s">
        <v>166</v>
      </c>
      <c r="V62" s="140" t="b">
        <v>0</v>
      </c>
      <c r="W62" s="140" t="b">
        <v>0</v>
      </c>
      <c r="X62" s="140" t="s">
        <v>580</v>
      </c>
      <c r="Y62" s="148" t="s">
        <v>186</v>
      </c>
      <c r="Z62" t="s">
        <v>184</v>
      </c>
      <c r="AA62" s="149">
        <v>1409</v>
      </c>
      <c r="AB62" s="149" t="s">
        <v>233</v>
      </c>
      <c r="AC62" s="149">
        <v>13</v>
      </c>
      <c r="AD62" s="149">
        <v>3</v>
      </c>
      <c r="AE62" t="s">
        <v>166</v>
      </c>
      <c r="AF62" t="s">
        <v>166</v>
      </c>
      <c r="AG62" s="150">
        <v>117.11</v>
      </c>
      <c r="AH62" t="s">
        <v>166</v>
      </c>
      <c r="AI62" t="s">
        <v>166</v>
      </c>
      <c r="AJ62" t="s">
        <v>310</v>
      </c>
      <c r="AK62">
        <v>41.295822000000001</v>
      </c>
      <c r="AL62">
        <v>-49.233086999999998</v>
      </c>
      <c r="AM62">
        <v>30.952213287353516</v>
      </c>
      <c r="AN62" t="s">
        <v>166</v>
      </c>
      <c r="AO62">
        <v>-3500</v>
      </c>
      <c r="AP62">
        <v>-3050</v>
      </c>
      <c r="AQ62" t="s">
        <v>325</v>
      </c>
      <c r="AR62" t="s">
        <v>166</v>
      </c>
      <c r="AS62" s="150">
        <v>50.603240966796875</v>
      </c>
      <c r="AT62" t="s">
        <v>166</v>
      </c>
      <c r="AU62" t="s">
        <v>166</v>
      </c>
      <c r="AV62" t="s">
        <v>166</v>
      </c>
      <c r="AW62" t="s">
        <v>166</v>
      </c>
      <c r="AX62" t="s">
        <v>166</v>
      </c>
      <c r="AY62" t="s">
        <v>190</v>
      </c>
      <c r="AZ62" t="s">
        <v>166</v>
      </c>
      <c r="BA62" t="s">
        <v>166</v>
      </c>
      <c r="BB62" t="s">
        <v>166</v>
      </c>
      <c r="BC62" t="s">
        <v>166</v>
      </c>
      <c r="BD62" t="s">
        <v>166</v>
      </c>
      <c r="BE62" t="s">
        <v>166</v>
      </c>
      <c r="BF62" t="s">
        <v>166</v>
      </c>
      <c r="BG62" s="151" t="s">
        <v>321</v>
      </c>
      <c r="BH62" s="149" t="s">
        <v>192</v>
      </c>
      <c r="BI62" t="s">
        <v>166</v>
      </c>
      <c r="BJ62" s="152" t="s">
        <v>166</v>
      </c>
      <c r="BK62" t="s">
        <v>326</v>
      </c>
      <c r="BL62" t="s">
        <v>194</v>
      </c>
      <c r="BM62" t="s">
        <v>195</v>
      </c>
      <c r="BN62" t="s">
        <v>166</v>
      </c>
      <c r="BO62" t="s">
        <v>166</v>
      </c>
      <c r="BP62" t="s">
        <v>166</v>
      </c>
      <c r="BQ62" s="150">
        <v>13.368473332590337</v>
      </c>
      <c r="BR62" t="s">
        <v>196</v>
      </c>
      <c r="BS62" s="150">
        <v>0.26580191221131283</v>
      </c>
      <c r="BT62">
        <v>1</v>
      </c>
      <c r="BU62" t="s">
        <v>197</v>
      </c>
      <c r="BV62" t="s">
        <v>166</v>
      </c>
      <c r="BW62">
        <v>0</v>
      </c>
      <c r="BX62" t="s">
        <v>197</v>
      </c>
      <c r="BY62" t="s">
        <v>166</v>
      </c>
      <c r="BZ62" t="s">
        <v>198</v>
      </c>
      <c r="CA62" t="s">
        <v>166</v>
      </c>
      <c r="CB62" s="150">
        <v>13.368473332590337</v>
      </c>
      <c r="CC62" t="s">
        <v>196</v>
      </c>
      <c r="CD62" s="150">
        <v>0.26580191221131283</v>
      </c>
      <c r="CE62" t="s">
        <v>199</v>
      </c>
      <c r="CF62" t="s">
        <v>166</v>
      </c>
      <c r="CG62" t="s">
        <v>200</v>
      </c>
      <c r="CH62" t="s">
        <v>166</v>
      </c>
      <c r="CI62" t="s">
        <v>166</v>
      </c>
      <c r="CJ62" s="139">
        <v>34.642799857854641</v>
      </c>
      <c r="CK62" t="s">
        <v>201</v>
      </c>
      <c r="CL62">
        <v>2</v>
      </c>
      <c r="CM62">
        <v>2</v>
      </c>
      <c r="CN62" t="s">
        <v>166</v>
      </c>
      <c r="CO62" s="139">
        <v>3.8333044310505988</v>
      </c>
      <c r="CP62" t="s">
        <v>166</v>
      </c>
      <c r="CQ62" t="s">
        <v>166</v>
      </c>
      <c r="CR62" t="s">
        <v>166</v>
      </c>
      <c r="CS62" s="153" t="s">
        <v>202</v>
      </c>
      <c r="CT62" t="s">
        <v>203</v>
      </c>
      <c r="CU62">
        <v>2.2000000000000002</v>
      </c>
      <c r="CV62" t="s">
        <v>204</v>
      </c>
      <c r="CW62" t="s">
        <v>166</v>
      </c>
      <c r="CX62" t="s">
        <v>166</v>
      </c>
      <c r="CY62" t="s">
        <v>166</v>
      </c>
      <c r="CZ62" t="s">
        <v>166</v>
      </c>
      <c r="DA62" s="154" t="s">
        <v>166</v>
      </c>
      <c r="DB62" t="s">
        <v>166</v>
      </c>
      <c r="DC62" t="s">
        <v>166</v>
      </c>
      <c r="DD62" t="s">
        <v>166</v>
      </c>
      <c r="DE62" t="s">
        <v>166</v>
      </c>
      <c r="DF62" t="s">
        <v>205</v>
      </c>
      <c r="DG62">
        <v>35</v>
      </c>
      <c r="DH62" t="s">
        <v>201</v>
      </c>
      <c r="DI62">
        <v>1</v>
      </c>
      <c r="DJ62" t="s">
        <v>206</v>
      </c>
      <c r="DK62">
        <v>17</v>
      </c>
      <c r="DL62" t="s">
        <v>166</v>
      </c>
      <c r="DM62" t="s">
        <v>166</v>
      </c>
      <c r="DN62" t="s">
        <v>207</v>
      </c>
      <c r="DO62">
        <v>38</v>
      </c>
      <c r="DP62" t="s">
        <v>208</v>
      </c>
      <c r="DQ62">
        <v>3</v>
      </c>
      <c r="DR62" t="s">
        <v>209</v>
      </c>
      <c r="DS62" t="s">
        <v>166</v>
      </c>
      <c r="DT62" t="s">
        <v>166</v>
      </c>
      <c r="DU62" t="s">
        <v>166</v>
      </c>
      <c r="DV62" t="s">
        <v>166</v>
      </c>
      <c r="DW62">
        <v>432.6</v>
      </c>
      <c r="DX62" t="s">
        <v>166</v>
      </c>
      <c r="DY62" t="s">
        <v>166</v>
      </c>
      <c r="DZ62" t="s">
        <v>210</v>
      </c>
      <c r="EA62" t="s">
        <v>211</v>
      </c>
      <c r="EB62" t="s">
        <v>212</v>
      </c>
      <c r="EC62" t="s">
        <v>166</v>
      </c>
      <c r="ED62" t="s">
        <v>213</v>
      </c>
      <c r="EE62" s="155" t="s">
        <v>214</v>
      </c>
      <c r="EF62" s="155" t="s">
        <v>214</v>
      </c>
      <c r="EG62">
        <v>1.0271999999999999</v>
      </c>
      <c r="EH62" t="s">
        <v>215</v>
      </c>
      <c r="EI62" t="s">
        <v>215</v>
      </c>
      <c r="EJ62" t="s">
        <v>216</v>
      </c>
      <c r="EK62" t="s">
        <v>215</v>
      </c>
      <c r="EL62" t="s">
        <v>215</v>
      </c>
      <c r="EM62" t="s">
        <v>217</v>
      </c>
      <c r="EN62" s="156" t="s">
        <v>214</v>
      </c>
      <c r="EO62" s="156" t="s">
        <v>214</v>
      </c>
      <c r="EP62" s="156" t="s">
        <v>214</v>
      </c>
      <c r="EQ62" s="156" t="s">
        <v>214</v>
      </c>
      <c r="ET62" t="s">
        <v>218</v>
      </c>
      <c r="EU62" t="s">
        <v>219</v>
      </c>
      <c r="EV62" t="s">
        <v>213</v>
      </c>
      <c r="EW62" t="s">
        <v>166</v>
      </c>
      <c r="EX62" t="s">
        <v>166</v>
      </c>
      <c r="EY62" t="s">
        <v>166</v>
      </c>
      <c r="EZ62" t="s">
        <v>166</v>
      </c>
      <c r="FA62" s="157">
        <v>4.5</v>
      </c>
      <c r="FB62" t="s">
        <v>220</v>
      </c>
      <c r="FC62" s="157">
        <v>1</v>
      </c>
      <c r="FD62" s="157">
        <v>1</v>
      </c>
      <c r="FE62" s="150">
        <v>7.47435541676409</v>
      </c>
      <c r="FF62" t="s">
        <v>221</v>
      </c>
      <c r="FG62" s="150">
        <v>4.6593440333760228E-2</v>
      </c>
      <c r="FH62" s="150">
        <v>5.1210267378439589E-2</v>
      </c>
      <c r="FI62" s="144">
        <v>2117.7710702685999</v>
      </c>
      <c r="FJ62" t="s">
        <v>166</v>
      </c>
      <c r="FK62" t="s">
        <v>166</v>
      </c>
      <c r="FL62" s="144">
        <f t="shared" si="2"/>
        <v>2117.7710702685999</v>
      </c>
      <c r="FM62" s="144">
        <v>667.09896863242011</v>
      </c>
      <c r="FN62" s="144">
        <v>535.37488827539983</v>
      </c>
      <c r="FO62" t="s">
        <v>222</v>
      </c>
      <c r="FP62" t="s">
        <v>223</v>
      </c>
      <c r="FQ62" s="144" t="s">
        <v>166</v>
      </c>
      <c r="FR62" s="144" t="s">
        <v>166</v>
      </c>
      <c r="FS62" s="144" t="s">
        <v>166</v>
      </c>
      <c r="FT62" s="144" t="s">
        <v>166</v>
      </c>
      <c r="FU62" s="144" t="s">
        <v>166</v>
      </c>
      <c r="FV62" s="144" t="s">
        <v>166</v>
      </c>
      <c r="FW62" s="144" t="s">
        <v>166</v>
      </c>
      <c r="FX62" s="144" t="s">
        <v>166</v>
      </c>
      <c r="FY62" s="144" t="s">
        <v>166</v>
      </c>
      <c r="FZ62" s="144" t="s">
        <v>166</v>
      </c>
      <c r="GA62" s="144" t="s">
        <v>166</v>
      </c>
      <c r="GB62" s="144" t="s">
        <v>166</v>
      </c>
      <c r="GC62" s="158" t="s">
        <v>224</v>
      </c>
    </row>
    <row r="63" spans="1:185" ht="17">
      <c r="A63" s="140" t="s">
        <v>162</v>
      </c>
      <c r="B63" s="143" t="s">
        <v>163</v>
      </c>
      <c r="C63" s="140" t="s">
        <v>164</v>
      </c>
      <c r="D63" s="140" t="s">
        <v>165</v>
      </c>
      <c r="E63" s="140">
        <v>2020</v>
      </c>
      <c r="F63" t="s">
        <v>184</v>
      </c>
      <c r="G63" s="139">
        <v>50603.240966796875</v>
      </c>
      <c r="H63" s="147">
        <f t="shared" ref="H63" si="60">0.0083*G63^(0.9482)</f>
        <v>239.65140946768045</v>
      </c>
      <c r="I63" s="147">
        <f t="shared" si="1"/>
        <v>239.65140946768045</v>
      </c>
      <c r="J63" s="144">
        <v>2275.9119408039701</v>
      </c>
      <c r="K63" s="144">
        <v>912.06421989681985</v>
      </c>
      <c r="L63" s="144">
        <v>637.01482182532027</v>
      </c>
      <c r="M63" s="140" t="b">
        <v>1</v>
      </c>
      <c r="N63" s="140">
        <v>1</v>
      </c>
      <c r="O63" s="302" t="s">
        <v>581</v>
      </c>
      <c r="P63" s="140" t="s">
        <v>166</v>
      </c>
      <c r="Q63" s="140" t="s">
        <v>166</v>
      </c>
      <c r="R63" s="140" t="s">
        <v>166</v>
      </c>
      <c r="S63" s="140" t="b">
        <v>1</v>
      </c>
      <c r="T63" s="140" t="b">
        <v>0</v>
      </c>
      <c r="U63" s="140" t="s">
        <v>166</v>
      </c>
      <c r="V63" s="140" t="b">
        <v>0</v>
      </c>
      <c r="W63" s="140" t="b">
        <v>0</v>
      </c>
      <c r="X63" s="140" t="s">
        <v>580</v>
      </c>
      <c r="Y63" s="148" t="s">
        <v>186</v>
      </c>
      <c r="Z63" t="s">
        <v>184</v>
      </c>
      <c r="AA63" s="149">
        <v>1409</v>
      </c>
      <c r="AB63" s="149" t="s">
        <v>233</v>
      </c>
      <c r="AC63" s="149">
        <v>13</v>
      </c>
      <c r="AD63" s="149">
        <v>3</v>
      </c>
      <c r="AE63" t="s">
        <v>166</v>
      </c>
      <c r="AF63" t="s">
        <v>166</v>
      </c>
      <c r="AG63" s="150">
        <v>117.11</v>
      </c>
      <c r="AH63" t="s">
        <v>166</v>
      </c>
      <c r="AI63" t="s">
        <v>166</v>
      </c>
      <c r="AJ63" t="s">
        <v>310</v>
      </c>
      <c r="AK63">
        <v>41.295822000000001</v>
      </c>
      <c r="AL63">
        <v>-49.233086999999998</v>
      </c>
      <c r="AM63">
        <v>30.952213287353516</v>
      </c>
      <c r="AN63" t="s">
        <v>166</v>
      </c>
      <c r="AO63">
        <v>-3500</v>
      </c>
      <c r="AP63">
        <v>-3050</v>
      </c>
      <c r="AQ63" t="s">
        <v>327</v>
      </c>
      <c r="AR63" t="s">
        <v>166</v>
      </c>
      <c r="AS63" s="150">
        <v>50.603240966796875</v>
      </c>
      <c r="AT63" t="s">
        <v>166</v>
      </c>
      <c r="AU63" t="s">
        <v>166</v>
      </c>
      <c r="AV63" t="s">
        <v>166</v>
      </c>
      <c r="AW63" t="s">
        <v>166</v>
      </c>
      <c r="AX63" t="s">
        <v>166</v>
      </c>
      <c r="AY63" t="s">
        <v>190</v>
      </c>
      <c r="AZ63" t="s">
        <v>166</v>
      </c>
      <c r="BA63" t="s">
        <v>166</v>
      </c>
      <c r="BB63" t="s">
        <v>166</v>
      </c>
      <c r="BC63" t="s">
        <v>166</v>
      </c>
      <c r="BD63" t="s">
        <v>166</v>
      </c>
      <c r="BE63" t="s">
        <v>166</v>
      </c>
      <c r="BF63" t="s">
        <v>166</v>
      </c>
      <c r="BG63" s="151" t="s">
        <v>296</v>
      </c>
      <c r="BH63" s="149" t="s">
        <v>328</v>
      </c>
      <c r="BI63" t="s">
        <v>166</v>
      </c>
      <c r="BJ63" s="152" t="s">
        <v>166</v>
      </c>
      <c r="BK63" t="s">
        <v>329</v>
      </c>
      <c r="BL63" t="s">
        <v>194</v>
      </c>
      <c r="BM63" t="s">
        <v>195</v>
      </c>
      <c r="BN63" t="s">
        <v>166</v>
      </c>
      <c r="BO63" t="s">
        <v>166</v>
      </c>
      <c r="BP63" t="s">
        <v>166</v>
      </c>
      <c r="BQ63" s="150">
        <v>13.320068241964773</v>
      </c>
      <c r="BR63" t="s">
        <v>196</v>
      </c>
      <c r="BS63" s="150">
        <v>0.35580153901620371</v>
      </c>
      <c r="BT63">
        <v>1</v>
      </c>
      <c r="BU63" t="s">
        <v>197</v>
      </c>
      <c r="BV63" t="s">
        <v>166</v>
      </c>
      <c r="BW63">
        <v>0</v>
      </c>
      <c r="BX63" t="s">
        <v>197</v>
      </c>
      <c r="BY63" t="s">
        <v>166</v>
      </c>
      <c r="BZ63" t="s">
        <v>198</v>
      </c>
      <c r="CA63" t="s">
        <v>166</v>
      </c>
      <c r="CB63" s="150">
        <v>13.320068241964773</v>
      </c>
      <c r="CC63" t="s">
        <v>196</v>
      </c>
      <c r="CD63" s="150">
        <v>0.35580153901620371</v>
      </c>
      <c r="CE63" t="s">
        <v>199</v>
      </c>
      <c r="CF63" t="s">
        <v>166</v>
      </c>
      <c r="CG63" t="s">
        <v>200</v>
      </c>
      <c r="CH63" t="s">
        <v>166</v>
      </c>
      <c r="CI63" t="s">
        <v>166</v>
      </c>
      <c r="CJ63" s="139">
        <v>36.136269059872944</v>
      </c>
      <c r="CK63" t="s">
        <v>201</v>
      </c>
      <c r="CL63">
        <v>2</v>
      </c>
      <c r="CM63">
        <v>2</v>
      </c>
      <c r="CN63" t="s">
        <v>166</v>
      </c>
      <c r="CO63" s="139">
        <v>4.1699544189740365</v>
      </c>
      <c r="CP63" t="s">
        <v>166</v>
      </c>
      <c r="CQ63" t="s">
        <v>166</v>
      </c>
      <c r="CR63" t="s">
        <v>166</v>
      </c>
      <c r="CS63" s="153" t="s">
        <v>202</v>
      </c>
      <c r="CT63" t="s">
        <v>203</v>
      </c>
      <c r="CU63">
        <v>2.2000000000000002</v>
      </c>
      <c r="CV63" t="s">
        <v>204</v>
      </c>
      <c r="CW63" t="s">
        <v>166</v>
      </c>
      <c r="CX63" t="s">
        <v>166</v>
      </c>
      <c r="CY63" t="s">
        <v>166</v>
      </c>
      <c r="CZ63" t="s">
        <v>166</v>
      </c>
      <c r="DA63" s="154" t="s">
        <v>166</v>
      </c>
      <c r="DB63" t="s">
        <v>166</v>
      </c>
      <c r="DC63" t="s">
        <v>166</v>
      </c>
      <c r="DD63" t="s">
        <v>166</v>
      </c>
      <c r="DE63" t="s">
        <v>166</v>
      </c>
      <c r="DF63" t="s">
        <v>205</v>
      </c>
      <c r="DG63">
        <v>35</v>
      </c>
      <c r="DH63" t="s">
        <v>201</v>
      </c>
      <c r="DI63">
        <v>1</v>
      </c>
      <c r="DJ63" t="s">
        <v>206</v>
      </c>
      <c r="DK63">
        <v>17</v>
      </c>
      <c r="DL63" t="s">
        <v>166</v>
      </c>
      <c r="DM63" t="s">
        <v>166</v>
      </c>
      <c r="DN63" t="s">
        <v>207</v>
      </c>
      <c r="DO63">
        <v>38</v>
      </c>
      <c r="DP63" t="s">
        <v>208</v>
      </c>
      <c r="DQ63">
        <v>3</v>
      </c>
      <c r="DR63" t="s">
        <v>209</v>
      </c>
      <c r="DS63" t="s">
        <v>166</v>
      </c>
      <c r="DT63" t="s">
        <v>166</v>
      </c>
      <c r="DU63" t="s">
        <v>166</v>
      </c>
      <c r="DV63" t="s">
        <v>166</v>
      </c>
      <c r="DW63">
        <v>432.6</v>
      </c>
      <c r="DX63" t="s">
        <v>166</v>
      </c>
      <c r="DY63" t="s">
        <v>166</v>
      </c>
      <c r="DZ63" t="s">
        <v>210</v>
      </c>
      <c r="EA63" t="s">
        <v>211</v>
      </c>
      <c r="EB63" t="s">
        <v>212</v>
      </c>
      <c r="EC63" t="s">
        <v>166</v>
      </c>
      <c r="ED63" t="s">
        <v>213</v>
      </c>
      <c r="EE63" s="155" t="s">
        <v>214</v>
      </c>
      <c r="EF63" s="155" t="s">
        <v>214</v>
      </c>
      <c r="EG63">
        <v>1.0271999999999999</v>
      </c>
      <c r="EH63" t="s">
        <v>215</v>
      </c>
      <c r="EI63" t="s">
        <v>215</v>
      </c>
      <c r="EJ63" t="s">
        <v>216</v>
      </c>
      <c r="EK63" t="s">
        <v>215</v>
      </c>
      <c r="EL63" t="s">
        <v>215</v>
      </c>
      <c r="EM63" t="s">
        <v>217</v>
      </c>
      <c r="EN63" s="156" t="s">
        <v>214</v>
      </c>
      <c r="EO63" s="156" t="s">
        <v>214</v>
      </c>
      <c r="EP63" s="156" t="s">
        <v>214</v>
      </c>
      <c r="EQ63" s="156" t="s">
        <v>214</v>
      </c>
      <c r="ET63" t="s">
        <v>218</v>
      </c>
      <c r="EU63" t="s">
        <v>219</v>
      </c>
      <c r="EV63" t="s">
        <v>213</v>
      </c>
      <c r="EW63" t="s">
        <v>166</v>
      </c>
      <c r="EX63" t="s">
        <v>166</v>
      </c>
      <c r="EY63" t="s">
        <v>166</v>
      </c>
      <c r="EZ63" t="s">
        <v>166</v>
      </c>
      <c r="FA63" s="157">
        <v>4.5</v>
      </c>
      <c r="FB63" t="s">
        <v>220</v>
      </c>
      <c r="FC63" s="157">
        <v>1</v>
      </c>
      <c r="FD63" s="157">
        <v>1</v>
      </c>
      <c r="FE63" s="150">
        <v>7.4472467841216101</v>
      </c>
      <c r="FF63" t="s">
        <v>221</v>
      </c>
      <c r="FG63" s="150">
        <v>5.9554152272170313E-2</v>
      </c>
      <c r="FH63" s="150">
        <v>6.6907730391499776E-2</v>
      </c>
      <c r="FI63" s="144">
        <v>2275.9119408039701</v>
      </c>
      <c r="FJ63" t="s">
        <v>166</v>
      </c>
      <c r="FK63" t="s">
        <v>166</v>
      </c>
      <c r="FL63" s="144">
        <f t="shared" si="2"/>
        <v>2275.9119408039701</v>
      </c>
      <c r="FM63" s="144">
        <v>912.06421989681985</v>
      </c>
      <c r="FN63" s="144">
        <v>637.01482182532027</v>
      </c>
      <c r="FO63" t="s">
        <v>222</v>
      </c>
      <c r="FP63" t="s">
        <v>223</v>
      </c>
      <c r="FQ63" s="144" t="s">
        <v>166</v>
      </c>
      <c r="FR63" s="144" t="s">
        <v>166</v>
      </c>
      <c r="FS63" s="144" t="s">
        <v>166</v>
      </c>
      <c r="FT63" s="144" t="s">
        <v>166</v>
      </c>
      <c r="FU63" s="144" t="s">
        <v>166</v>
      </c>
      <c r="FV63" s="144" t="s">
        <v>166</v>
      </c>
      <c r="FW63" s="144" t="s">
        <v>166</v>
      </c>
      <c r="FX63" s="144" t="s">
        <v>166</v>
      </c>
      <c r="FY63" s="144" t="s">
        <v>166</v>
      </c>
      <c r="FZ63" s="144" t="s">
        <v>166</v>
      </c>
      <c r="GA63" s="144" t="s">
        <v>166</v>
      </c>
      <c r="GB63" s="144" t="s">
        <v>166</v>
      </c>
      <c r="GC63" s="158" t="s">
        <v>224</v>
      </c>
    </row>
    <row r="64" spans="1:185" ht="17">
      <c r="A64" s="140" t="s">
        <v>162</v>
      </c>
      <c r="B64" s="143" t="s">
        <v>163</v>
      </c>
      <c r="C64" s="140" t="s">
        <v>164</v>
      </c>
      <c r="D64" s="140" t="s">
        <v>165</v>
      </c>
      <c r="E64" s="140">
        <v>2020</v>
      </c>
      <c r="F64" t="s">
        <v>184</v>
      </c>
      <c r="G64" s="139">
        <v>50622.203826904297</v>
      </c>
      <c r="H64" s="147">
        <f t="shared" ref="H64" si="61">0.0083*G64^(0.9482)</f>
        <v>239.73656271850717</v>
      </c>
      <c r="I64" s="147">
        <f t="shared" si="1"/>
        <v>239.73656271850717</v>
      </c>
      <c r="J64" s="144">
        <v>2164.9793580748196</v>
      </c>
      <c r="K64" s="144">
        <v>739.20987608547011</v>
      </c>
      <c r="L64" s="144">
        <v>558.78370637060948</v>
      </c>
      <c r="M64" s="140" t="b">
        <v>1</v>
      </c>
      <c r="N64" s="140">
        <v>1</v>
      </c>
      <c r="O64" s="302" t="s">
        <v>581</v>
      </c>
      <c r="P64" s="140" t="s">
        <v>166</v>
      </c>
      <c r="Q64" s="140" t="s">
        <v>166</v>
      </c>
      <c r="R64" s="140" t="s">
        <v>166</v>
      </c>
      <c r="S64" s="140" t="b">
        <v>1</v>
      </c>
      <c r="T64" s="140" t="b">
        <v>0</v>
      </c>
      <c r="U64" s="140" t="s">
        <v>166</v>
      </c>
      <c r="V64" s="140" t="b">
        <v>0</v>
      </c>
      <c r="W64" s="140" t="b">
        <v>0</v>
      </c>
      <c r="X64" s="140" t="s">
        <v>580</v>
      </c>
      <c r="Y64" s="148" t="s">
        <v>186</v>
      </c>
      <c r="Z64" t="s">
        <v>184</v>
      </c>
      <c r="AA64" s="149">
        <v>1409</v>
      </c>
      <c r="AB64" s="149" t="s">
        <v>233</v>
      </c>
      <c r="AC64" s="149">
        <v>13</v>
      </c>
      <c r="AD64" s="149">
        <v>4</v>
      </c>
      <c r="AE64" t="s">
        <v>166</v>
      </c>
      <c r="AF64" t="s">
        <v>166</v>
      </c>
      <c r="AG64" s="149">
        <v>117.31</v>
      </c>
      <c r="AH64" t="s">
        <v>166</v>
      </c>
      <c r="AI64" t="s">
        <v>166</v>
      </c>
      <c r="AJ64" t="s">
        <v>310</v>
      </c>
      <c r="AK64">
        <v>41.295822000000001</v>
      </c>
      <c r="AL64">
        <v>-49.233086999999998</v>
      </c>
      <c r="AM64">
        <v>30.952638626098633</v>
      </c>
      <c r="AN64" t="s">
        <v>166</v>
      </c>
      <c r="AO64">
        <v>-3500</v>
      </c>
      <c r="AP64">
        <v>-3050</v>
      </c>
      <c r="AQ64" t="s">
        <v>330</v>
      </c>
      <c r="AR64" t="s">
        <v>166</v>
      </c>
      <c r="AS64" s="164">
        <v>50.622203826904297</v>
      </c>
      <c r="AT64" t="s">
        <v>166</v>
      </c>
      <c r="AU64" t="s">
        <v>166</v>
      </c>
      <c r="AV64" t="s">
        <v>166</v>
      </c>
      <c r="AW64" t="s">
        <v>166</v>
      </c>
      <c r="AX64" t="s">
        <v>166</v>
      </c>
      <c r="AY64" t="s">
        <v>190</v>
      </c>
      <c r="AZ64" t="s">
        <v>166</v>
      </c>
      <c r="BA64" t="s">
        <v>166</v>
      </c>
      <c r="BB64" t="s">
        <v>166</v>
      </c>
      <c r="BC64" t="s">
        <v>166</v>
      </c>
      <c r="BD64" t="s">
        <v>166</v>
      </c>
      <c r="BE64" t="s">
        <v>166</v>
      </c>
      <c r="BF64" t="s">
        <v>166</v>
      </c>
      <c r="BG64" s="151" t="s">
        <v>321</v>
      </c>
      <c r="BH64" s="149" t="s">
        <v>192</v>
      </c>
      <c r="BI64" t="s">
        <v>166</v>
      </c>
      <c r="BJ64" s="152" t="s">
        <v>166</v>
      </c>
      <c r="BK64" t="s">
        <v>331</v>
      </c>
      <c r="BL64" t="s">
        <v>194</v>
      </c>
      <c r="BM64" t="s">
        <v>195</v>
      </c>
      <c r="BN64" t="s">
        <v>166</v>
      </c>
      <c r="BO64" t="s">
        <v>166</v>
      </c>
      <c r="BP64" t="s">
        <v>166</v>
      </c>
      <c r="BQ64" s="150">
        <v>13.339908155626585</v>
      </c>
      <c r="BR64" t="s">
        <v>196</v>
      </c>
      <c r="BS64" s="150">
        <v>0.25875744593347583</v>
      </c>
      <c r="BT64">
        <v>1</v>
      </c>
      <c r="BU64" t="s">
        <v>197</v>
      </c>
      <c r="BV64" t="s">
        <v>166</v>
      </c>
      <c r="BW64">
        <v>0</v>
      </c>
      <c r="BX64" t="s">
        <v>197</v>
      </c>
      <c r="BY64" t="s">
        <v>166</v>
      </c>
      <c r="BZ64" t="s">
        <v>198</v>
      </c>
      <c r="CA64" t="s">
        <v>166</v>
      </c>
      <c r="CB64" s="150">
        <v>13.339908155626585</v>
      </c>
      <c r="CC64" t="s">
        <v>196</v>
      </c>
      <c r="CD64" s="150">
        <v>0.25875744593347583</v>
      </c>
      <c r="CE64" t="s">
        <v>199</v>
      </c>
      <c r="CF64" t="s">
        <v>166</v>
      </c>
      <c r="CG64" t="s">
        <v>200</v>
      </c>
      <c r="CH64" t="s">
        <v>166</v>
      </c>
      <c r="CI64" t="s">
        <v>166</v>
      </c>
      <c r="CJ64" s="139">
        <v>34.065914322002172</v>
      </c>
      <c r="CK64" t="s">
        <v>201</v>
      </c>
      <c r="CL64">
        <v>2</v>
      </c>
      <c r="CM64">
        <v>2</v>
      </c>
      <c r="CN64" t="s">
        <v>166</v>
      </c>
      <c r="CO64" s="139">
        <v>3.7106669472243103</v>
      </c>
      <c r="CP64" t="s">
        <v>166</v>
      </c>
      <c r="CQ64" t="s">
        <v>166</v>
      </c>
      <c r="CR64" t="s">
        <v>166</v>
      </c>
      <c r="CS64" s="153" t="s">
        <v>202</v>
      </c>
      <c r="CT64" t="s">
        <v>203</v>
      </c>
      <c r="CU64">
        <v>2.2000000000000002</v>
      </c>
      <c r="CV64" t="s">
        <v>204</v>
      </c>
      <c r="CW64" t="s">
        <v>166</v>
      </c>
      <c r="CX64" t="s">
        <v>166</v>
      </c>
      <c r="CY64" t="s">
        <v>166</v>
      </c>
      <c r="CZ64" t="s">
        <v>166</v>
      </c>
      <c r="DA64" s="154" t="s">
        <v>166</v>
      </c>
      <c r="DB64" t="s">
        <v>166</v>
      </c>
      <c r="DC64" t="s">
        <v>166</v>
      </c>
      <c r="DD64" t="s">
        <v>166</v>
      </c>
      <c r="DE64" t="s">
        <v>166</v>
      </c>
      <c r="DF64" t="s">
        <v>205</v>
      </c>
      <c r="DG64">
        <v>35</v>
      </c>
      <c r="DH64" t="s">
        <v>201</v>
      </c>
      <c r="DI64">
        <v>1</v>
      </c>
      <c r="DJ64" t="s">
        <v>206</v>
      </c>
      <c r="DK64">
        <v>17</v>
      </c>
      <c r="DL64" t="s">
        <v>166</v>
      </c>
      <c r="DM64" t="s">
        <v>166</v>
      </c>
      <c r="DN64" t="s">
        <v>207</v>
      </c>
      <c r="DO64">
        <v>38</v>
      </c>
      <c r="DP64" t="s">
        <v>208</v>
      </c>
      <c r="DQ64">
        <v>3</v>
      </c>
      <c r="DR64" t="s">
        <v>209</v>
      </c>
      <c r="DS64" t="s">
        <v>166</v>
      </c>
      <c r="DT64" t="s">
        <v>166</v>
      </c>
      <c r="DU64" t="s">
        <v>166</v>
      </c>
      <c r="DV64" t="s">
        <v>166</v>
      </c>
      <c r="DW64">
        <v>432.6</v>
      </c>
      <c r="DX64" t="s">
        <v>166</v>
      </c>
      <c r="DY64" t="s">
        <v>166</v>
      </c>
      <c r="DZ64" t="s">
        <v>210</v>
      </c>
      <c r="EA64" t="s">
        <v>211</v>
      </c>
      <c r="EB64" t="s">
        <v>212</v>
      </c>
      <c r="EC64" t="s">
        <v>166</v>
      </c>
      <c r="ED64" t="s">
        <v>213</v>
      </c>
      <c r="EE64" s="155" t="s">
        <v>214</v>
      </c>
      <c r="EF64" s="155" t="s">
        <v>214</v>
      </c>
      <c r="EG64">
        <v>1.0271999999999999</v>
      </c>
      <c r="EH64" t="s">
        <v>215</v>
      </c>
      <c r="EI64" t="s">
        <v>215</v>
      </c>
      <c r="EJ64" t="s">
        <v>216</v>
      </c>
      <c r="EK64" t="s">
        <v>215</v>
      </c>
      <c r="EL64" t="s">
        <v>215</v>
      </c>
      <c r="EM64" t="s">
        <v>217</v>
      </c>
      <c r="EN64" s="156" t="s">
        <v>214</v>
      </c>
      <c r="EO64" s="156" t="s">
        <v>214</v>
      </c>
      <c r="EP64" s="156" t="s">
        <v>214</v>
      </c>
      <c r="EQ64" s="156" t="s">
        <v>214</v>
      </c>
      <c r="ET64" t="s">
        <v>218</v>
      </c>
      <c r="EU64" t="s">
        <v>219</v>
      </c>
      <c r="EV64" t="s">
        <v>213</v>
      </c>
      <c r="EW64" t="s">
        <v>166</v>
      </c>
      <c r="EX64" t="s">
        <v>166</v>
      </c>
      <c r="EY64" t="s">
        <v>166</v>
      </c>
      <c r="EZ64" t="s">
        <v>166</v>
      </c>
      <c r="FA64" s="157">
        <v>4.5</v>
      </c>
      <c r="FB64" t="s">
        <v>220</v>
      </c>
      <c r="FC64" s="157">
        <v>1</v>
      </c>
      <c r="FD64" s="157">
        <v>1</v>
      </c>
      <c r="FE64" s="164">
        <v>7.4737399738651096</v>
      </c>
      <c r="FF64" t="s">
        <v>221</v>
      </c>
      <c r="FG64" s="164">
        <v>4.7013541714580498E-2</v>
      </c>
      <c r="FH64" s="164">
        <v>4.8729797939089714E-2</v>
      </c>
      <c r="FI64" s="144">
        <v>2164.9793580748196</v>
      </c>
      <c r="FJ64" t="s">
        <v>166</v>
      </c>
      <c r="FK64" t="s">
        <v>166</v>
      </c>
      <c r="FL64" s="144">
        <f t="shared" si="2"/>
        <v>2164.9793580748196</v>
      </c>
      <c r="FM64" s="144">
        <v>739.20987608547011</v>
      </c>
      <c r="FN64" s="144">
        <v>558.78370637060948</v>
      </c>
      <c r="FO64" t="s">
        <v>222</v>
      </c>
      <c r="FP64" t="s">
        <v>223</v>
      </c>
      <c r="FQ64" s="144" t="s">
        <v>166</v>
      </c>
      <c r="FR64" s="144" t="s">
        <v>166</v>
      </c>
      <c r="FS64" s="144" t="s">
        <v>166</v>
      </c>
      <c r="FT64" s="144" t="s">
        <v>166</v>
      </c>
      <c r="FU64" s="144" t="s">
        <v>166</v>
      </c>
      <c r="FV64" s="144" t="s">
        <v>166</v>
      </c>
      <c r="FW64" s="144" t="s">
        <v>166</v>
      </c>
      <c r="FX64" s="144" t="s">
        <v>166</v>
      </c>
      <c r="FY64" s="144" t="s">
        <v>166</v>
      </c>
      <c r="FZ64" s="144" t="s">
        <v>166</v>
      </c>
      <c r="GA64" s="144" t="s">
        <v>166</v>
      </c>
      <c r="GB64" s="144" t="s">
        <v>166</v>
      </c>
      <c r="GC64" s="158" t="s">
        <v>224</v>
      </c>
    </row>
    <row r="65" spans="1:191" ht="17">
      <c r="A65" s="140" t="s">
        <v>162</v>
      </c>
      <c r="B65" s="143" t="s">
        <v>163</v>
      </c>
      <c r="C65" s="140" t="s">
        <v>164</v>
      </c>
      <c r="D65" s="140" t="s">
        <v>165</v>
      </c>
      <c r="E65" s="140">
        <v>2020</v>
      </c>
      <c r="F65" t="s">
        <v>184</v>
      </c>
      <c r="G65" s="139">
        <v>50683.013916015625</v>
      </c>
      <c r="H65" s="147">
        <f t="shared" ref="H65" si="62">0.0083*G65^(0.9482)</f>
        <v>240.00962097344157</v>
      </c>
      <c r="I65" s="147">
        <f t="shared" si="1"/>
        <v>240.00962097344157</v>
      </c>
      <c r="J65" s="144">
        <v>1735.79483360379</v>
      </c>
      <c r="K65" s="144">
        <v>487.79669833901994</v>
      </c>
      <c r="L65" s="144">
        <v>418.07849043874012</v>
      </c>
      <c r="M65" s="140" t="b">
        <v>1</v>
      </c>
      <c r="N65" s="140">
        <v>1</v>
      </c>
      <c r="O65" s="302" t="s">
        <v>581</v>
      </c>
      <c r="P65" s="140" t="s">
        <v>166</v>
      </c>
      <c r="Q65" s="140" t="s">
        <v>166</v>
      </c>
      <c r="R65" s="140" t="s">
        <v>166</v>
      </c>
      <c r="S65" s="140" t="b">
        <v>1</v>
      </c>
      <c r="T65" s="140" t="b">
        <v>0</v>
      </c>
      <c r="U65" s="140" t="s">
        <v>166</v>
      </c>
      <c r="V65" s="140" t="b">
        <v>0</v>
      </c>
      <c r="W65" s="140" t="b">
        <v>0</v>
      </c>
      <c r="X65" s="140" t="s">
        <v>580</v>
      </c>
      <c r="Y65" s="148" t="s">
        <v>186</v>
      </c>
      <c r="Z65" t="s">
        <v>184</v>
      </c>
      <c r="AA65" s="149">
        <v>1409</v>
      </c>
      <c r="AB65" s="149" t="s">
        <v>233</v>
      </c>
      <c r="AC65" s="149">
        <v>13</v>
      </c>
      <c r="AD65" s="149">
        <v>4</v>
      </c>
      <c r="AE65" t="s">
        <v>166</v>
      </c>
      <c r="AF65" t="s">
        <v>166</v>
      </c>
      <c r="AG65" s="149">
        <v>118.51</v>
      </c>
      <c r="AH65" t="s">
        <v>166</v>
      </c>
      <c r="AI65" t="s">
        <v>166</v>
      </c>
      <c r="AJ65" t="s">
        <v>310</v>
      </c>
      <c r="AK65">
        <v>41.295822000000001</v>
      </c>
      <c r="AL65">
        <v>-49.233086999999998</v>
      </c>
      <c r="AM65">
        <v>30.954006195068359</v>
      </c>
      <c r="AN65" t="s">
        <v>166</v>
      </c>
      <c r="AO65">
        <v>-3500</v>
      </c>
      <c r="AP65">
        <v>-3050</v>
      </c>
      <c r="AQ65" t="s">
        <v>332</v>
      </c>
      <c r="AR65" t="s">
        <v>166</v>
      </c>
      <c r="AS65" s="164">
        <v>50.683013916015625</v>
      </c>
      <c r="AT65" t="s">
        <v>166</v>
      </c>
      <c r="AU65" t="s">
        <v>166</v>
      </c>
      <c r="AV65" t="s">
        <v>166</v>
      </c>
      <c r="AW65" t="s">
        <v>166</v>
      </c>
      <c r="AX65" t="s">
        <v>166</v>
      </c>
      <c r="AY65" t="s">
        <v>190</v>
      </c>
      <c r="AZ65" t="s">
        <v>166</v>
      </c>
      <c r="BA65" t="s">
        <v>166</v>
      </c>
      <c r="BB65" t="s">
        <v>166</v>
      </c>
      <c r="BC65" t="s">
        <v>166</v>
      </c>
      <c r="BD65" t="s">
        <v>166</v>
      </c>
      <c r="BE65" t="s">
        <v>166</v>
      </c>
      <c r="BF65" t="s">
        <v>166</v>
      </c>
      <c r="BG65" s="151" t="s">
        <v>321</v>
      </c>
      <c r="BH65" s="149" t="s">
        <v>192</v>
      </c>
      <c r="BI65" t="s">
        <v>166</v>
      </c>
      <c r="BJ65" s="152" t="s">
        <v>166</v>
      </c>
      <c r="BK65" t="s">
        <v>333</v>
      </c>
      <c r="BL65" t="s">
        <v>194</v>
      </c>
      <c r="BM65" t="s">
        <v>195</v>
      </c>
      <c r="BN65" t="s">
        <v>166</v>
      </c>
      <c r="BO65" t="s">
        <v>166</v>
      </c>
      <c r="BP65" t="s">
        <v>166</v>
      </c>
      <c r="BQ65" s="150">
        <v>13.58598668310659</v>
      </c>
      <c r="BR65" t="s">
        <v>196</v>
      </c>
      <c r="BS65" s="150">
        <v>0.24596248793725273</v>
      </c>
      <c r="BT65">
        <v>1</v>
      </c>
      <c r="BU65" t="s">
        <v>197</v>
      </c>
      <c r="BV65" t="s">
        <v>166</v>
      </c>
      <c r="BW65">
        <v>0</v>
      </c>
      <c r="BX65" t="s">
        <v>197</v>
      </c>
      <c r="BY65" t="s">
        <v>166</v>
      </c>
      <c r="BZ65" t="s">
        <v>198</v>
      </c>
      <c r="CA65" t="s">
        <v>166</v>
      </c>
      <c r="CB65" s="150">
        <v>13.58598668310659</v>
      </c>
      <c r="CC65" t="s">
        <v>196</v>
      </c>
      <c r="CD65" s="150">
        <v>0.24596248793725273</v>
      </c>
      <c r="CE65" t="s">
        <v>199</v>
      </c>
      <c r="CF65" t="s">
        <v>166</v>
      </c>
      <c r="CG65" t="s">
        <v>200</v>
      </c>
      <c r="CH65" t="s">
        <v>166</v>
      </c>
      <c r="CI65" t="s">
        <v>166</v>
      </c>
      <c r="CJ65" s="139">
        <v>34.065118717293494</v>
      </c>
      <c r="CK65" t="s">
        <v>201</v>
      </c>
      <c r="CL65">
        <v>2</v>
      </c>
      <c r="CM65">
        <v>2</v>
      </c>
      <c r="CN65" t="s">
        <v>166</v>
      </c>
      <c r="CO65" s="139">
        <v>3.7105005517962906</v>
      </c>
      <c r="CP65" t="s">
        <v>166</v>
      </c>
      <c r="CQ65" t="s">
        <v>166</v>
      </c>
      <c r="CR65" t="s">
        <v>166</v>
      </c>
      <c r="CS65" s="153" t="s">
        <v>202</v>
      </c>
      <c r="CT65" t="s">
        <v>203</v>
      </c>
      <c r="CU65">
        <v>2.2000000000000002</v>
      </c>
      <c r="CV65" t="s">
        <v>204</v>
      </c>
      <c r="CW65" t="s">
        <v>166</v>
      </c>
      <c r="CX65" t="s">
        <v>166</v>
      </c>
      <c r="CY65" t="s">
        <v>166</v>
      </c>
      <c r="CZ65" t="s">
        <v>166</v>
      </c>
      <c r="DA65" s="154" t="s">
        <v>166</v>
      </c>
      <c r="DB65" t="s">
        <v>166</v>
      </c>
      <c r="DC65" t="s">
        <v>166</v>
      </c>
      <c r="DD65" t="s">
        <v>166</v>
      </c>
      <c r="DE65" t="s">
        <v>166</v>
      </c>
      <c r="DF65" t="s">
        <v>205</v>
      </c>
      <c r="DG65">
        <v>35</v>
      </c>
      <c r="DH65" t="s">
        <v>201</v>
      </c>
      <c r="DI65">
        <v>1</v>
      </c>
      <c r="DJ65" t="s">
        <v>206</v>
      </c>
      <c r="DK65">
        <v>17</v>
      </c>
      <c r="DL65" t="s">
        <v>166</v>
      </c>
      <c r="DM65" t="s">
        <v>166</v>
      </c>
      <c r="DN65" t="s">
        <v>207</v>
      </c>
      <c r="DO65">
        <v>38</v>
      </c>
      <c r="DP65" t="s">
        <v>208</v>
      </c>
      <c r="DQ65">
        <v>3</v>
      </c>
      <c r="DR65" t="s">
        <v>209</v>
      </c>
      <c r="DS65" t="s">
        <v>166</v>
      </c>
      <c r="DT65" t="s">
        <v>166</v>
      </c>
      <c r="DU65" t="s">
        <v>166</v>
      </c>
      <c r="DV65" t="s">
        <v>166</v>
      </c>
      <c r="DW65">
        <v>432.6</v>
      </c>
      <c r="DX65" t="s">
        <v>166</v>
      </c>
      <c r="DY65" t="s">
        <v>166</v>
      </c>
      <c r="DZ65" t="s">
        <v>210</v>
      </c>
      <c r="EA65" t="s">
        <v>211</v>
      </c>
      <c r="EB65" t="s">
        <v>212</v>
      </c>
      <c r="EC65" t="s">
        <v>166</v>
      </c>
      <c r="ED65" t="s">
        <v>213</v>
      </c>
      <c r="EE65" s="155" t="s">
        <v>214</v>
      </c>
      <c r="EF65" s="155" t="s">
        <v>214</v>
      </c>
      <c r="EG65">
        <v>1.0271999999999999</v>
      </c>
      <c r="EH65" t="s">
        <v>215</v>
      </c>
      <c r="EI65" t="s">
        <v>215</v>
      </c>
      <c r="EJ65" t="s">
        <v>216</v>
      </c>
      <c r="EK65" t="s">
        <v>215</v>
      </c>
      <c r="EL65" t="s">
        <v>215</v>
      </c>
      <c r="EM65" t="s">
        <v>217</v>
      </c>
      <c r="EN65" s="156" t="s">
        <v>214</v>
      </c>
      <c r="EO65" s="156" t="s">
        <v>214</v>
      </c>
      <c r="EP65" s="156" t="s">
        <v>214</v>
      </c>
      <c r="EQ65" s="156" t="s">
        <v>214</v>
      </c>
      <c r="ET65" t="s">
        <v>218</v>
      </c>
      <c r="EU65" t="s">
        <v>219</v>
      </c>
      <c r="EV65" t="s">
        <v>213</v>
      </c>
      <c r="EW65" t="s">
        <v>166</v>
      </c>
      <c r="EX65" t="s">
        <v>166</v>
      </c>
      <c r="EY65" t="s">
        <v>166</v>
      </c>
      <c r="EZ65" t="s">
        <v>166</v>
      </c>
      <c r="FA65" s="157">
        <v>4.5</v>
      </c>
      <c r="FB65" t="s">
        <v>220</v>
      </c>
      <c r="FC65" s="157">
        <v>1</v>
      </c>
      <c r="FD65" s="157">
        <v>1</v>
      </c>
      <c r="FE65" s="164">
        <v>7.5225661495523903</v>
      </c>
      <c r="FF65" t="s">
        <v>221</v>
      </c>
      <c r="FG65" s="164">
        <v>4.1207833701559338E-2</v>
      </c>
      <c r="FH65" s="164">
        <v>4.7341318546960665E-2</v>
      </c>
      <c r="FI65" s="144">
        <v>1735.79483360379</v>
      </c>
      <c r="FJ65" t="s">
        <v>166</v>
      </c>
      <c r="FK65" t="s">
        <v>166</v>
      </c>
      <c r="FL65" s="144">
        <f t="shared" si="2"/>
        <v>1735.79483360379</v>
      </c>
      <c r="FM65" s="144">
        <v>487.79669833901994</v>
      </c>
      <c r="FN65" s="144">
        <v>418.07849043874012</v>
      </c>
      <c r="FO65" t="s">
        <v>222</v>
      </c>
      <c r="FP65" t="s">
        <v>223</v>
      </c>
      <c r="FQ65" s="144" t="s">
        <v>166</v>
      </c>
      <c r="FR65" s="144" t="s">
        <v>166</v>
      </c>
      <c r="FS65" s="144" t="s">
        <v>166</v>
      </c>
      <c r="FT65" s="144" t="s">
        <v>166</v>
      </c>
      <c r="FU65" s="144" t="s">
        <v>166</v>
      </c>
      <c r="FV65" s="144" t="s">
        <v>166</v>
      </c>
      <c r="FW65" s="144" t="s">
        <v>166</v>
      </c>
      <c r="FX65" s="144" t="s">
        <v>166</v>
      </c>
      <c r="FY65" s="144" t="s">
        <v>166</v>
      </c>
      <c r="FZ65" s="144" t="s">
        <v>166</v>
      </c>
      <c r="GA65" s="144" t="s">
        <v>166</v>
      </c>
      <c r="GB65" s="144" t="s">
        <v>166</v>
      </c>
      <c r="GC65" s="158" t="s">
        <v>224</v>
      </c>
    </row>
    <row r="66" spans="1:191" ht="17">
      <c r="A66" s="140" t="s">
        <v>162</v>
      </c>
      <c r="B66" s="143" t="s">
        <v>163</v>
      </c>
      <c r="C66" s="140" t="s">
        <v>164</v>
      </c>
      <c r="D66" s="140" t="s">
        <v>165</v>
      </c>
      <c r="E66" s="140">
        <v>2020</v>
      </c>
      <c r="F66" t="s">
        <v>184</v>
      </c>
      <c r="G66" s="139">
        <v>51288.524627685547</v>
      </c>
      <c r="H66" s="147">
        <f t="shared" ref="H66" si="63">0.0083*G66^(0.9482)</f>
        <v>242.72765040944543</v>
      </c>
      <c r="I66" s="147">
        <f t="shared" si="1"/>
        <v>242.72765040944543</v>
      </c>
      <c r="J66" s="144">
        <v>1881.7162980053199</v>
      </c>
      <c r="K66" s="144">
        <v>580.64762670691016</v>
      </c>
      <c r="L66" s="144">
        <v>450.59329620396011</v>
      </c>
      <c r="M66" s="140" t="b">
        <v>1</v>
      </c>
      <c r="N66" s="140">
        <v>1</v>
      </c>
      <c r="O66" s="302" t="s">
        <v>581</v>
      </c>
      <c r="P66" s="140" t="s">
        <v>166</v>
      </c>
      <c r="Q66" s="140" t="s">
        <v>166</v>
      </c>
      <c r="R66" s="140" t="s">
        <v>166</v>
      </c>
      <c r="S66" s="140" t="b">
        <v>1</v>
      </c>
      <c r="T66" s="140" t="b">
        <v>0</v>
      </c>
      <c r="U66" s="140" t="s">
        <v>166</v>
      </c>
      <c r="V66" s="140" t="b">
        <v>0</v>
      </c>
      <c r="W66" s="140" t="b">
        <v>0</v>
      </c>
      <c r="X66" s="140" t="s">
        <v>580</v>
      </c>
      <c r="Y66" s="148" t="s">
        <v>186</v>
      </c>
      <c r="Z66" t="s">
        <v>184</v>
      </c>
      <c r="AA66" s="149">
        <v>1409</v>
      </c>
      <c r="AB66" s="149" t="s">
        <v>250</v>
      </c>
      <c r="AC66" s="149">
        <v>16</v>
      </c>
      <c r="AD66" s="149" t="s">
        <v>309</v>
      </c>
      <c r="AE66" t="s">
        <v>166</v>
      </c>
      <c r="AF66" t="s">
        <v>166</v>
      </c>
      <c r="AG66" s="150">
        <v>131.24</v>
      </c>
      <c r="AH66" t="s">
        <v>166</v>
      </c>
      <c r="AI66" t="s">
        <v>166</v>
      </c>
      <c r="AJ66" t="s">
        <v>310</v>
      </c>
      <c r="AK66">
        <v>41.295653000000001</v>
      </c>
      <c r="AL66">
        <v>-49.233088000000002</v>
      </c>
      <c r="AM66">
        <v>30.967609405517578</v>
      </c>
      <c r="AN66" t="s">
        <v>166</v>
      </c>
      <c r="AO66">
        <v>-3500</v>
      </c>
      <c r="AP66">
        <v>-3050</v>
      </c>
      <c r="AQ66" t="s">
        <v>334</v>
      </c>
      <c r="AR66" t="s">
        <v>166</v>
      </c>
      <c r="AS66" s="150">
        <v>51.288524627685547</v>
      </c>
      <c r="AT66" t="s">
        <v>166</v>
      </c>
      <c r="AU66" t="s">
        <v>166</v>
      </c>
      <c r="AV66" t="s">
        <v>166</v>
      </c>
      <c r="AW66" t="s">
        <v>166</v>
      </c>
      <c r="AX66" t="s">
        <v>166</v>
      </c>
      <c r="AY66" t="s">
        <v>190</v>
      </c>
      <c r="AZ66" t="s">
        <v>166</v>
      </c>
      <c r="BA66" t="s">
        <v>166</v>
      </c>
      <c r="BB66" t="s">
        <v>166</v>
      </c>
      <c r="BC66" t="s">
        <v>166</v>
      </c>
      <c r="BD66" t="s">
        <v>166</v>
      </c>
      <c r="BE66" t="s">
        <v>166</v>
      </c>
      <c r="BF66" t="s">
        <v>166</v>
      </c>
      <c r="BG66" s="151" t="s">
        <v>314</v>
      </c>
      <c r="BH66" s="149" t="s">
        <v>263</v>
      </c>
      <c r="BI66" t="s">
        <v>166</v>
      </c>
      <c r="BJ66" s="152" t="s">
        <v>166</v>
      </c>
      <c r="BK66" t="s">
        <v>335</v>
      </c>
      <c r="BL66" t="s">
        <v>194</v>
      </c>
      <c r="BM66" t="s">
        <v>195</v>
      </c>
      <c r="BN66" t="s">
        <v>166</v>
      </c>
      <c r="BO66" t="s">
        <v>166</v>
      </c>
      <c r="BP66" t="s">
        <v>166</v>
      </c>
      <c r="BQ66" s="150">
        <v>13.484431549728537</v>
      </c>
      <c r="BR66" t="s">
        <v>196</v>
      </c>
      <c r="BS66" s="150">
        <v>0.24284273893489644</v>
      </c>
      <c r="BT66">
        <v>1</v>
      </c>
      <c r="BU66" t="s">
        <v>197</v>
      </c>
      <c r="BV66" t="s">
        <v>166</v>
      </c>
      <c r="BW66">
        <v>0</v>
      </c>
      <c r="BX66" t="s">
        <v>197</v>
      </c>
      <c r="BY66" t="s">
        <v>166</v>
      </c>
      <c r="BZ66" t="s">
        <v>198</v>
      </c>
      <c r="CA66" t="s">
        <v>166</v>
      </c>
      <c r="CB66" s="150">
        <v>13.484431549728537</v>
      </c>
      <c r="CC66" t="s">
        <v>196</v>
      </c>
      <c r="CD66" s="150">
        <v>0.24284273893489644</v>
      </c>
      <c r="CE66" t="s">
        <v>199</v>
      </c>
      <c r="CF66" t="s">
        <v>166</v>
      </c>
      <c r="CG66" t="s">
        <v>200</v>
      </c>
      <c r="CH66" t="s">
        <v>166</v>
      </c>
      <c r="CI66" t="s">
        <v>166</v>
      </c>
      <c r="CJ66" s="139">
        <v>33.729822858202212</v>
      </c>
      <c r="CK66" t="s">
        <v>201</v>
      </c>
      <c r="CL66">
        <v>2</v>
      </c>
      <c r="CM66">
        <v>2</v>
      </c>
      <c r="CN66" t="s">
        <v>166</v>
      </c>
      <c r="CO66" s="139">
        <v>3.6410356897849883</v>
      </c>
      <c r="CP66" t="s">
        <v>166</v>
      </c>
      <c r="CQ66" t="s">
        <v>166</v>
      </c>
      <c r="CR66" t="s">
        <v>166</v>
      </c>
      <c r="CS66" s="153" t="s">
        <v>202</v>
      </c>
      <c r="CT66" t="s">
        <v>203</v>
      </c>
      <c r="CU66">
        <v>2.2000000000000002</v>
      </c>
      <c r="CV66" t="s">
        <v>204</v>
      </c>
      <c r="CW66" t="s">
        <v>166</v>
      </c>
      <c r="CX66" t="s">
        <v>166</v>
      </c>
      <c r="CY66" t="s">
        <v>166</v>
      </c>
      <c r="CZ66" t="s">
        <v>166</v>
      </c>
      <c r="DA66" s="154" t="s">
        <v>166</v>
      </c>
      <c r="DB66" t="s">
        <v>166</v>
      </c>
      <c r="DC66" t="s">
        <v>166</v>
      </c>
      <c r="DD66" t="s">
        <v>166</v>
      </c>
      <c r="DE66" t="s">
        <v>166</v>
      </c>
      <c r="DF66" t="s">
        <v>205</v>
      </c>
      <c r="DG66">
        <v>35</v>
      </c>
      <c r="DH66" t="s">
        <v>201</v>
      </c>
      <c r="DI66">
        <v>1</v>
      </c>
      <c r="DJ66" t="s">
        <v>206</v>
      </c>
      <c r="DK66">
        <v>17</v>
      </c>
      <c r="DL66" t="s">
        <v>166</v>
      </c>
      <c r="DM66" t="s">
        <v>166</v>
      </c>
      <c r="DN66" t="s">
        <v>207</v>
      </c>
      <c r="DO66">
        <v>38</v>
      </c>
      <c r="DP66" t="s">
        <v>208</v>
      </c>
      <c r="DQ66">
        <v>3</v>
      </c>
      <c r="DR66" t="s">
        <v>209</v>
      </c>
      <c r="DS66" t="s">
        <v>166</v>
      </c>
      <c r="DT66" t="s">
        <v>166</v>
      </c>
      <c r="DU66" t="s">
        <v>166</v>
      </c>
      <c r="DV66" t="s">
        <v>166</v>
      </c>
      <c r="DW66">
        <v>432.6</v>
      </c>
      <c r="DX66" t="s">
        <v>166</v>
      </c>
      <c r="DY66" t="s">
        <v>166</v>
      </c>
      <c r="DZ66" t="s">
        <v>210</v>
      </c>
      <c r="EA66" t="s">
        <v>211</v>
      </c>
      <c r="EB66" t="s">
        <v>212</v>
      </c>
      <c r="EC66" t="s">
        <v>166</v>
      </c>
      <c r="ED66" t="s">
        <v>213</v>
      </c>
      <c r="EE66" s="155" t="s">
        <v>214</v>
      </c>
      <c r="EF66" s="155" t="s">
        <v>214</v>
      </c>
      <c r="EG66">
        <v>1.0271999999999999</v>
      </c>
      <c r="EH66" t="s">
        <v>215</v>
      </c>
      <c r="EI66" t="s">
        <v>215</v>
      </c>
      <c r="EJ66" t="s">
        <v>216</v>
      </c>
      <c r="EK66" t="s">
        <v>215</v>
      </c>
      <c r="EL66" t="s">
        <v>215</v>
      </c>
      <c r="EM66" t="s">
        <v>217</v>
      </c>
      <c r="EN66" s="156" t="s">
        <v>214</v>
      </c>
      <c r="EO66" s="156" t="s">
        <v>214</v>
      </c>
      <c r="EP66" s="156" t="s">
        <v>214</v>
      </c>
      <c r="EQ66" s="156" t="s">
        <v>214</v>
      </c>
      <c r="ET66" t="s">
        <v>218</v>
      </c>
      <c r="EU66" t="s">
        <v>219</v>
      </c>
      <c r="EV66" t="s">
        <v>213</v>
      </c>
      <c r="EW66" t="s">
        <v>166</v>
      </c>
      <c r="EX66" t="s">
        <v>166</v>
      </c>
      <c r="EY66" t="s">
        <v>166</v>
      </c>
      <c r="EZ66" t="s">
        <v>166</v>
      </c>
      <c r="FA66" s="157">
        <v>4.5</v>
      </c>
      <c r="FB66" t="s">
        <v>220</v>
      </c>
      <c r="FC66" s="157">
        <v>1</v>
      </c>
      <c r="FD66" s="157">
        <v>1</v>
      </c>
      <c r="FE66" s="150">
        <v>7.5050682322225502</v>
      </c>
      <c r="FF66" t="s">
        <v>221</v>
      </c>
      <c r="FG66" s="150">
        <v>4.5588233023280189E-2</v>
      </c>
      <c r="FH66" s="150">
        <v>4.9102012057470112E-2</v>
      </c>
      <c r="FI66" s="144">
        <v>1881.7162980053199</v>
      </c>
      <c r="FJ66" t="s">
        <v>166</v>
      </c>
      <c r="FK66" t="s">
        <v>166</v>
      </c>
      <c r="FL66" s="144">
        <f t="shared" si="2"/>
        <v>1881.7162980053199</v>
      </c>
      <c r="FM66" s="144">
        <v>580.64762670691016</v>
      </c>
      <c r="FN66" s="144">
        <v>450.59329620396011</v>
      </c>
      <c r="FO66" t="s">
        <v>222</v>
      </c>
      <c r="FP66" t="s">
        <v>223</v>
      </c>
      <c r="FQ66" s="144" t="s">
        <v>166</v>
      </c>
      <c r="FR66" s="144" t="s">
        <v>166</v>
      </c>
      <c r="FS66" s="144" t="s">
        <v>166</v>
      </c>
      <c r="FT66" s="144" t="s">
        <v>166</v>
      </c>
      <c r="FU66" s="144" t="s">
        <v>166</v>
      </c>
      <c r="FV66" s="144" t="s">
        <v>166</v>
      </c>
      <c r="FW66" s="144" t="s">
        <v>166</v>
      </c>
      <c r="FX66" s="144" t="s">
        <v>166</v>
      </c>
      <c r="FY66" s="144" t="s">
        <v>166</v>
      </c>
      <c r="FZ66" s="144" t="s">
        <v>166</v>
      </c>
      <c r="GA66" s="144" t="s">
        <v>166</v>
      </c>
      <c r="GB66" s="144" t="s">
        <v>166</v>
      </c>
      <c r="GC66" s="158" t="s">
        <v>224</v>
      </c>
    </row>
    <row r="67" spans="1:191" ht="17">
      <c r="A67" s="140" t="s">
        <v>162</v>
      </c>
      <c r="B67" s="143" t="s">
        <v>163</v>
      </c>
      <c r="C67" s="140" t="s">
        <v>164</v>
      </c>
      <c r="D67" s="140" t="s">
        <v>165</v>
      </c>
      <c r="E67" s="140">
        <v>2020</v>
      </c>
      <c r="F67" t="s">
        <v>184</v>
      </c>
      <c r="G67" s="139">
        <v>51604.892730712891</v>
      </c>
      <c r="H67" s="147">
        <f t="shared" ref="H67" si="64">0.0083*G67^(0.9482)</f>
        <v>244.14710808523742</v>
      </c>
      <c r="I67" s="147">
        <f t="shared" si="1"/>
        <v>244.14710808523742</v>
      </c>
      <c r="J67" s="144">
        <v>1123.6408165416699</v>
      </c>
      <c r="K67" s="144">
        <v>330.25059942215012</v>
      </c>
      <c r="L67" s="144">
        <v>251.24556692269084</v>
      </c>
      <c r="M67" s="140" t="b">
        <v>1</v>
      </c>
      <c r="N67" s="140">
        <v>1</v>
      </c>
      <c r="O67" s="302" t="s">
        <v>581</v>
      </c>
      <c r="P67" s="140" t="s">
        <v>166</v>
      </c>
      <c r="Q67" s="140" t="s">
        <v>166</v>
      </c>
      <c r="R67" s="140" t="s">
        <v>166</v>
      </c>
      <c r="S67" s="140" t="b">
        <v>1</v>
      </c>
      <c r="T67" s="140" t="b">
        <v>0</v>
      </c>
      <c r="U67" s="140" t="s">
        <v>166</v>
      </c>
      <c r="V67" s="140" t="b">
        <v>0</v>
      </c>
      <c r="W67" s="140" t="b">
        <v>0</v>
      </c>
      <c r="X67" s="140" t="s">
        <v>580</v>
      </c>
      <c r="Y67" s="148" t="s">
        <v>186</v>
      </c>
      <c r="Z67" t="s">
        <v>184</v>
      </c>
      <c r="AA67" s="149">
        <v>1409</v>
      </c>
      <c r="AB67" s="149" t="s">
        <v>250</v>
      </c>
      <c r="AC67" s="149">
        <v>17</v>
      </c>
      <c r="AD67" s="149">
        <v>3</v>
      </c>
      <c r="AE67" t="s">
        <v>166</v>
      </c>
      <c r="AF67" t="s">
        <v>166</v>
      </c>
      <c r="AG67" s="149">
        <v>134.81</v>
      </c>
      <c r="AH67" t="s">
        <v>166</v>
      </c>
      <c r="AI67" t="s">
        <v>166</v>
      </c>
      <c r="AJ67" t="s">
        <v>310</v>
      </c>
      <c r="AK67">
        <v>41.295653000000001</v>
      </c>
      <c r="AL67">
        <v>-49.233088000000002</v>
      </c>
      <c r="AM67">
        <v>30.97471809387207</v>
      </c>
      <c r="AN67" t="s">
        <v>166</v>
      </c>
      <c r="AO67">
        <v>-3500</v>
      </c>
      <c r="AP67">
        <v>-3050</v>
      </c>
      <c r="AQ67" t="s">
        <v>336</v>
      </c>
      <c r="AR67" t="s">
        <v>166</v>
      </c>
      <c r="AS67" s="164">
        <v>51.604892730712891</v>
      </c>
      <c r="AT67" t="s">
        <v>166</v>
      </c>
      <c r="AU67" t="s">
        <v>166</v>
      </c>
      <c r="AV67" t="s">
        <v>166</v>
      </c>
      <c r="AW67" t="s">
        <v>166</v>
      </c>
      <c r="AX67" t="s">
        <v>166</v>
      </c>
      <c r="AY67" t="s">
        <v>190</v>
      </c>
      <c r="AZ67" t="s">
        <v>166</v>
      </c>
      <c r="BA67" t="s">
        <v>166</v>
      </c>
      <c r="BB67" t="s">
        <v>166</v>
      </c>
      <c r="BC67" t="s">
        <v>166</v>
      </c>
      <c r="BD67" t="s">
        <v>166</v>
      </c>
      <c r="BE67" t="s">
        <v>166</v>
      </c>
      <c r="BF67" t="s">
        <v>166</v>
      </c>
      <c r="BG67" s="151" t="s">
        <v>337</v>
      </c>
      <c r="BH67" s="149" t="s">
        <v>192</v>
      </c>
      <c r="BI67" t="s">
        <v>166</v>
      </c>
      <c r="BJ67" s="152" t="s">
        <v>166</v>
      </c>
      <c r="BK67" t="s">
        <v>338</v>
      </c>
      <c r="BL67" t="s">
        <v>194</v>
      </c>
      <c r="BM67" t="s">
        <v>195</v>
      </c>
      <c r="BN67" t="s">
        <v>166</v>
      </c>
      <c r="BO67" t="s">
        <v>166</v>
      </c>
      <c r="BP67" t="s">
        <v>166</v>
      </c>
      <c r="BQ67" s="150">
        <v>14.173401579817352</v>
      </c>
      <c r="BR67" t="s">
        <v>196</v>
      </c>
      <c r="BS67" s="150">
        <v>0.26083391381171461</v>
      </c>
      <c r="BT67">
        <v>1</v>
      </c>
      <c r="BU67" t="s">
        <v>197</v>
      </c>
      <c r="BV67" t="s">
        <v>166</v>
      </c>
      <c r="BW67">
        <v>0</v>
      </c>
      <c r="BX67" t="s">
        <v>197</v>
      </c>
      <c r="BY67" t="s">
        <v>166</v>
      </c>
      <c r="BZ67" t="s">
        <v>198</v>
      </c>
      <c r="CA67" t="s">
        <v>166</v>
      </c>
      <c r="CB67" s="150">
        <v>14.173401579817352</v>
      </c>
      <c r="CC67" t="s">
        <v>196</v>
      </c>
      <c r="CD67" s="150">
        <v>0.26083391381171461</v>
      </c>
      <c r="CE67" t="s">
        <v>199</v>
      </c>
      <c r="CF67" t="s">
        <v>166</v>
      </c>
      <c r="CG67" t="s">
        <v>200</v>
      </c>
      <c r="CH67" t="s">
        <v>166</v>
      </c>
      <c r="CI67" t="s">
        <v>166</v>
      </c>
      <c r="CJ67" s="139">
        <v>34.964601888846929</v>
      </c>
      <c r="CK67" t="s">
        <v>201</v>
      </c>
      <c r="CL67">
        <v>2</v>
      </c>
      <c r="CM67">
        <v>2</v>
      </c>
      <c r="CN67" t="s">
        <v>166</v>
      </c>
      <c r="CO67" s="139">
        <v>3.9034674841497661</v>
      </c>
      <c r="CP67" t="s">
        <v>166</v>
      </c>
      <c r="CQ67" t="s">
        <v>166</v>
      </c>
      <c r="CR67" t="s">
        <v>166</v>
      </c>
      <c r="CS67" s="153" t="s">
        <v>202</v>
      </c>
      <c r="CT67" t="s">
        <v>203</v>
      </c>
      <c r="CU67">
        <v>2.2000000000000002</v>
      </c>
      <c r="CV67" t="s">
        <v>204</v>
      </c>
      <c r="CW67" t="s">
        <v>166</v>
      </c>
      <c r="CX67" t="s">
        <v>166</v>
      </c>
      <c r="CY67" t="s">
        <v>166</v>
      </c>
      <c r="CZ67" t="s">
        <v>166</v>
      </c>
      <c r="DA67" s="154" t="s">
        <v>166</v>
      </c>
      <c r="DB67" t="s">
        <v>166</v>
      </c>
      <c r="DC67" t="s">
        <v>166</v>
      </c>
      <c r="DD67" t="s">
        <v>166</v>
      </c>
      <c r="DE67" t="s">
        <v>166</v>
      </c>
      <c r="DF67" t="s">
        <v>205</v>
      </c>
      <c r="DG67">
        <v>35</v>
      </c>
      <c r="DH67" t="s">
        <v>201</v>
      </c>
      <c r="DI67">
        <v>1</v>
      </c>
      <c r="DJ67" t="s">
        <v>206</v>
      </c>
      <c r="DK67">
        <v>17</v>
      </c>
      <c r="DL67" t="s">
        <v>166</v>
      </c>
      <c r="DM67" t="s">
        <v>166</v>
      </c>
      <c r="DN67" t="s">
        <v>207</v>
      </c>
      <c r="DO67">
        <v>38</v>
      </c>
      <c r="DP67" t="s">
        <v>208</v>
      </c>
      <c r="DQ67">
        <v>3</v>
      </c>
      <c r="DR67" t="s">
        <v>209</v>
      </c>
      <c r="DS67" t="s">
        <v>166</v>
      </c>
      <c r="DT67" t="s">
        <v>166</v>
      </c>
      <c r="DU67" t="s">
        <v>166</v>
      </c>
      <c r="DV67" t="s">
        <v>166</v>
      </c>
      <c r="DW67">
        <v>432.6</v>
      </c>
      <c r="DX67" t="s">
        <v>166</v>
      </c>
      <c r="DY67" t="s">
        <v>166</v>
      </c>
      <c r="DZ67" t="s">
        <v>210</v>
      </c>
      <c r="EA67" t="s">
        <v>211</v>
      </c>
      <c r="EB67" t="s">
        <v>212</v>
      </c>
      <c r="EC67" t="s">
        <v>166</v>
      </c>
      <c r="ED67" t="s">
        <v>213</v>
      </c>
      <c r="EE67" s="155" t="s">
        <v>214</v>
      </c>
      <c r="EF67" s="155" t="s">
        <v>214</v>
      </c>
      <c r="EG67">
        <v>1.0271999999999999</v>
      </c>
      <c r="EH67" t="s">
        <v>215</v>
      </c>
      <c r="EI67" t="s">
        <v>215</v>
      </c>
      <c r="EJ67" t="s">
        <v>216</v>
      </c>
      <c r="EK67" t="s">
        <v>215</v>
      </c>
      <c r="EL67" t="s">
        <v>215</v>
      </c>
      <c r="EM67" t="s">
        <v>217</v>
      </c>
      <c r="EN67" s="156" t="s">
        <v>214</v>
      </c>
      <c r="EO67" s="156" t="s">
        <v>214</v>
      </c>
      <c r="EP67" s="156" t="s">
        <v>214</v>
      </c>
      <c r="EQ67" s="156" t="s">
        <v>214</v>
      </c>
      <c r="ET67" t="s">
        <v>218</v>
      </c>
      <c r="EU67" t="s">
        <v>219</v>
      </c>
      <c r="EV67" t="s">
        <v>213</v>
      </c>
      <c r="EW67" t="s">
        <v>166</v>
      </c>
      <c r="EX67" t="s">
        <v>166</v>
      </c>
      <c r="EY67" t="s">
        <v>166</v>
      </c>
      <c r="EZ67" t="s">
        <v>166</v>
      </c>
      <c r="FA67" s="157">
        <v>4.5</v>
      </c>
      <c r="FB67" t="s">
        <v>220</v>
      </c>
      <c r="FC67" s="157">
        <v>1</v>
      </c>
      <c r="FD67" s="157">
        <v>1</v>
      </c>
      <c r="FE67" s="164">
        <v>7.6082031276513202</v>
      </c>
      <c r="FF67" t="s">
        <v>221</v>
      </c>
      <c r="FG67" s="164">
        <v>3.8610643555159641E-2</v>
      </c>
      <c r="FH67" s="164">
        <v>3.9667410934650427E-2</v>
      </c>
      <c r="FI67" s="144">
        <v>1123.6408165416699</v>
      </c>
      <c r="FJ67" t="s">
        <v>166</v>
      </c>
      <c r="FK67" t="s">
        <v>166</v>
      </c>
      <c r="FL67" s="144">
        <f t="shared" si="2"/>
        <v>1123.6408165416699</v>
      </c>
      <c r="FM67" s="144">
        <v>330.25059942215012</v>
      </c>
      <c r="FN67" s="144">
        <v>251.24556692269084</v>
      </c>
      <c r="FO67" t="s">
        <v>222</v>
      </c>
      <c r="FP67" t="s">
        <v>223</v>
      </c>
      <c r="FQ67" s="144" t="s">
        <v>166</v>
      </c>
      <c r="FR67" s="144" t="s">
        <v>166</v>
      </c>
      <c r="FS67" s="144" t="s">
        <v>166</v>
      </c>
      <c r="FT67" s="144" t="s">
        <v>166</v>
      </c>
      <c r="FU67" s="144" t="s">
        <v>166</v>
      </c>
      <c r="FV67" s="144" t="s">
        <v>166</v>
      </c>
      <c r="FW67" s="144" t="s">
        <v>166</v>
      </c>
      <c r="FX67" s="144" t="s">
        <v>166</v>
      </c>
      <c r="FY67" s="144" t="s">
        <v>166</v>
      </c>
      <c r="FZ67" s="144" t="s">
        <v>166</v>
      </c>
      <c r="GA67" s="144" t="s">
        <v>166</v>
      </c>
      <c r="GB67" s="144" t="s">
        <v>166</v>
      </c>
      <c r="GC67" s="158" t="s">
        <v>224</v>
      </c>
    </row>
    <row r="68" spans="1:191" ht="17">
      <c r="A68" s="140" t="s">
        <v>162</v>
      </c>
      <c r="B68" s="143" t="s">
        <v>163</v>
      </c>
      <c r="C68" s="140" t="s">
        <v>164</v>
      </c>
      <c r="D68" s="140" t="s">
        <v>165</v>
      </c>
      <c r="E68" s="140">
        <v>2020</v>
      </c>
      <c r="F68" t="s">
        <v>184</v>
      </c>
      <c r="G68" s="139">
        <v>51631.473541259766</v>
      </c>
      <c r="H68" s="147">
        <f t="shared" ref="H68" si="65">0.0083*G68^(0.9482)</f>
        <v>244.26634839156904</v>
      </c>
      <c r="I68" s="147">
        <f t="shared" si="1"/>
        <v>244.26634839156904</v>
      </c>
      <c r="J68" s="144">
        <v>1276.02831837392</v>
      </c>
      <c r="K68" s="144">
        <v>365.30479541160003</v>
      </c>
      <c r="L68" s="144">
        <v>300.758134635484</v>
      </c>
      <c r="M68" s="140" t="b">
        <v>1</v>
      </c>
      <c r="N68" s="140">
        <v>1</v>
      </c>
      <c r="O68" s="302" t="s">
        <v>581</v>
      </c>
      <c r="P68" s="140" t="s">
        <v>166</v>
      </c>
      <c r="Q68" s="140" t="s">
        <v>166</v>
      </c>
      <c r="R68" s="140" t="s">
        <v>166</v>
      </c>
      <c r="S68" s="140" t="b">
        <v>1</v>
      </c>
      <c r="T68" s="140" t="b">
        <v>0</v>
      </c>
      <c r="U68" s="140" t="s">
        <v>166</v>
      </c>
      <c r="V68" s="140" t="b">
        <v>0</v>
      </c>
      <c r="W68" s="140" t="b">
        <v>0</v>
      </c>
      <c r="X68" s="140" t="s">
        <v>580</v>
      </c>
      <c r="Y68" s="148" t="s">
        <v>186</v>
      </c>
      <c r="Z68" t="s">
        <v>184</v>
      </c>
      <c r="AA68" s="149">
        <v>1409</v>
      </c>
      <c r="AB68" s="149" t="s">
        <v>250</v>
      </c>
      <c r="AC68" s="149">
        <v>17</v>
      </c>
      <c r="AD68" s="149">
        <v>3</v>
      </c>
      <c r="AE68" t="s">
        <v>166</v>
      </c>
      <c r="AF68" t="s">
        <v>166</v>
      </c>
      <c r="AG68" s="150">
        <v>135.11000000000001</v>
      </c>
      <c r="AH68" t="s">
        <v>166</v>
      </c>
      <c r="AI68" t="s">
        <v>166</v>
      </c>
      <c r="AJ68" t="s">
        <v>310</v>
      </c>
      <c r="AK68">
        <v>41.295653000000001</v>
      </c>
      <c r="AL68">
        <v>-49.233088000000002</v>
      </c>
      <c r="AM68">
        <v>30.975315093994141</v>
      </c>
      <c r="AN68" t="s">
        <v>166</v>
      </c>
      <c r="AO68">
        <v>-3500</v>
      </c>
      <c r="AP68">
        <v>-3050</v>
      </c>
      <c r="AQ68" t="s">
        <v>339</v>
      </c>
      <c r="AR68" t="s">
        <v>166</v>
      </c>
      <c r="AS68" s="150">
        <v>51.631473541259766</v>
      </c>
      <c r="AT68" t="s">
        <v>166</v>
      </c>
      <c r="AU68" t="s">
        <v>166</v>
      </c>
      <c r="AV68" t="s">
        <v>166</v>
      </c>
      <c r="AW68" t="s">
        <v>166</v>
      </c>
      <c r="AX68" t="s">
        <v>166</v>
      </c>
      <c r="AY68" t="s">
        <v>190</v>
      </c>
      <c r="AZ68" t="s">
        <v>166</v>
      </c>
      <c r="BA68" t="s">
        <v>166</v>
      </c>
      <c r="BB68" t="s">
        <v>166</v>
      </c>
      <c r="BC68" t="s">
        <v>166</v>
      </c>
      <c r="BD68" t="s">
        <v>166</v>
      </c>
      <c r="BE68" t="s">
        <v>166</v>
      </c>
      <c r="BF68" t="s">
        <v>166</v>
      </c>
      <c r="BG68" s="151" t="s">
        <v>337</v>
      </c>
      <c r="BH68" s="149" t="s">
        <v>192</v>
      </c>
      <c r="BI68" t="s">
        <v>166</v>
      </c>
      <c r="BJ68" s="152" t="s">
        <v>166</v>
      </c>
      <c r="BK68" t="s">
        <v>340</v>
      </c>
      <c r="BL68" t="s">
        <v>194</v>
      </c>
      <c r="BM68" t="s">
        <v>195</v>
      </c>
      <c r="BN68" t="s">
        <v>166</v>
      </c>
      <c r="BO68" t="s">
        <v>166</v>
      </c>
      <c r="BP68" t="s">
        <v>166</v>
      </c>
      <c r="BQ68" s="150">
        <v>13.978673676570672</v>
      </c>
      <c r="BR68" t="s">
        <v>196</v>
      </c>
      <c r="BS68" s="150">
        <v>0.2629590847793879</v>
      </c>
      <c r="BT68">
        <v>1</v>
      </c>
      <c r="BU68" t="s">
        <v>197</v>
      </c>
      <c r="BV68" t="s">
        <v>166</v>
      </c>
      <c r="BW68">
        <v>0</v>
      </c>
      <c r="BX68" t="s">
        <v>197</v>
      </c>
      <c r="BY68" t="s">
        <v>166</v>
      </c>
      <c r="BZ68" t="s">
        <v>198</v>
      </c>
      <c r="CA68" t="s">
        <v>166</v>
      </c>
      <c r="CB68" s="150">
        <v>13.978673676570672</v>
      </c>
      <c r="CC68" t="s">
        <v>196</v>
      </c>
      <c r="CD68" s="150">
        <v>0.2629590847793879</v>
      </c>
      <c r="CE68" t="s">
        <v>199</v>
      </c>
      <c r="CF68" t="s">
        <v>166</v>
      </c>
      <c r="CG68" t="s">
        <v>200</v>
      </c>
      <c r="CH68" t="s">
        <v>166</v>
      </c>
      <c r="CI68" t="s">
        <v>166</v>
      </c>
      <c r="CJ68" s="139">
        <v>34.413098438968689</v>
      </c>
      <c r="CK68" t="s">
        <v>201</v>
      </c>
      <c r="CL68">
        <v>2</v>
      </c>
      <c r="CM68">
        <v>2</v>
      </c>
      <c r="CN68" t="s">
        <v>166</v>
      </c>
      <c r="CO68" s="139">
        <v>3.7839949482991222</v>
      </c>
      <c r="CP68" t="s">
        <v>166</v>
      </c>
      <c r="CQ68" t="s">
        <v>166</v>
      </c>
      <c r="CR68" t="s">
        <v>166</v>
      </c>
      <c r="CS68" s="153" t="s">
        <v>202</v>
      </c>
      <c r="CT68" t="s">
        <v>203</v>
      </c>
      <c r="CU68">
        <v>2.2000000000000002</v>
      </c>
      <c r="CV68" t="s">
        <v>204</v>
      </c>
      <c r="CW68" t="s">
        <v>166</v>
      </c>
      <c r="CX68" t="s">
        <v>166</v>
      </c>
      <c r="CY68" t="s">
        <v>166</v>
      </c>
      <c r="CZ68" t="s">
        <v>166</v>
      </c>
      <c r="DA68" s="154" t="s">
        <v>166</v>
      </c>
      <c r="DB68" t="s">
        <v>166</v>
      </c>
      <c r="DC68" t="s">
        <v>166</v>
      </c>
      <c r="DD68" t="s">
        <v>166</v>
      </c>
      <c r="DE68" t="s">
        <v>166</v>
      </c>
      <c r="DF68" t="s">
        <v>205</v>
      </c>
      <c r="DG68">
        <v>35</v>
      </c>
      <c r="DH68" t="s">
        <v>201</v>
      </c>
      <c r="DI68">
        <v>1</v>
      </c>
      <c r="DJ68" t="s">
        <v>206</v>
      </c>
      <c r="DK68">
        <v>17</v>
      </c>
      <c r="DL68" t="s">
        <v>166</v>
      </c>
      <c r="DM68" t="s">
        <v>166</v>
      </c>
      <c r="DN68" t="s">
        <v>207</v>
      </c>
      <c r="DO68">
        <v>38</v>
      </c>
      <c r="DP68" t="s">
        <v>208</v>
      </c>
      <c r="DQ68">
        <v>3</v>
      </c>
      <c r="DR68" t="s">
        <v>209</v>
      </c>
      <c r="DS68" t="s">
        <v>166</v>
      </c>
      <c r="DT68" t="s">
        <v>166</v>
      </c>
      <c r="DU68" t="s">
        <v>166</v>
      </c>
      <c r="DV68" t="s">
        <v>166</v>
      </c>
      <c r="DW68">
        <v>432.6</v>
      </c>
      <c r="DX68" t="s">
        <v>166</v>
      </c>
      <c r="DY68" t="s">
        <v>166</v>
      </c>
      <c r="DZ68" t="s">
        <v>210</v>
      </c>
      <c r="EA68" t="s">
        <v>211</v>
      </c>
      <c r="EB68" t="s">
        <v>212</v>
      </c>
      <c r="EC68" t="s">
        <v>166</v>
      </c>
      <c r="ED68" t="s">
        <v>213</v>
      </c>
      <c r="EE68" s="155" t="s">
        <v>214</v>
      </c>
      <c r="EF68" s="155" t="s">
        <v>214</v>
      </c>
      <c r="EG68">
        <v>1.0271999999999999</v>
      </c>
      <c r="EH68" t="s">
        <v>215</v>
      </c>
      <c r="EI68" t="s">
        <v>215</v>
      </c>
      <c r="EJ68" t="s">
        <v>216</v>
      </c>
      <c r="EK68" t="s">
        <v>215</v>
      </c>
      <c r="EL68" t="s">
        <v>215</v>
      </c>
      <c r="EM68" t="s">
        <v>217</v>
      </c>
      <c r="EN68" s="156" t="s">
        <v>214</v>
      </c>
      <c r="EO68" s="156" t="s">
        <v>214</v>
      </c>
      <c r="EP68" s="156" t="s">
        <v>214</v>
      </c>
      <c r="EQ68" s="156" t="s">
        <v>214</v>
      </c>
      <c r="ET68" t="s">
        <v>218</v>
      </c>
      <c r="EU68" t="s">
        <v>219</v>
      </c>
      <c r="EV68" t="s">
        <v>213</v>
      </c>
      <c r="EW68" t="s">
        <v>166</v>
      </c>
      <c r="EX68" t="s">
        <v>166</v>
      </c>
      <c r="EY68" t="s">
        <v>166</v>
      </c>
      <c r="EZ68" t="s">
        <v>166</v>
      </c>
      <c r="FA68" s="157">
        <v>4.5</v>
      </c>
      <c r="FB68" t="s">
        <v>220</v>
      </c>
      <c r="FC68" s="157">
        <v>1</v>
      </c>
      <c r="FD68" s="157">
        <v>1</v>
      </c>
      <c r="FE68" s="150">
        <v>7.5849008199137096</v>
      </c>
      <c r="FF68" t="s">
        <v>221</v>
      </c>
      <c r="FG68" s="150">
        <v>3.6625140375120324E-2</v>
      </c>
      <c r="FH68" s="150">
        <v>4.1373304181159476E-2</v>
      </c>
      <c r="FI68" s="144">
        <v>1276.02831837392</v>
      </c>
      <c r="FJ68" t="s">
        <v>166</v>
      </c>
      <c r="FK68" t="s">
        <v>166</v>
      </c>
      <c r="FL68" s="144">
        <f t="shared" si="2"/>
        <v>1276.02831837392</v>
      </c>
      <c r="FM68" s="144">
        <v>365.30479541160003</v>
      </c>
      <c r="FN68" s="144">
        <v>300.758134635484</v>
      </c>
      <c r="FO68" t="s">
        <v>222</v>
      </c>
      <c r="FP68" t="s">
        <v>223</v>
      </c>
      <c r="FQ68" s="144" t="s">
        <v>166</v>
      </c>
      <c r="FR68" s="144" t="s">
        <v>166</v>
      </c>
      <c r="FS68" s="144" t="s">
        <v>166</v>
      </c>
      <c r="FT68" s="144" t="s">
        <v>166</v>
      </c>
      <c r="FU68" s="144" t="s">
        <v>166</v>
      </c>
      <c r="FV68" s="144" t="s">
        <v>166</v>
      </c>
      <c r="FW68" s="144" t="s">
        <v>166</v>
      </c>
      <c r="FX68" s="144" t="s">
        <v>166</v>
      </c>
      <c r="FY68" s="144" t="s">
        <v>166</v>
      </c>
      <c r="FZ68" s="144" t="s">
        <v>166</v>
      </c>
      <c r="GA68" s="144" t="s">
        <v>166</v>
      </c>
      <c r="GB68" s="144" t="s">
        <v>166</v>
      </c>
      <c r="GC68" s="158" t="s">
        <v>224</v>
      </c>
    </row>
    <row r="69" spans="1:191" ht="17">
      <c r="A69" s="140" t="s">
        <v>162</v>
      </c>
      <c r="B69" s="143" t="s">
        <v>163</v>
      </c>
      <c r="C69" s="140" t="s">
        <v>164</v>
      </c>
      <c r="D69" s="140" t="s">
        <v>165</v>
      </c>
      <c r="E69" s="140">
        <v>2020</v>
      </c>
      <c r="F69" t="s">
        <v>184</v>
      </c>
      <c r="G69" s="139">
        <v>51631.473541259766</v>
      </c>
      <c r="H69" s="147">
        <f t="shared" ref="H69" si="66">0.0083*G69^(0.9482)</f>
        <v>244.26634839156904</v>
      </c>
      <c r="I69" s="147">
        <f t="shared" ref="I69:I132" si="67">0.0083*G69^(0.9482)</f>
        <v>244.26634839156904</v>
      </c>
      <c r="J69" s="144">
        <v>1345.43612813807</v>
      </c>
      <c r="K69" s="144">
        <v>444.22995924579004</v>
      </c>
      <c r="L69" s="144">
        <v>327.16754589734001</v>
      </c>
      <c r="M69" s="140" t="b">
        <v>1</v>
      </c>
      <c r="N69" s="140">
        <v>1</v>
      </c>
      <c r="O69" s="302" t="s">
        <v>581</v>
      </c>
      <c r="P69" s="140" t="s">
        <v>166</v>
      </c>
      <c r="Q69" s="140" t="s">
        <v>166</v>
      </c>
      <c r="R69" s="140" t="s">
        <v>166</v>
      </c>
      <c r="S69" s="140" t="b">
        <v>1</v>
      </c>
      <c r="T69" s="140" t="b">
        <v>0</v>
      </c>
      <c r="U69" s="140" t="s">
        <v>166</v>
      </c>
      <c r="V69" s="140" t="b">
        <v>0</v>
      </c>
      <c r="W69" s="140" t="b">
        <v>0</v>
      </c>
      <c r="X69" s="140" t="s">
        <v>580</v>
      </c>
      <c r="Y69" s="148" t="s">
        <v>186</v>
      </c>
      <c r="Z69" t="s">
        <v>184</v>
      </c>
      <c r="AA69" s="149">
        <v>1409</v>
      </c>
      <c r="AB69" s="149" t="s">
        <v>250</v>
      </c>
      <c r="AC69" s="149">
        <v>17</v>
      </c>
      <c r="AD69" s="149">
        <v>3</v>
      </c>
      <c r="AE69" t="s">
        <v>166</v>
      </c>
      <c r="AF69" t="s">
        <v>166</v>
      </c>
      <c r="AG69" s="150">
        <v>135.11000000000001</v>
      </c>
      <c r="AH69" t="s">
        <v>166</v>
      </c>
      <c r="AI69" t="s">
        <v>166</v>
      </c>
      <c r="AJ69" t="s">
        <v>310</v>
      </c>
      <c r="AK69">
        <v>41.295653000000001</v>
      </c>
      <c r="AL69">
        <v>-49.233088000000002</v>
      </c>
      <c r="AM69">
        <v>30.975315093994141</v>
      </c>
      <c r="AN69" t="s">
        <v>166</v>
      </c>
      <c r="AO69">
        <v>-3500</v>
      </c>
      <c r="AP69">
        <v>-3050</v>
      </c>
      <c r="AQ69" t="s">
        <v>341</v>
      </c>
      <c r="AR69" t="s">
        <v>166</v>
      </c>
      <c r="AS69" s="150">
        <v>51.631473541259766</v>
      </c>
      <c r="AT69" t="s">
        <v>166</v>
      </c>
      <c r="AU69" t="s">
        <v>166</v>
      </c>
      <c r="AV69" t="s">
        <v>166</v>
      </c>
      <c r="AW69" t="s">
        <v>166</v>
      </c>
      <c r="AX69" t="s">
        <v>166</v>
      </c>
      <c r="AY69" t="s">
        <v>190</v>
      </c>
      <c r="AZ69" t="s">
        <v>166</v>
      </c>
      <c r="BA69" t="s">
        <v>166</v>
      </c>
      <c r="BB69" t="s">
        <v>166</v>
      </c>
      <c r="BC69" t="s">
        <v>166</v>
      </c>
      <c r="BD69" t="s">
        <v>166</v>
      </c>
      <c r="BE69" t="s">
        <v>166</v>
      </c>
      <c r="BF69" t="s">
        <v>166</v>
      </c>
      <c r="BG69" s="151" t="s">
        <v>296</v>
      </c>
      <c r="BH69" s="149" t="s">
        <v>342</v>
      </c>
      <c r="BI69" t="s">
        <v>166</v>
      </c>
      <c r="BJ69" s="152" t="s">
        <v>166</v>
      </c>
      <c r="BK69" t="s">
        <v>343</v>
      </c>
      <c r="BL69" t="s">
        <v>194</v>
      </c>
      <c r="BM69" t="s">
        <v>195</v>
      </c>
      <c r="BN69" t="s">
        <v>166</v>
      </c>
      <c r="BO69" t="s">
        <v>166</v>
      </c>
      <c r="BP69" t="s">
        <v>166</v>
      </c>
      <c r="BQ69" s="150">
        <v>13.963375429412455</v>
      </c>
      <c r="BR69" t="s">
        <v>196</v>
      </c>
      <c r="BS69" s="150">
        <v>0.33079152201630624</v>
      </c>
      <c r="BT69">
        <v>1</v>
      </c>
      <c r="BU69" t="s">
        <v>197</v>
      </c>
      <c r="BV69" t="s">
        <v>166</v>
      </c>
      <c r="BW69">
        <v>0</v>
      </c>
      <c r="BX69" t="s">
        <v>197</v>
      </c>
      <c r="BY69" t="s">
        <v>166</v>
      </c>
      <c r="BZ69" t="s">
        <v>198</v>
      </c>
      <c r="CA69" t="s">
        <v>166</v>
      </c>
      <c r="CB69" s="150">
        <v>13.963375429412455</v>
      </c>
      <c r="CC69" t="s">
        <v>196</v>
      </c>
      <c r="CD69" s="150">
        <v>0.33079152201630624</v>
      </c>
      <c r="CE69" t="s">
        <v>199</v>
      </c>
      <c r="CF69" t="s">
        <v>166</v>
      </c>
      <c r="CG69" t="s">
        <v>200</v>
      </c>
      <c r="CH69" t="s">
        <v>166</v>
      </c>
      <c r="CI69" t="s">
        <v>166</v>
      </c>
      <c r="CJ69" s="139">
        <v>36.605513796772918</v>
      </c>
      <c r="CK69" t="s">
        <v>201</v>
      </c>
      <c r="CL69">
        <v>2</v>
      </c>
      <c r="CM69">
        <v>2</v>
      </c>
      <c r="CN69" t="s">
        <v>166</v>
      </c>
      <c r="CO69" s="139">
        <v>4.2817149363344322</v>
      </c>
      <c r="CP69" t="s">
        <v>166</v>
      </c>
      <c r="CQ69" t="s">
        <v>166</v>
      </c>
      <c r="CR69" t="s">
        <v>166</v>
      </c>
      <c r="CS69" s="153" t="s">
        <v>202</v>
      </c>
      <c r="CT69" t="s">
        <v>203</v>
      </c>
      <c r="CU69">
        <v>2.2000000000000002</v>
      </c>
      <c r="CV69" t="s">
        <v>204</v>
      </c>
      <c r="CW69" t="s">
        <v>166</v>
      </c>
      <c r="CX69" t="s">
        <v>166</v>
      </c>
      <c r="CY69" t="s">
        <v>166</v>
      </c>
      <c r="CZ69" t="s">
        <v>166</v>
      </c>
      <c r="DA69" s="154" t="s">
        <v>166</v>
      </c>
      <c r="DB69" t="s">
        <v>166</v>
      </c>
      <c r="DC69" t="s">
        <v>166</v>
      </c>
      <c r="DD69" t="s">
        <v>166</v>
      </c>
      <c r="DE69" t="s">
        <v>166</v>
      </c>
      <c r="DF69" t="s">
        <v>205</v>
      </c>
      <c r="DG69">
        <v>35</v>
      </c>
      <c r="DH69" t="s">
        <v>201</v>
      </c>
      <c r="DI69">
        <v>1</v>
      </c>
      <c r="DJ69" t="s">
        <v>206</v>
      </c>
      <c r="DK69">
        <v>17</v>
      </c>
      <c r="DL69" t="s">
        <v>166</v>
      </c>
      <c r="DM69" t="s">
        <v>166</v>
      </c>
      <c r="DN69" t="s">
        <v>207</v>
      </c>
      <c r="DO69">
        <v>38</v>
      </c>
      <c r="DP69" t="s">
        <v>208</v>
      </c>
      <c r="DQ69">
        <v>3</v>
      </c>
      <c r="DR69" t="s">
        <v>209</v>
      </c>
      <c r="DS69" t="s">
        <v>166</v>
      </c>
      <c r="DT69" t="s">
        <v>166</v>
      </c>
      <c r="DU69" t="s">
        <v>166</v>
      </c>
      <c r="DV69" t="s">
        <v>166</v>
      </c>
      <c r="DW69">
        <v>432.6</v>
      </c>
      <c r="DX69" t="s">
        <v>166</v>
      </c>
      <c r="DY69" t="s">
        <v>166</v>
      </c>
      <c r="DZ69" t="s">
        <v>210</v>
      </c>
      <c r="EA69" t="s">
        <v>211</v>
      </c>
      <c r="EB69" t="s">
        <v>212</v>
      </c>
      <c r="EC69" t="s">
        <v>166</v>
      </c>
      <c r="ED69" t="s">
        <v>213</v>
      </c>
      <c r="EE69" s="155" t="s">
        <v>214</v>
      </c>
      <c r="EF69" s="155" t="s">
        <v>214</v>
      </c>
      <c r="EG69">
        <v>1.0271999999999999</v>
      </c>
      <c r="EH69" t="s">
        <v>215</v>
      </c>
      <c r="EI69" t="s">
        <v>215</v>
      </c>
      <c r="EJ69" t="s">
        <v>216</v>
      </c>
      <c r="EK69" t="s">
        <v>215</v>
      </c>
      <c r="EL69" t="s">
        <v>215</v>
      </c>
      <c r="EM69" t="s">
        <v>217</v>
      </c>
      <c r="EN69" s="156" t="s">
        <v>214</v>
      </c>
      <c r="EO69" s="156" t="s">
        <v>214</v>
      </c>
      <c r="EP69" s="156" t="s">
        <v>214</v>
      </c>
      <c r="EQ69" s="156" t="s">
        <v>214</v>
      </c>
      <c r="ET69" t="s">
        <v>218</v>
      </c>
      <c r="EU69" t="s">
        <v>219</v>
      </c>
      <c r="EV69" t="s">
        <v>213</v>
      </c>
      <c r="EW69" t="s">
        <v>166</v>
      </c>
      <c r="EX69" t="s">
        <v>166</v>
      </c>
      <c r="EY69" t="s">
        <v>166</v>
      </c>
      <c r="EZ69" t="s">
        <v>166</v>
      </c>
      <c r="FA69" s="157">
        <v>4.5</v>
      </c>
      <c r="FB69" t="s">
        <v>220</v>
      </c>
      <c r="FC69" s="157">
        <v>1</v>
      </c>
      <c r="FD69" s="157">
        <v>1</v>
      </c>
      <c r="FE69" s="150">
        <v>7.5572462828417502</v>
      </c>
      <c r="FF69" t="s">
        <v>221</v>
      </c>
      <c r="FG69" s="150">
        <v>4.8781000886370052E-2</v>
      </c>
      <c r="FH69" s="150">
        <v>5.1903731373569961E-2</v>
      </c>
      <c r="FI69" s="144">
        <v>1345.43612813807</v>
      </c>
      <c r="FJ69" t="s">
        <v>166</v>
      </c>
      <c r="FK69" t="s">
        <v>166</v>
      </c>
      <c r="FL69" s="144">
        <f t="shared" ref="FL69:FL76" si="68">FI69</f>
        <v>1345.43612813807</v>
      </c>
      <c r="FM69" s="144">
        <v>444.22995924579004</v>
      </c>
      <c r="FN69" s="144">
        <v>327.16754589734001</v>
      </c>
      <c r="FO69" t="s">
        <v>222</v>
      </c>
      <c r="FP69" t="s">
        <v>223</v>
      </c>
      <c r="FQ69" s="144" t="s">
        <v>166</v>
      </c>
      <c r="FR69" s="144" t="s">
        <v>166</v>
      </c>
      <c r="FS69" s="144" t="s">
        <v>166</v>
      </c>
      <c r="FT69" s="144" t="s">
        <v>166</v>
      </c>
      <c r="FU69" s="144" t="s">
        <v>166</v>
      </c>
      <c r="FV69" s="144" t="s">
        <v>166</v>
      </c>
      <c r="FW69" s="144" t="s">
        <v>166</v>
      </c>
      <c r="FX69" s="144" t="s">
        <v>166</v>
      </c>
      <c r="FY69" s="144" t="s">
        <v>166</v>
      </c>
      <c r="FZ69" s="144" t="s">
        <v>166</v>
      </c>
      <c r="GA69" s="144" t="s">
        <v>166</v>
      </c>
      <c r="GB69" s="144" t="s">
        <v>166</v>
      </c>
      <c r="GC69" s="158" t="s">
        <v>224</v>
      </c>
    </row>
    <row r="70" spans="1:191" ht="17">
      <c r="A70" s="140" t="s">
        <v>162</v>
      </c>
      <c r="B70" s="143" t="s">
        <v>163</v>
      </c>
      <c r="C70" s="140" t="s">
        <v>164</v>
      </c>
      <c r="D70" s="140" t="s">
        <v>165</v>
      </c>
      <c r="E70" s="140">
        <v>2020</v>
      </c>
      <c r="F70" t="s">
        <v>184</v>
      </c>
      <c r="G70" s="139">
        <v>51658.061981201172</v>
      </c>
      <c r="H70" s="147">
        <f t="shared" ref="H70" si="69">0.0083*G70^(0.9482)</f>
        <v>244.38561974184125</v>
      </c>
      <c r="I70" s="147">
        <f t="shared" si="67"/>
        <v>244.38561974184125</v>
      </c>
      <c r="J70" s="144">
        <v>1671.1493822269399</v>
      </c>
      <c r="K70" s="144">
        <v>532.59385204200998</v>
      </c>
      <c r="L70" s="144">
        <v>435.66579510606994</v>
      </c>
      <c r="M70" s="140" t="b">
        <v>1</v>
      </c>
      <c r="N70" s="140">
        <v>1</v>
      </c>
      <c r="O70" s="302" t="s">
        <v>581</v>
      </c>
      <c r="P70" s="140" t="s">
        <v>166</v>
      </c>
      <c r="Q70" s="140" t="s">
        <v>166</v>
      </c>
      <c r="R70" s="140" t="s">
        <v>166</v>
      </c>
      <c r="S70" s="140" t="b">
        <v>1</v>
      </c>
      <c r="T70" s="140" t="b">
        <v>0</v>
      </c>
      <c r="U70" s="140" t="s">
        <v>166</v>
      </c>
      <c r="V70" s="140" t="b">
        <v>0</v>
      </c>
      <c r="W70" s="140" t="b">
        <v>0</v>
      </c>
      <c r="X70" s="140" t="s">
        <v>580</v>
      </c>
      <c r="Y70" s="148" t="s">
        <v>186</v>
      </c>
      <c r="Z70" t="s">
        <v>184</v>
      </c>
      <c r="AA70" s="149">
        <v>1409</v>
      </c>
      <c r="AB70" s="149" t="s">
        <v>250</v>
      </c>
      <c r="AC70" s="149">
        <v>17</v>
      </c>
      <c r="AD70" s="149">
        <v>3</v>
      </c>
      <c r="AE70" t="s">
        <v>166</v>
      </c>
      <c r="AF70" t="s">
        <v>166</v>
      </c>
      <c r="AG70" s="149">
        <v>135.41</v>
      </c>
      <c r="AH70" t="s">
        <v>166</v>
      </c>
      <c r="AI70" t="s">
        <v>166</v>
      </c>
      <c r="AJ70" t="s">
        <v>310</v>
      </c>
      <c r="AK70">
        <v>41.295653000000001</v>
      </c>
      <c r="AL70">
        <v>-49.233088000000002</v>
      </c>
      <c r="AM70">
        <v>30.975912094116211</v>
      </c>
      <c r="AN70" t="s">
        <v>166</v>
      </c>
      <c r="AO70">
        <v>-3500</v>
      </c>
      <c r="AP70">
        <v>-3050</v>
      </c>
      <c r="AQ70" t="s">
        <v>344</v>
      </c>
      <c r="AR70" t="s">
        <v>166</v>
      </c>
      <c r="AS70" s="164">
        <v>51.658061981201172</v>
      </c>
      <c r="AT70" t="s">
        <v>166</v>
      </c>
      <c r="AU70" t="s">
        <v>166</v>
      </c>
      <c r="AV70" t="s">
        <v>166</v>
      </c>
      <c r="AW70" t="s">
        <v>166</v>
      </c>
      <c r="AX70" t="s">
        <v>166</v>
      </c>
      <c r="AY70" t="s">
        <v>190</v>
      </c>
      <c r="AZ70" t="s">
        <v>166</v>
      </c>
      <c r="BA70" t="s">
        <v>166</v>
      </c>
      <c r="BB70" t="s">
        <v>166</v>
      </c>
      <c r="BC70" t="s">
        <v>166</v>
      </c>
      <c r="BD70" t="s">
        <v>166</v>
      </c>
      <c r="BE70" t="s">
        <v>166</v>
      </c>
      <c r="BF70" t="s">
        <v>166</v>
      </c>
      <c r="BG70" s="151" t="s">
        <v>337</v>
      </c>
      <c r="BH70" s="149" t="s">
        <v>192</v>
      </c>
      <c r="BI70" t="s">
        <v>166</v>
      </c>
      <c r="BJ70" s="152" t="s">
        <v>166</v>
      </c>
      <c r="BK70" t="s">
        <v>345</v>
      </c>
      <c r="BL70" t="s">
        <v>194</v>
      </c>
      <c r="BM70" t="s">
        <v>195</v>
      </c>
      <c r="BN70" t="s">
        <v>166</v>
      </c>
      <c r="BO70" t="s">
        <v>166</v>
      </c>
      <c r="BP70" t="s">
        <v>166</v>
      </c>
      <c r="BQ70" s="150">
        <v>13.65045304546357</v>
      </c>
      <c r="BR70" t="s">
        <v>196</v>
      </c>
      <c r="BS70" s="150">
        <v>0.26907541486335873</v>
      </c>
      <c r="BT70">
        <v>1</v>
      </c>
      <c r="BU70" t="s">
        <v>197</v>
      </c>
      <c r="BV70" t="s">
        <v>166</v>
      </c>
      <c r="BW70">
        <v>0</v>
      </c>
      <c r="BX70" t="s">
        <v>197</v>
      </c>
      <c r="BY70" t="s">
        <v>166</v>
      </c>
      <c r="BZ70" t="s">
        <v>198</v>
      </c>
      <c r="CA70" t="s">
        <v>166</v>
      </c>
      <c r="CB70" s="150">
        <v>13.65045304546357</v>
      </c>
      <c r="CC70" t="s">
        <v>196</v>
      </c>
      <c r="CD70" s="150">
        <v>0.26907541486335873</v>
      </c>
      <c r="CE70" t="s">
        <v>199</v>
      </c>
      <c r="CF70" t="s">
        <v>166</v>
      </c>
      <c r="CG70" t="s">
        <v>200</v>
      </c>
      <c r="CH70" t="s">
        <v>166</v>
      </c>
      <c r="CI70" t="s">
        <v>166</v>
      </c>
      <c r="CJ70" s="139">
        <v>34.837176308770715</v>
      </c>
      <c r="CK70" t="s">
        <v>201</v>
      </c>
      <c r="CL70">
        <v>2</v>
      </c>
      <c r="CM70">
        <v>2</v>
      </c>
      <c r="CN70" t="s">
        <v>166</v>
      </c>
      <c r="CO70" s="139">
        <v>3.8755323779486304</v>
      </c>
      <c r="CP70" t="s">
        <v>166</v>
      </c>
      <c r="CQ70" t="s">
        <v>166</v>
      </c>
      <c r="CR70" t="s">
        <v>166</v>
      </c>
      <c r="CS70" s="153" t="s">
        <v>202</v>
      </c>
      <c r="CT70" t="s">
        <v>203</v>
      </c>
      <c r="CU70">
        <v>2.2000000000000002</v>
      </c>
      <c r="CV70" t="s">
        <v>204</v>
      </c>
      <c r="CW70" t="s">
        <v>166</v>
      </c>
      <c r="CX70" t="s">
        <v>166</v>
      </c>
      <c r="CY70" t="s">
        <v>166</v>
      </c>
      <c r="CZ70" t="s">
        <v>166</v>
      </c>
      <c r="DA70" s="154" t="s">
        <v>166</v>
      </c>
      <c r="DB70" t="s">
        <v>166</v>
      </c>
      <c r="DC70" t="s">
        <v>166</v>
      </c>
      <c r="DD70" t="s">
        <v>166</v>
      </c>
      <c r="DE70" t="s">
        <v>166</v>
      </c>
      <c r="DF70" t="s">
        <v>205</v>
      </c>
      <c r="DG70">
        <v>35</v>
      </c>
      <c r="DH70" t="s">
        <v>201</v>
      </c>
      <c r="DI70">
        <v>1</v>
      </c>
      <c r="DJ70" t="s">
        <v>206</v>
      </c>
      <c r="DK70">
        <v>17</v>
      </c>
      <c r="DL70" t="s">
        <v>166</v>
      </c>
      <c r="DM70" t="s">
        <v>166</v>
      </c>
      <c r="DN70" t="s">
        <v>207</v>
      </c>
      <c r="DO70">
        <v>38</v>
      </c>
      <c r="DP70" t="s">
        <v>208</v>
      </c>
      <c r="DQ70">
        <v>3</v>
      </c>
      <c r="DR70" t="s">
        <v>209</v>
      </c>
      <c r="DS70" t="s">
        <v>166</v>
      </c>
      <c r="DT70" t="s">
        <v>166</v>
      </c>
      <c r="DU70" t="s">
        <v>166</v>
      </c>
      <c r="DV70" t="s">
        <v>166</v>
      </c>
      <c r="DW70">
        <v>432.6</v>
      </c>
      <c r="DX70" t="s">
        <v>166</v>
      </c>
      <c r="DY70" t="s">
        <v>166</v>
      </c>
      <c r="DZ70" t="s">
        <v>210</v>
      </c>
      <c r="EA70" t="s">
        <v>211</v>
      </c>
      <c r="EB70" t="s">
        <v>212</v>
      </c>
      <c r="EC70" t="s">
        <v>166</v>
      </c>
      <c r="ED70" t="s">
        <v>213</v>
      </c>
      <c r="EE70" s="155" t="s">
        <v>214</v>
      </c>
      <c r="EF70" s="155" t="s">
        <v>214</v>
      </c>
      <c r="EG70">
        <v>1.0271999999999999</v>
      </c>
      <c r="EH70" t="s">
        <v>215</v>
      </c>
      <c r="EI70" t="s">
        <v>215</v>
      </c>
      <c r="EJ70" t="s">
        <v>216</v>
      </c>
      <c r="EK70" t="s">
        <v>215</v>
      </c>
      <c r="EL70" t="s">
        <v>215</v>
      </c>
      <c r="EM70" t="s">
        <v>217</v>
      </c>
      <c r="EN70" s="156" t="s">
        <v>214</v>
      </c>
      <c r="EO70" s="156" t="s">
        <v>214</v>
      </c>
      <c r="EP70" s="156" t="s">
        <v>214</v>
      </c>
      <c r="EQ70" s="156" t="s">
        <v>214</v>
      </c>
      <c r="ET70" t="s">
        <v>218</v>
      </c>
      <c r="EU70" t="s">
        <v>219</v>
      </c>
      <c r="EV70" t="s">
        <v>213</v>
      </c>
      <c r="EW70" t="s">
        <v>166</v>
      </c>
      <c r="EX70" t="s">
        <v>166</v>
      </c>
      <c r="EY70" t="s">
        <v>166</v>
      </c>
      <c r="EZ70" t="s">
        <v>166</v>
      </c>
      <c r="FA70" s="157">
        <v>4.5</v>
      </c>
      <c r="FB70" t="s">
        <v>220</v>
      </c>
      <c r="FC70" s="157">
        <v>1</v>
      </c>
      <c r="FD70" s="157">
        <v>1</v>
      </c>
      <c r="FE70" s="164">
        <v>7.5237497686676003</v>
      </c>
      <c r="FF70" t="s">
        <v>221</v>
      </c>
      <c r="FG70" s="164">
        <v>4.7202707107429909E-2</v>
      </c>
      <c r="FH70" s="164">
        <v>5.0343239524409888E-2</v>
      </c>
      <c r="FI70" s="144">
        <v>1671.1493822269399</v>
      </c>
      <c r="FJ70" t="s">
        <v>166</v>
      </c>
      <c r="FK70" t="s">
        <v>166</v>
      </c>
      <c r="FL70" s="144">
        <f t="shared" si="68"/>
        <v>1671.1493822269399</v>
      </c>
      <c r="FM70" s="144">
        <v>532.59385204200998</v>
      </c>
      <c r="FN70" s="144">
        <v>435.66579510606994</v>
      </c>
      <c r="FO70" t="s">
        <v>222</v>
      </c>
      <c r="FP70" t="s">
        <v>223</v>
      </c>
      <c r="FQ70" s="144" t="s">
        <v>166</v>
      </c>
      <c r="FR70" s="144" t="s">
        <v>166</v>
      </c>
      <c r="FS70" s="144" t="s">
        <v>166</v>
      </c>
      <c r="FT70" s="144" t="s">
        <v>166</v>
      </c>
      <c r="FU70" s="144" t="s">
        <v>166</v>
      </c>
      <c r="FV70" s="144" t="s">
        <v>166</v>
      </c>
      <c r="FW70" s="144" t="s">
        <v>166</v>
      </c>
      <c r="FX70" s="144" t="s">
        <v>166</v>
      </c>
      <c r="FY70" s="144" t="s">
        <v>166</v>
      </c>
      <c r="FZ70" s="144" t="s">
        <v>166</v>
      </c>
      <c r="GA70" s="144" t="s">
        <v>166</v>
      </c>
      <c r="GB70" s="144" t="s">
        <v>166</v>
      </c>
      <c r="GC70" s="158" t="s">
        <v>224</v>
      </c>
    </row>
    <row r="71" spans="1:191" ht="17">
      <c r="A71" s="140" t="s">
        <v>162</v>
      </c>
      <c r="B71" s="143" t="s">
        <v>163</v>
      </c>
      <c r="C71" s="140" t="s">
        <v>164</v>
      </c>
      <c r="D71" s="140" t="s">
        <v>165</v>
      </c>
      <c r="E71" s="140">
        <v>2020</v>
      </c>
      <c r="F71" t="s">
        <v>184</v>
      </c>
      <c r="G71" s="139">
        <v>51658.061981201172</v>
      </c>
      <c r="H71" s="147">
        <f t="shared" ref="H71" si="70">0.0083*G71^(0.9482)</f>
        <v>244.38561974184125</v>
      </c>
      <c r="I71" s="147">
        <f t="shared" si="67"/>
        <v>244.38561974184125</v>
      </c>
      <c r="J71" s="144">
        <v>1489.0164883488001</v>
      </c>
      <c r="K71" s="144">
        <v>416.25645821924991</v>
      </c>
      <c r="L71" s="144">
        <v>354.31436809548018</v>
      </c>
      <c r="M71" s="140" t="b">
        <v>1</v>
      </c>
      <c r="N71" s="140">
        <v>1</v>
      </c>
      <c r="O71" s="302" t="s">
        <v>581</v>
      </c>
      <c r="P71" s="140" t="s">
        <v>166</v>
      </c>
      <c r="Q71" s="140" t="s">
        <v>166</v>
      </c>
      <c r="R71" s="140" t="s">
        <v>166</v>
      </c>
      <c r="S71" s="140" t="b">
        <v>1</v>
      </c>
      <c r="T71" s="140" t="b">
        <v>0</v>
      </c>
      <c r="U71" s="140" t="s">
        <v>166</v>
      </c>
      <c r="V71" s="140" t="b">
        <v>0</v>
      </c>
      <c r="W71" s="140" t="b">
        <v>0</v>
      </c>
      <c r="X71" s="140" t="s">
        <v>580</v>
      </c>
      <c r="Y71" s="148" t="s">
        <v>186</v>
      </c>
      <c r="Z71" t="s">
        <v>184</v>
      </c>
      <c r="AA71" s="149">
        <v>1409</v>
      </c>
      <c r="AB71" s="149" t="s">
        <v>250</v>
      </c>
      <c r="AC71" s="149">
        <v>17</v>
      </c>
      <c r="AD71" s="149">
        <v>3</v>
      </c>
      <c r="AE71" t="s">
        <v>166</v>
      </c>
      <c r="AF71" t="s">
        <v>166</v>
      </c>
      <c r="AG71" s="149">
        <v>135.41</v>
      </c>
      <c r="AH71" t="s">
        <v>166</v>
      </c>
      <c r="AI71" t="s">
        <v>166</v>
      </c>
      <c r="AJ71" t="s">
        <v>310</v>
      </c>
      <c r="AK71">
        <v>41.295653000000001</v>
      </c>
      <c r="AL71">
        <v>-49.233088000000002</v>
      </c>
      <c r="AM71">
        <v>30.975912094116211</v>
      </c>
      <c r="AN71" t="s">
        <v>166</v>
      </c>
      <c r="AO71">
        <v>-3500</v>
      </c>
      <c r="AP71">
        <v>-3050</v>
      </c>
      <c r="AQ71" t="s">
        <v>346</v>
      </c>
      <c r="AR71" t="s">
        <v>166</v>
      </c>
      <c r="AS71" s="164">
        <v>51.658061981201172</v>
      </c>
      <c r="AT71" t="s">
        <v>166</v>
      </c>
      <c r="AU71" t="s">
        <v>166</v>
      </c>
      <c r="AV71" t="s">
        <v>166</v>
      </c>
      <c r="AW71" t="s">
        <v>166</v>
      </c>
      <c r="AX71" t="s">
        <v>166</v>
      </c>
      <c r="AY71" t="s">
        <v>190</v>
      </c>
      <c r="AZ71" t="s">
        <v>166</v>
      </c>
      <c r="BA71" t="s">
        <v>166</v>
      </c>
      <c r="BB71" t="s">
        <v>166</v>
      </c>
      <c r="BC71" t="s">
        <v>166</v>
      </c>
      <c r="BD71" t="s">
        <v>166</v>
      </c>
      <c r="BE71" t="s">
        <v>166</v>
      </c>
      <c r="BF71" t="s">
        <v>166</v>
      </c>
      <c r="BG71" s="151" t="s">
        <v>337</v>
      </c>
      <c r="BH71" s="149" t="s">
        <v>192</v>
      </c>
      <c r="BI71" t="s">
        <v>166</v>
      </c>
      <c r="BJ71" s="152" t="s">
        <v>166</v>
      </c>
      <c r="BK71" t="s">
        <v>347</v>
      </c>
      <c r="BL71" t="s">
        <v>194</v>
      </c>
      <c r="BM71" t="s">
        <v>195</v>
      </c>
      <c r="BN71" t="s">
        <v>166</v>
      </c>
      <c r="BO71" t="s">
        <v>166</v>
      </c>
      <c r="BP71" t="s">
        <v>166</v>
      </c>
      <c r="BQ71" s="150">
        <v>13.805352191427072</v>
      </c>
      <c r="BR71" t="s">
        <v>196</v>
      </c>
      <c r="BS71" s="150">
        <v>0.25053981608910658</v>
      </c>
      <c r="BT71">
        <v>1</v>
      </c>
      <c r="BU71" t="s">
        <v>197</v>
      </c>
      <c r="BV71" t="s">
        <v>166</v>
      </c>
      <c r="BW71">
        <v>0</v>
      </c>
      <c r="BX71" t="s">
        <v>197</v>
      </c>
      <c r="BY71" t="s">
        <v>166</v>
      </c>
      <c r="BZ71" t="s">
        <v>198</v>
      </c>
      <c r="CA71" t="s">
        <v>166</v>
      </c>
      <c r="CB71" s="150">
        <v>13.805352191427072</v>
      </c>
      <c r="CC71" t="s">
        <v>196</v>
      </c>
      <c r="CD71" s="150">
        <v>0.25053981608910658</v>
      </c>
      <c r="CE71" t="s">
        <v>199</v>
      </c>
      <c r="CF71" t="s">
        <v>166</v>
      </c>
      <c r="CG71" t="s">
        <v>200</v>
      </c>
      <c r="CH71" t="s">
        <v>166</v>
      </c>
      <c r="CI71" t="s">
        <v>166</v>
      </c>
      <c r="CJ71" s="139">
        <v>35.437027420636468</v>
      </c>
      <c r="CK71" t="s">
        <v>201</v>
      </c>
      <c r="CL71">
        <v>2</v>
      </c>
      <c r="CM71">
        <v>2</v>
      </c>
      <c r="CN71" t="s">
        <v>166</v>
      </c>
      <c r="CO71" s="139">
        <v>4.0088044282511976</v>
      </c>
      <c r="CP71" t="s">
        <v>166</v>
      </c>
      <c r="CQ71" t="s">
        <v>166</v>
      </c>
      <c r="CR71" t="s">
        <v>166</v>
      </c>
      <c r="CS71" s="153" t="s">
        <v>202</v>
      </c>
      <c r="CT71" t="s">
        <v>203</v>
      </c>
      <c r="CU71">
        <v>2.2000000000000002</v>
      </c>
      <c r="CV71" t="s">
        <v>204</v>
      </c>
      <c r="CW71" t="s">
        <v>166</v>
      </c>
      <c r="CX71" t="s">
        <v>166</v>
      </c>
      <c r="CY71" t="s">
        <v>166</v>
      </c>
      <c r="CZ71" t="s">
        <v>166</v>
      </c>
      <c r="DA71" s="154" t="s">
        <v>166</v>
      </c>
      <c r="DB71" t="s">
        <v>166</v>
      </c>
      <c r="DC71" t="s">
        <v>166</v>
      </c>
      <c r="DD71" t="s">
        <v>166</v>
      </c>
      <c r="DE71" t="s">
        <v>166</v>
      </c>
      <c r="DF71" t="s">
        <v>205</v>
      </c>
      <c r="DG71">
        <v>35</v>
      </c>
      <c r="DH71" t="s">
        <v>201</v>
      </c>
      <c r="DI71">
        <v>1</v>
      </c>
      <c r="DJ71" t="s">
        <v>206</v>
      </c>
      <c r="DK71">
        <v>17</v>
      </c>
      <c r="DL71" t="s">
        <v>166</v>
      </c>
      <c r="DM71" t="s">
        <v>166</v>
      </c>
      <c r="DN71" t="s">
        <v>207</v>
      </c>
      <c r="DO71">
        <v>38</v>
      </c>
      <c r="DP71" t="s">
        <v>208</v>
      </c>
      <c r="DQ71">
        <v>3</v>
      </c>
      <c r="DR71" t="s">
        <v>209</v>
      </c>
      <c r="DS71" t="s">
        <v>166</v>
      </c>
      <c r="DT71" t="s">
        <v>166</v>
      </c>
      <c r="DU71" t="s">
        <v>166</v>
      </c>
      <c r="DV71" t="s">
        <v>166</v>
      </c>
      <c r="DW71">
        <v>432.6</v>
      </c>
      <c r="DX71" t="s">
        <v>166</v>
      </c>
      <c r="DY71" t="s">
        <v>166</v>
      </c>
      <c r="DZ71" t="s">
        <v>210</v>
      </c>
      <c r="EA71" t="s">
        <v>211</v>
      </c>
      <c r="EB71" t="s">
        <v>212</v>
      </c>
      <c r="EC71" t="s">
        <v>166</v>
      </c>
      <c r="ED71" t="s">
        <v>213</v>
      </c>
      <c r="EE71" s="155" t="s">
        <v>214</v>
      </c>
      <c r="EF71" s="155" t="s">
        <v>214</v>
      </c>
      <c r="EG71">
        <v>1.0271999999999999</v>
      </c>
      <c r="EH71" t="s">
        <v>215</v>
      </c>
      <c r="EI71" t="s">
        <v>215</v>
      </c>
      <c r="EJ71" t="s">
        <v>216</v>
      </c>
      <c r="EK71" t="s">
        <v>215</v>
      </c>
      <c r="EL71" t="s">
        <v>215</v>
      </c>
      <c r="EM71" t="s">
        <v>217</v>
      </c>
      <c r="EN71" s="156" t="s">
        <v>214</v>
      </c>
      <c r="EO71" s="156" t="s">
        <v>214</v>
      </c>
      <c r="EP71" s="156" t="s">
        <v>214</v>
      </c>
      <c r="EQ71" s="156" t="s">
        <v>214</v>
      </c>
      <c r="ET71" t="s">
        <v>218</v>
      </c>
      <c r="EU71" t="s">
        <v>219</v>
      </c>
      <c r="EV71" t="s">
        <v>213</v>
      </c>
      <c r="EW71" t="s">
        <v>166</v>
      </c>
      <c r="EX71" t="s">
        <v>166</v>
      </c>
      <c r="EY71" t="s">
        <v>166</v>
      </c>
      <c r="EZ71" t="s">
        <v>166</v>
      </c>
      <c r="FA71" s="157">
        <v>4.5</v>
      </c>
      <c r="FB71" t="s">
        <v>220</v>
      </c>
      <c r="FC71" s="157">
        <v>1</v>
      </c>
      <c r="FD71" s="157">
        <v>1</v>
      </c>
      <c r="FE71" s="164">
        <v>7.5446135308662603</v>
      </c>
      <c r="FF71" t="s">
        <v>221</v>
      </c>
      <c r="FG71" s="164">
        <v>3.8912560645239402E-2</v>
      </c>
      <c r="FH71" s="164">
        <v>4.2137524696900464E-2</v>
      </c>
      <c r="FI71" s="144">
        <v>1489.0164883488001</v>
      </c>
      <c r="FJ71" t="s">
        <v>166</v>
      </c>
      <c r="FK71" t="s">
        <v>166</v>
      </c>
      <c r="FL71" s="144">
        <f t="shared" si="68"/>
        <v>1489.0164883488001</v>
      </c>
      <c r="FM71" s="144">
        <v>416.25645821924991</v>
      </c>
      <c r="FN71" s="144">
        <v>354.31436809548018</v>
      </c>
      <c r="FO71" t="s">
        <v>222</v>
      </c>
      <c r="FP71" t="s">
        <v>223</v>
      </c>
      <c r="FQ71" s="144" t="s">
        <v>166</v>
      </c>
      <c r="FR71" s="144" t="s">
        <v>166</v>
      </c>
      <c r="FS71" s="144" t="s">
        <v>166</v>
      </c>
      <c r="FT71" s="144" t="s">
        <v>166</v>
      </c>
      <c r="FU71" s="144" t="s">
        <v>166</v>
      </c>
      <c r="FV71" s="144" t="s">
        <v>166</v>
      </c>
      <c r="FW71" s="144" t="s">
        <v>166</v>
      </c>
      <c r="FX71" s="144" t="s">
        <v>166</v>
      </c>
      <c r="FY71" s="144" t="s">
        <v>166</v>
      </c>
      <c r="FZ71" s="144" t="s">
        <v>166</v>
      </c>
      <c r="GA71" s="144" t="s">
        <v>166</v>
      </c>
      <c r="GB71" s="144" t="s">
        <v>166</v>
      </c>
      <c r="GC71" s="158" t="s">
        <v>224</v>
      </c>
    </row>
    <row r="72" spans="1:191" ht="17">
      <c r="A72" s="140" t="s">
        <v>162</v>
      </c>
      <c r="B72" s="143" t="s">
        <v>163</v>
      </c>
      <c r="C72" s="140" t="s">
        <v>164</v>
      </c>
      <c r="D72" s="140" t="s">
        <v>165</v>
      </c>
      <c r="E72" s="140">
        <v>2020</v>
      </c>
      <c r="F72" t="s">
        <v>184</v>
      </c>
      <c r="G72" s="139">
        <v>51658.061981201172</v>
      </c>
      <c r="H72" s="147">
        <f t="shared" ref="H72" si="71">0.0083*G72^(0.9482)</f>
        <v>244.38561974184125</v>
      </c>
      <c r="I72" s="147">
        <f t="shared" si="67"/>
        <v>244.38561974184125</v>
      </c>
      <c r="J72" s="144">
        <v>1407.6714184192199</v>
      </c>
      <c r="K72" s="144">
        <v>418.56852172320009</v>
      </c>
      <c r="L72" s="144">
        <v>322.5667670737098</v>
      </c>
      <c r="M72" s="140" t="b">
        <v>1</v>
      </c>
      <c r="N72" s="140">
        <v>1</v>
      </c>
      <c r="O72" s="302" t="s">
        <v>581</v>
      </c>
      <c r="P72" s="140" t="s">
        <v>166</v>
      </c>
      <c r="Q72" s="140" t="s">
        <v>166</v>
      </c>
      <c r="R72" s="140" t="s">
        <v>166</v>
      </c>
      <c r="S72" s="140" t="b">
        <v>1</v>
      </c>
      <c r="T72" s="140" t="b">
        <v>0</v>
      </c>
      <c r="U72" s="140" t="s">
        <v>166</v>
      </c>
      <c r="V72" s="140" t="b">
        <v>0</v>
      </c>
      <c r="W72" s="140" t="b">
        <v>0</v>
      </c>
      <c r="X72" s="140" t="s">
        <v>580</v>
      </c>
      <c r="Y72" s="148" t="s">
        <v>186</v>
      </c>
      <c r="Z72" t="s">
        <v>184</v>
      </c>
      <c r="AA72" s="149">
        <v>1409</v>
      </c>
      <c r="AB72" s="149" t="s">
        <v>250</v>
      </c>
      <c r="AC72" s="149">
        <v>17</v>
      </c>
      <c r="AD72" s="149">
        <v>3</v>
      </c>
      <c r="AE72" t="s">
        <v>166</v>
      </c>
      <c r="AF72" t="s">
        <v>166</v>
      </c>
      <c r="AG72" s="149">
        <v>135.41</v>
      </c>
      <c r="AH72" t="s">
        <v>166</v>
      </c>
      <c r="AI72" t="s">
        <v>166</v>
      </c>
      <c r="AJ72" t="s">
        <v>310</v>
      </c>
      <c r="AK72">
        <v>41.295653000000001</v>
      </c>
      <c r="AL72">
        <v>-49.233088000000002</v>
      </c>
      <c r="AM72">
        <v>30.975912094116211</v>
      </c>
      <c r="AN72" t="s">
        <v>166</v>
      </c>
      <c r="AO72">
        <v>-3500</v>
      </c>
      <c r="AP72">
        <v>-3050</v>
      </c>
      <c r="AQ72" t="s">
        <v>348</v>
      </c>
      <c r="AR72" t="s">
        <v>166</v>
      </c>
      <c r="AS72" s="164">
        <v>51.658061981201172</v>
      </c>
      <c r="AT72" t="s">
        <v>166</v>
      </c>
      <c r="AU72" t="s">
        <v>166</v>
      </c>
      <c r="AV72" t="s">
        <v>166</v>
      </c>
      <c r="AW72" t="s">
        <v>166</v>
      </c>
      <c r="AX72" t="s">
        <v>166</v>
      </c>
      <c r="AY72" t="s">
        <v>190</v>
      </c>
      <c r="AZ72" t="s">
        <v>166</v>
      </c>
      <c r="BA72" t="s">
        <v>166</v>
      </c>
      <c r="BB72" t="s">
        <v>166</v>
      </c>
      <c r="BC72" t="s">
        <v>166</v>
      </c>
      <c r="BD72" t="s">
        <v>166</v>
      </c>
      <c r="BE72" t="s">
        <v>166</v>
      </c>
      <c r="BF72" t="s">
        <v>166</v>
      </c>
      <c r="BG72" s="151" t="s">
        <v>296</v>
      </c>
      <c r="BH72" s="149" t="s">
        <v>342</v>
      </c>
      <c r="BI72" t="s">
        <v>166</v>
      </c>
      <c r="BJ72" s="152" t="s">
        <v>166</v>
      </c>
      <c r="BK72" t="s">
        <v>349</v>
      </c>
      <c r="BL72" t="s">
        <v>194</v>
      </c>
      <c r="BM72" t="s">
        <v>195</v>
      </c>
      <c r="BN72" t="s">
        <v>166</v>
      </c>
      <c r="BO72" t="s">
        <v>166</v>
      </c>
      <c r="BP72" t="s">
        <v>166</v>
      </c>
      <c r="BQ72" s="150">
        <v>13.901332066042176</v>
      </c>
      <c r="BR72" t="s">
        <v>196</v>
      </c>
      <c r="BS72" s="150">
        <v>0.2579586404194702</v>
      </c>
      <c r="BT72">
        <v>1</v>
      </c>
      <c r="BU72" t="s">
        <v>197</v>
      </c>
      <c r="BV72" t="s">
        <v>166</v>
      </c>
      <c r="BW72">
        <v>0</v>
      </c>
      <c r="BX72" t="s">
        <v>197</v>
      </c>
      <c r="BY72" t="s">
        <v>166</v>
      </c>
      <c r="BZ72" t="s">
        <v>198</v>
      </c>
      <c r="CA72" t="s">
        <v>166</v>
      </c>
      <c r="CB72" s="150">
        <v>13.901332066042176</v>
      </c>
      <c r="CC72" t="s">
        <v>196</v>
      </c>
      <c r="CD72" s="150">
        <v>0.2579586404194702</v>
      </c>
      <c r="CE72" t="s">
        <v>199</v>
      </c>
      <c r="CF72" t="s">
        <v>166</v>
      </c>
      <c r="CG72" t="s">
        <v>200</v>
      </c>
      <c r="CH72" t="s">
        <v>166</v>
      </c>
      <c r="CI72" t="s">
        <v>166</v>
      </c>
      <c r="CJ72" s="139">
        <v>36.278639016579085</v>
      </c>
      <c r="CK72" t="s">
        <v>201</v>
      </c>
      <c r="CL72">
        <v>2</v>
      </c>
      <c r="CM72">
        <v>2</v>
      </c>
      <c r="CN72" t="s">
        <v>166</v>
      </c>
      <c r="CO72" s="139">
        <v>4.2035510043000253</v>
      </c>
      <c r="CP72" t="s">
        <v>166</v>
      </c>
      <c r="CQ72" t="s">
        <v>166</v>
      </c>
      <c r="CR72" t="s">
        <v>166</v>
      </c>
      <c r="CS72" s="153" t="s">
        <v>202</v>
      </c>
      <c r="CT72" t="s">
        <v>203</v>
      </c>
      <c r="CU72">
        <v>2.2000000000000002</v>
      </c>
      <c r="CV72" t="s">
        <v>204</v>
      </c>
      <c r="CW72" t="s">
        <v>166</v>
      </c>
      <c r="CX72" t="s">
        <v>166</v>
      </c>
      <c r="CY72" t="s">
        <v>166</v>
      </c>
      <c r="CZ72" t="s">
        <v>166</v>
      </c>
      <c r="DA72" s="154" t="s">
        <v>166</v>
      </c>
      <c r="DB72" t="s">
        <v>166</v>
      </c>
      <c r="DC72" t="s">
        <v>166</v>
      </c>
      <c r="DD72" t="s">
        <v>166</v>
      </c>
      <c r="DE72" t="s">
        <v>166</v>
      </c>
      <c r="DF72" t="s">
        <v>205</v>
      </c>
      <c r="DG72">
        <v>35</v>
      </c>
      <c r="DH72" t="s">
        <v>201</v>
      </c>
      <c r="DI72">
        <v>1</v>
      </c>
      <c r="DJ72" t="s">
        <v>206</v>
      </c>
      <c r="DK72">
        <v>17</v>
      </c>
      <c r="DL72" t="s">
        <v>166</v>
      </c>
      <c r="DM72" t="s">
        <v>166</v>
      </c>
      <c r="DN72" t="s">
        <v>207</v>
      </c>
      <c r="DO72">
        <v>38</v>
      </c>
      <c r="DP72" t="s">
        <v>208</v>
      </c>
      <c r="DQ72">
        <v>3</v>
      </c>
      <c r="DR72" t="s">
        <v>209</v>
      </c>
      <c r="DS72" t="s">
        <v>166</v>
      </c>
      <c r="DT72" t="s">
        <v>166</v>
      </c>
      <c r="DU72" t="s">
        <v>166</v>
      </c>
      <c r="DV72" t="s">
        <v>166</v>
      </c>
      <c r="DW72">
        <v>432.6</v>
      </c>
      <c r="DX72" t="s">
        <v>166</v>
      </c>
      <c r="DY72" t="s">
        <v>166</v>
      </c>
      <c r="DZ72" t="s">
        <v>210</v>
      </c>
      <c r="EA72" t="s">
        <v>211</v>
      </c>
      <c r="EB72" t="s">
        <v>212</v>
      </c>
      <c r="EC72" t="s">
        <v>166</v>
      </c>
      <c r="ED72" t="s">
        <v>213</v>
      </c>
      <c r="EE72" s="155" t="s">
        <v>214</v>
      </c>
      <c r="EF72" s="155" t="s">
        <v>214</v>
      </c>
      <c r="EG72">
        <v>1.0271999999999999</v>
      </c>
      <c r="EH72" t="s">
        <v>215</v>
      </c>
      <c r="EI72" t="s">
        <v>215</v>
      </c>
      <c r="EJ72" t="s">
        <v>216</v>
      </c>
      <c r="EK72" t="s">
        <v>215</v>
      </c>
      <c r="EL72" t="s">
        <v>215</v>
      </c>
      <c r="EM72" t="s">
        <v>217</v>
      </c>
      <c r="EN72" s="156" t="s">
        <v>214</v>
      </c>
      <c r="EO72" s="156" t="s">
        <v>214</v>
      </c>
      <c r="EP72" s="156" t="s">
        <v>214</v>
      </c>
      <c r="EQ72" s="156" t="s">
        <v>214</v>
      </c>
      <c r="ET72" t="s">
        <v>218</v>
      </c>
      <c r="EU72" t="s">
        <v>219</v>
      </c>
      <c r="EV72" t="s">
        <v>213</v>
      </c>
      <c r="EW72" t="s">
        <v>166</v>
      </c>
      <c r="EX72" t="s">
        <v>166</v>
      </c>
      <c r="EY72" t="s">
        <v>166</v>
      </c>
      <c r="EZ72" t="s">
        <v>166</v>
      </c>
      <c r="FA72" s="157">
        <v>4.5</v>
      </c>
      <c r="FB72" t="s">
        <v>220</v>
      </c>
      <c r="FC72" s="157">
        <v>1</v>
      </c>
      <c r="FD72" s="157">
        <v>1</v>
      </c>
      <c r="FE72" s="164">
        <v>7.5497298706765799</v>
      </c>
      <c r="FF72" t="s">
        <v>221</v>
      </c>
      <c r="FG72" s="164">
        <v>3.743795018530971E-2</v>
      </c>
      <c r="FH72" s="164">
        <v>4.1243461513059465E-2</v>
      </c>
      <c r="FI72" s="144">
        <v>1407.6714184192199</v>
      </c>
      <c r="FJ72" t="s">
        <v>166</v>
      </c>
      <c r="FK72" t="s">
        <v>166</v>
      </c>
      <c r="FL72" s="144">
        <f t="shared" si="68"/>
        <v>1407.6714184192199</v>
      </c>
      <c r="FM72" s="144">
        <v>418.56852172320009</v>
      </c>
      <c r="FN72" s="144">
        <v>322.5667670737098</v>
      </c>
      <c r="FO72" t="s">
        <v>222</v>
      </c>
      <c r="FP72" t="s">
        <v>223</v>
      </c>
      <c r="FQ72" s="144" t="s">
        <v>166</v>
      </c>
      <c r="FR72" s="144" t="s">
        <v>166</v>
      </c>
      <c r="FS72" s="144" t="s">
        <v>166</v>
      </c>
      <c r="FT72" s="144" t="s">
        <v>166</v>
      </c>
      <c r="FU72" s="144" t="s">
        <v>166</v>
      </c>
      <c r="FV72" s="144" t="s">
        <v>166</v>
      </c>
      <c r="FW72" s="144" t="s">
        <v>166</v>
      </c>
      <c r="FX72" s="144" t="s">
        <v>166</v>
      </c>
      <c r="FY72" s="144" t="s">
        <v>166</v>
      </c>
      <c r="FZ72" s="144" t="s">
        <v>166</v>
      </c>
      <c r="GA72" s="144" t="s">
        <v>166</v>
      </c>
      <c r="GB72" s="144" t="s">
        <v>166</v>
      </c>
      <c r="GC72" s="158" t="s">
        <v>224</v>
      </c>
    </row>
    <row r="73" spans="1:191" ht="17">
      <c r="A73" s="140" t="s">
        <v>162</v>
      </c>
      <c r="B73" s="143" t="s">
        <v>163</v>
      </c>
      <c r="C73" s="140" t="s">
        <v>164</v>
      </c>
      <c r="D73" s="140" t="s">
        <v>165</v>
      </c>
      <c r="E73" s="140">
        <v>2020</v>
      </c>
      <c r="F73" t="s">
        <v>184</v>
      </c>
      <c r="G73" s="139">
        <v>51711.231231689453</v>
      </c>
      <c r="H73" s="147">
        <f t="shared" ref="H73" si="72">0.0083*G73^(0.9482)</f>
        <v>244.62411868245198</v>
      </c>
      <c r="I73" s="147">
        <f t="shared" si="67"/>
        <v>244.62411868245198</v>
      </c>
      <c r="J73" s="144">
        <v>1911.9983488974401</v>
      </c>
      <c r="K73" s="144">
        <v>668.35590085940999</v>
      </c>
      <c r="L73" s="144">
        <v>490.95339336381994</v>
      </c>
      <c r="M73" s="140" t="b">
        <v>1</v>
      </c>
      <c r="N73" s="140">
        <v>1</v>
      </c>
      <c r="O73" s="302" t="s">
        <v>581</v>
      </c>
      <c r="P73" s="140" t="s">
        <v>166</v>
      </c>
      <c r="Q73" s="140" t="s">
        <v>166</v>
      </c>
      <c r="R73" s="140" t="s">
        <v>166</v>
      </c>
      <c r="S73" s="140" t="b">
        <v>1</v>
      </c>
      <c r="T73" s="140" t="b">
        <v>0</v>
      </c>
      <c r="U73" s="140" t="s">
        <v>166</v>
      </c>
      <c r="V73" s="140" t="b">
        <v>0</v>
      </c>
      <c r="W73" s="140" t="b">
        <v>0</v>
      </c>
      <c r="X73" s="140" t="s">
        <v>580</v>
      </c>
      <c r="Y73" s="148" t="s">
        <v>186</v>
      </c>
      <c r="Z73" t="s">
        <v>184</v>
      </c>
      <c r="AA73" s="149">
        <v>1409</v>
      </c>
      <c r="AB73" s="149" t="s">
        <v>250</v>
      </c>
      <c r="AC73" s="149">
        <v>17</v>
      </c>
      <c r="AD73" s="149">
        <v>3</v>
      </c>
      <c r="AE73" t="s">
        <v>166</v>
      </c>
      <c r="AF73" t="s">
        <v>166</v>
      </c>
      <c r="AG73" s="149">
        <v>136.01</v>
      </c>
      <c r="AH73" t="s">
        <v>166</v>
      </c>
      <c r="AI73" t="s">
        <v>166</v>
      </c>
      <c r="AJ73" t="s">
        <v>310</v>
      </c>
      <c r="AK73">
        <v>41.295653000000001</v>
      </c>
      <c r="AL73">
        <v>-49.233088000000002</v>
      </c>
      <c r="AM73">
        <v>30.977108001708984</v>
      </c>
      <c r="AN73" t="s">
        <v>166</v>
      </c>
      <c r="AO73">
        <v>-3500</v>
      </c>
      <c r="AP73">
        <v>-3050</v>
      </c>
      <c r="AQ73" t="s">
        <v>350</v>
      </c>
      <c r="AR73" t="s">
        <v>166</v>
      </c>
      <c r="AS73" s="164">
        <v>51.711231231689453</v>
      </c>
      <c r="AT73" t="s">
        <v>166</v>
      </c>
      <c r="AU73" t="s">
        <v>166</v>
      </c>
      <c r="AV73" t="s">
        <v>166</v>
      </c>
      <c r="AW73" t="s">
        <v>166</v>
      </c>
      <c r="AX73" t="s">
        <v>166</v>
      </c>
      <c r="AY73" t="s">
        <v>190</v>
      </c>
      <c r="AZ73" t="s">
        <v>166</v>
      </c>
      <c r="BA73" t="s">
        <v>166</v>
      </c>
      <c r="BB73" t="s">
        <v>166</v>
      </c>
      <c r="BC73" t="s">
        <v>166</v>
      </c>
      <c r="BD73" t="s">
        <v>166</v>
      </c>
      <c r="BE73" t="s">
        <v>166</v>
      </c>
      <c r="BF73" t="s">
        <v>166</v>
      </c>
      <c r="BG73" s="151" t="s">
        <v>337</v>
      </c>
      <c r="BH73" s="149" t="s">
        <v>192</v>
      </c>
      <c r="BI73" t="s">
        <v>166</v>
      </c>
      <c r="BJ73" s="152" t="s">
        <v>166</v>
      </c>
      <c r="BK73" t="s">
        <v>351</v>
      </c>
      <c r="BL73" t="s">
        <v>194</v>
      </c>
      <c r="BM73" t="s">
        <v>195</v>
      </c>
      <c r="BN73" t="s">
        <v>166</v>
      </c>
      <c r="BO73" t="s">
        <v>166</v>
      </c>
      <c r="BP73" t="s">
        <v>166</v>
      </c>
      <c r="BQ73" s="150">
        <v>13.51471842956231</v>
      </c>
      <c r="BR73" t="s">
        <v>196</v>
      </c>
      <c r="BS73" s="150">
        <v>0.28740126836272079</v>
      </c>
      <c r="BT73">
        <v>1</v>
      </c>
      <c r="BU73" t="s">
        <v>197</v>
      </c>
      <c r="BV73" t="s">
        <v>166</v>
      </c>
      <c r="BW73">
        <v>0</v>
      </c>
      <c r="BX73" t="s">
        <v>197</v>
      </c>
      <c r="BY73" t="s">
        <v>166</v>
      </c>
      <c r="BZ73" t="s">
        <v>198</v>
      </c>
      <c r="CA73" t="s">
        <v>166</v>
      </c>
      <c r="CB73" s="150">
        <v>13.51471842956231</v>
      </c>
      <c r="CC73" t="s">
        <v>196</v>
      </c>
      <c r="CD73" s="150">
        <v>0.28740126836272079</v>
      </c>
      <c r="CE73" t="s">
        <v>199</v>
      </c>
      <c r="CF73" t="s">
        <v>166</v>
      </c>
      <c r="CG73" t="s">
        <v>200</v>
      </c>
      <c r="CH73" t="s">
        <v>166</v>
      </c>
      <c r="CI73" t="s">
        <v>166</v>
      </c>
      <c r="CJ73" s="139">
        <v>35.602657475815718</v>
      </c>
      <c r="CK73" t="s">
        <v>201</v>
      </c>
      <c r="CL73">
        <v>2</v>
      </c>
      <c r="CM73">
        <v>2</v>
      </c>
      <c r="CN73" t="s">
        <v>166</v>
      </c>
      <c r="CO73" s="139">
        <v>4.0464041467202092</v>
      </c>
      <c r="CP73" t="s">
        <v>166</v>
      </c>
      <c r="CQ73" t="s">
        <v>166</v>
      </c>
      <c r="CR73" t="s">
        <v>166</v>
      </c>
      <c r="CS73" s="153" t="s">
        <v>202</v>
      </c>
      <c r="CT73" t="s">
        <v>203</v>
      </c>
      <c r="CU73">
        <v>2.2000000000000002</v>
      </c>
      <c r="CV73" t="s">
        <v>204</v>
      </c>
      <c r="CW73" t="s">
        <v>166</v>
      </c>
      <c r="CX73" t="s">
        <v>166</v>
      </c>
      <c r="CY73" t="s">
        <v>166</v>
      </c>
      <c r="CZ73" t="s">
        <v>166</v>
      </c>
      <c r="DA73" s="154" t="s">
        <v>166</v>
      </c>
      <c r="DB73" t="s">
        <v>166</v>
      </c>
      <c r="DC73" t="s">
        <v>166</v>
      </c>
      <c r="DD73" t="s">
        <v>166</v>
      </c>
      <c r="DE73" t="s">
        <v>166</v>
      </c>
      <c r="DF73" t="s">
        <v>205</v>
      </c>
      <c r="DG73">
        <v>35</v>
      </c>
      <c r="DH73" t="s">
        <v>201</v>
      </c>
      <c r="DI73">
        <v>1</v>
      </c>
      <c r="DJ73" t="s">
        <v>206</v>
      </c>
      <c r="DK73">
        <v>17</v>
      </c>
      <c r="DL73" t="s">
        <v>166</v>
      </c>
      <c r="DM73" t="s">
        <v>166</v>
      </c>
      <c r="DN73" t="s">
        <v>207</v>
      </c>
      <c r="DO73">
        <v>38</v>
      </c>
      <c r="DP73" t="s">
        <v>208</v>
      </c>
      <c r="DQ73">
        <v>3</v>
      </c>
      <c r="DR73" t="s">
        <v>209</v>
      </c>
      <c r="DS73" t="s">
        <v>166</v>
      </c>
      <c r="DT73" t="s">
        <v>166</v>
      </c>
      <c r="DU73" t="s">
        <v>166</v>
      </c>
      <c r="DV73" t="s">
        <v>166</v>
      </c>
      <c r="DW73">
        <v>432.6</v>
      </c>
      <c r="DX73" t="s">
        <v>166</v>
      </c>
      <c r="DY73" t="s">
        <v>166</v>
      </c>
      <c r="DZ73" t="s">
        <v>210</v>
      </c>
      <c r="EA73" t="s">
        <v>211</v>
      </c>
      <c r="EB73" t="s">
        <v>212</v>
      </c>
      <c r="EC73" t="s">
        <v>166</v>
      </c>
      <c r="ED73" t="s">
        <v>213</v>
      </c>
      <c r="EE73" s="155" t="s">
        <v>214</v>
      </c>
      <c r="EF73" s="155" t="s">
        <v>214</v>
      </c>
      <c r="EG73">
        <v>1.0271999999999999</v>
      </c>
      <c r="EH73" t="s">
        <v>215</v>
      </c>
      <c r="EI73" t="s">
        <v>215</v>
      </c>
      <c r="EJ73" t="s">
        <v>216</v>
      </c>
      <c r="EK73" t="s">
        <v>215</v>
      </c>
      <c r="EL73" t="s">
        <v>215</v>
      </c>
      <c r="EM73" t="s">
        <v>217</v>
      </c>
      <c r="EN73" s="156" t="s">
        <v>214</v>
      </c>
      <c r="EO73" s="156" t="s">
        <v>214</v>
      </c>
      <c r="EP73" s="156" t="s">
        <v>214</v>
      </c>
      <c r="EQ73" s="156" t="s">
        <v>214</v>
      </c>
      <c r="ET73" t="s">
        <v>218</v>
      </c>
      <c r="EU73" t="s">
        <v>219</v>
      </c>
      <c r="EV73" t="s">
        <v>213</v>
      </c>
      <c r="EW73" t="s">
        <v>166</v>
      </c>
      <c r="EX73" t="s">
        <v>166</v>
      </c>
      <c r="EY73" t="s">
        <v>166</v>
      </c>
      <c r="EZ73" t="s">
        <v>166</v>
      </c>
      <c r="FA73" s="157">
        <v>4.5</v>
      </c>
      <c r="FB73" t="s">
        <v>220</v>
      </c>
      <c r="FC73" s="157">
        <v>1</v>
      </c>
      <c r="FD73" s="157">
        <v>1</v>
      </c>
      <c r="FE73" s="164">
        <v>7.4891025954416</v>
      </c>
      <c r="FF73" t="s">
        <v>221</v>
      </c>
      <c r="FG73" s="164">
        <v>4.7759863747820042E-2</v>
      </c>
      <c r="FH73" s="164">
        <v>5.3613047390239643E-2</v>
      </c>
      <c r="FI73" s="144">
        <v>1911.9983488974401</v>
      </c>
      <c r="FJ73" t="s">
        <v>166</v>
      </c>
      <c r="FK73" t="s">
        <v>166</v>
      </c>
      <c r="FL73" s="144">
        <f t="shared" si="68"/>
        <v>1911.9983488974401</v>
      </c>
      <c r="FM73" s="144">
        <v>668.35590085940999</v>
      </c>
      <c r="FN73" s="144">
        <v>490.95339336381994</v>
      </c>
      <c r="FO73" t="s">
        <v>222</v>
      </c>
      <c r="FP73" t="s">
        <v>223</v>
      </c>
      <c r="FQ73" s="144" t="s">
        <v>166</v>
      </c>
      <c r="FR73" s="144" t="s">
        <v>166</v>
      </c>
      <c r="FS73" s="144" t="s">
        <v>166</v>
      </c>
      <c r="FT73" s="144" t="s">
        <v>166</v>
      </c>
      <c r="FU73" s="144" t="s">
        <v>166</v>
      </c>
      <c r="FV73" s="144" t="s">
        <v>166</v>
      </c>
      <c r="FW73" s="144" t="s">
        <v>166</v>
      </c>
      <c r="FX73" s="144" t="s">
        <v>166</v>
      </c>
      <c r="FY73" s="144" t="s">
        <v>166</v>
      </c>
      <c r="FZ73" s="144" t="s">
        <v>166</v>
      </c>
      <c r="GA73" s="144" t="s">
        <v>166</v>
      </c>
      <c r="GB73" s="144" t="s">
        <v>166</v>
      </c>
      <c r="GC73" s="158" t="s">
        <v>224</v>
      </c>
    </row>
    <row r="74" spans="1:191" ht="17">
      <c r="A74" s="140" t="s">
        <v>162</v>
      </c>
      <c r="B74" s="143" t="s">
        <v>163</v>
      </c>
      <c r="C74" s="140" t="s">
        <v>164</v>
      </c>
      <c r="D74" s="140" t="s">
        <v>165</v>
      </c>
      <c r="E74" s="140">
        <v>2020</v>
      </c>
      <c r="F74" t="s">
        <v>184</v>
      </c>
      <c r="G74" s="139">
        <v>52881.664276123047</v>
      </c>
      <c r="H74" s="147">
        <f t="shared" ref="H74" si="73">0.0083*G74^(0.9482)</f>
        <v>249.87108471056331</v>
      </c>
      <c r="I74" s="147">
        <f t="shared" si="67"/>
        <v>249.87108471056331</v>
      </c>
      <c r="J74" s="144">
        <v>1284.46894972566</v>
      </c>
      <c r="K74" s="144">
        <v>389.30056815297007</v>
      </c>
      <c r="L74" s="144">
        <v>284.37282116179983</v>
      </c>
      <c r="M74" s="140" t="b">
        <v>1</v>
      </c>
      <c r="N74" s="140">
        <v>1</v>
      </c>
      <c r="O74" s="302" t="s">
        <v>581</v>
      </c>
      <c r="P74" s="140" t="s">
        <v>166</v>
      </c>
      <c r="Q74" s="140" t="s">
        <v>166</v>
      </c>
      <c r="R74" s="140" t="s">
        <v>166</v>
      </c>
      <c r="S74" s="140" t="b">
        <v>1</v>
      </c>
      <c r="T74" s="140" t="b">
        <v>0</v>
      </c>
      <c r="U74" s="140" t="s">
        <v>166</v>
      </c>
      <c r="V74" s="140" t="b">
        <v>0</v>
      </c>
      <c r="W74" s="140" t="b">
        <v>0</v>
      </c>
      <c r="X74" s="140" t="s">
        <v>580</v>
      </c>
      <c r="Y74" s="148" t="s">
        <v>186</v>
      </c>
      <c r="Z74" t="s">
        <v>184</v>
      </c>
      <c r="AA74" s="149">
        <v>1409</v>
      </c>
      <c r="AB74" s="149" t="s">
        <v>352</v>
      </c>
      <c r="AC74" s="149">
        <v>17</v>
      </c>
      <c r="AD74" s="149">
        <v>2</v>
      </c>
      <c r="AE74" t="s">
        <v>166</v>
      </c>
      <c r="AF74" t="s">
        <v>166</v>
      </c>
      <c r="AG74" s="150">
        <v>143.63999999999999</v>
      </c>
      <c r="AH74" t="s">
        <v>166</v>
      </c>
      <c r="AI74" t="s">
        <v>166</v>
      </c>
      <c r="AJ74" t="s">
        <v>310</v>
      </c>
      <c r="AK74">
        <v>41.295822000000001</v>
      </c>
      <c r="AL74">
        <v>-49.233086999999998</v>
      </c>
      <c r="AM74">
        <v>31.00340461730957</v>
      </c>
      <c r="AN74" t="s">
        <v>166</v>
      </c>
      <c r="AO74">
        <v>-3500</v>
      </c>
      <c r="AP74">
        <v>-3050</v>
      </c>
      <c r="AQ74" t="s">
        <v>353</v>
      </c>
      <c r="AR74" t="s">
        <v>166</v>
      </c>
      <c r="AS74" s="150">
        <v>52.881664276123047</v>
      </c>
      <c r="AT74" t="s">
        <v>166</v>
      </c>
      <c r="AU74" t="s">
        <v>166</v>
      </c>
      <c r="AV74" t="s">
        <v>166</v>
      </c>
      <c r="AW74" t="s">
        <v>166</v>
      </c>
      <c r="AX74" t="s">
        <v>166</v>
      </c>
      <c r="AY74" t="s">
        <v>190</v>
      </c>
      <c r="AZ74" t="s">
        <v>166</v>
      </c>
      <c r="BA74" t="s">
        <v>166</v>
      </c>
      <c r="BB74" t="s">
        <v>166</v>
      </c>
      <c r="BC74" t="s">
        <v>166</v>
      </c>
      <c r="BD74" t="s">
        <v>166</v>
      </c>
      <c r="BE74" t="s">
        <v>166</v>
      </c>
      <c r="BF74" t="s">
        <v>166</v>
      </c>
      <c r="BG74" s="151" t="s">
        <v>248</v>
      </c>
      <c r="BH74" s="149" t="s">
        <v>263</v>
      </c>
      <c r="BI74" t="s">
        <v>166</v>
      </c>
      <c r="BJ74" s="152" t="s">
        <v>166</v>
      </c>
      <c r="BK74" t="s">
        <v>354</v>
      </c>
      <c r="BL74" t="s">
        <v>194</v>
      </c>
      <c r="BM74" t="s">
        <v>195</v>
      </c>
      <c r="BN74" t="s">
        <v>166</v>
      </c>
      <c r="BO74" t="s">
        <v>166</v>
      </c>
      <c r="BP74" t="s">
        <v>166</v>
      </c>
      <c r="BQ74" s="150">
        <v>13.933551566276659</v>
      </c>
      <c r="BR74" t="s">
        <v>196</v>
      </c>
      <c r="BS74" s="150">
        <v>0.24605181785747809</v>
      </c>
      <c r="BT74">
        <v>1</v>
      </c>
      <c r="BU74" t="s">
        <v>197</v>
      </c>
      <c r="BV74" t="s">
        <v>166</v>
      </c>
      <c r="BW74">
        <v>0</v>
      </c>
      <c r="BX74" t="s">
        <v>197</v>
      </c>
      <c r="BY74" t="s">
        <v>166</v>
      </c>
      <c r="BZ74" t="s">
        <v>198</v>
      </c>
      <c r="CA74" t="s">
        <v>166</v>
      </c>
      <c r="CB74" s="150">
        <v>13.933551566276659</v>
      </c>
      <c r="CC74" t="s">
        <v>196</v>
      </c>
      <c r="CD74" s="150">
        <v>0.24605181785747809</v>
      </c>
      <c r="CE74" t="s">
        <v>199</v>
      </c>
      <c r="CF74" t="s">
        <v>166</v>
      </c>
      <c r="CG74" t="s">
        <v>200</v>
      </c>
      <c r="CH74" t="s">
        <v>166</v>
      </c>
      <c r="CI74" t="s">
        <v>166</v>
      </c>
      <c r="CJ74" s="139">
        <v>32.916872074222105</v>
      </c>
      <c r="CK74" t="s">
        <v>201</v>
      </c>
      <c r="CL74">
        <v>2</v>
      </c>
      <c r="CM74">
        <v>2</v>
      </c>
      <c r="CN74" t="s">
        <v>166</v>
      </c>
      <c r="CO74" s="139">
        <v>3.4779638200079339</v>
      </c>
      <c r="CP74" t="s">
        <v>166</v>
      </c>
      <c r="CQ74" t="s">
        <v>166</v>
      </c>
      <c r="CR74" t="s">
        <v>166</v>
      </c>
      <c r="CS74" s="153" t="s">
        <v>202</v>
      </c>
      <c r="CT74" t="s">
        <v>203</v>
      </c>
      <c r="CU74">
        <v>2.2000000000000002</v>
      </c>
      <c r="CV74" t="s">
        <v>204</v>
      </c>
      <c r="CW74" t="s">
        <v>166</v>
      </c>
      <c r="CX74" t="s">
        <v>166</v>
      </c>
      <c r="CY74" t="s">
        <v>166</v>
      </c>
      <c r="CZ74" t="s">
        <v>166</v>
      </c>
      <c r="DA74" s="154" t="s">
        <v>166</v>
      </c>
      <c r="DB74" t="s">
        <v>166</v>
      </c>
      <c r="DC74" t="s">
        <v>166</v>
      </c>
      <c r="DD74" t="s">
        <v>166</v>
      </c>
      <c r="DE74" t="s">
        <v>166</v>
      </c>
      <c r="DF74" t="s">
        <v>205</v>
      </c>
      <c r="DG74">
        <v>35</v>
      </c>
      <c r="DH74" t="s">
        <v>201</v>
      </c>
      <c r="DI74">
        <v>1</v>
      </c>
      <c r="DJ74" t="s">
        <v>206</v>
      </c>
      <c r="DK74">
        <v>17</v>
      </c>
      <c r="DL74" t="s">
        <v>166</v>
      </c>
      <c r="DM74" t="s">
        <v>166</v>
      </c>
      <c r="DN74" t="s">
        <v>207</v>
      </c>
      <c r="DO74">
        <v>38</v>
      </c>
      <c r="DP74" t="s">
        <v>208</v>
      </c>
      <c r="DQ74">
        <v>3</v>
      </c>
      <c r="DR74" t="s">
        <v>209</v>
      </c>
      <c r="DS74" t="s">
        <v>166</v>
      </c>
      <c r="DT74" t="s">
        <v>166</v>
      </c>
      <c r="DU74" t="s">
        <v>166</v>
      </c>
      <c r="DV74" t="s">
        <v>166</v>
      </c>
      <c r="DW74">
        <v>432.6</v>
      </c>
      <c r="DX74" t="s">
        <v>166</v>
      </c>
      <c r="DY74" t="s">
        <v>166</v>
      </c>
      <c r="DZ74" t="s">
        <v>210</v>
      </c>
      <c r="EA74" t="s">
        <v>211</v>
      </c>
      <c r="EB74" t="s">
        <v>212</v>
      </c>
      <c r="EC74" t="s">
        <v>166</v>
      </c>
      <c r="ED74" t="s">
        <v>213</v>
      </c>
      <c r="EE74" s="155" t="s">
        <v>214</v>
      </c>
      <c r="EF74" s="155" t="s">
        <v>214</v>
      </c>
      <c r="EG74">
        <v>1.0271999999999999</v>
      </c>
      <c r="EH74" t="s">
        <v>215</v>
      </c>
      <c r="EI74" t="s">
        <v>215</v>
      </c>
      <c r="EJ74" t="s">
        <v>216</v>
      </c>
      <c r="EK74" t="s">
        <v>215</v>
      </c>
      <c r="EL74" t="s">
        <v>215</v>
      </c>
      <c r="EM74" t="s">
        <v>217</v>
      </c>
      <c r="EN74" s="156" t="s">
        <v>214</v>
      </c>
      <c r="EO74" s="156" t="s">
        <v>214</v>
      </c>
      <c r="EP74" s="156" t="s">
        <v>214</v>
      </c>
      <c r="EQ74" s="156" t="s">
        <v>214</v>
      </c>
      <c r="ET74" t="s">
        <v>218</v>
      </c>
      <c r="EU74" t="s">
        <v>219</v>
      </c>
      <c r="EV74" t="s">
        <v>213</v>
      </c>
      <c r="EW74" t="s">
        <v>166</v>
      </c>
      <c r="EX74" t="s">
        <v>166</v>
      </c>
      <c r="EY74" t="s">
        <v>166</v>
      </c>
      <c r="EZ74" t="s">
        <v>166</v>
      </c>
      <c r="FA74" s="157">
        <v>4.5</v>
      </c>
      <c r="FB74" t="s">
        <v>220</v>
      </c>
      <c r="FC74" s="157">
        <v>1</v>
      </c>
      <c r="FD74" s="157">
        <v>1</v>
      </c>
      <c r="FE74" s="150">
        <v>7.5932484623938503</v>
      </c>
      <c r="FF74" t="s">
        <v>221</v>
      </c>
      <c r="FG74" s="150">
        <v>3.9204073376309267E-2</v>
      </c>
      <c r="FH74" s="150">
        <v>4.3790825213040563E-2</v>
      </c>
      <c r="FI74" s="144">
        <v>1284.46894972566</v>
      </c>
      <c r="FJ74" t="s">
        <v>166</v>
      </c>
      <c r="FK74" t="s">
        <v>166</v>
      </c>
      <c r="FL74" s="144">
        <f t="shared" si="68"/>
        <v>1284.46894972566</v>
      </c>
      <c r="FM74" s="144">
        <v>389.30056815297007</v>
      </c>
      <c r="FN74" s="144">
        <v>284.37282116179983</v>
      </c>
      <c r="FO74" t="s">
        <v>222</v>
      </c>
      <c r="FP74" t="s">
        <v>223</v>
      </c>
      <c r="FQ74" s="144" t="s">
        <v>166</v>
      </c>
      <c r="FR74" s="144" t="s">
        <v>166</v>
      </c>
      <c r="FS74" s="144" t="s">
        <v>166</v>
      </c>
      <c r="FT74" s="144" t="s">
        <v>166</v>
      </c>
      <c r="FU74" s="144" t="s">
        <v>166</v>
      </c>
      <c r="FV74" s="144" t="s">
        <v>166</v>
      </c>
      <c r="FW74" s="144" t="s">
        <v>166</v>
      </c>
      <c r="FX74" s="144" t="s">
        <v>166</v>
      </c>
      <c r="FY74" s="144" t="s">
        <v>166</v>
      </c>
      <c r="FZ74" s="144" t="s">
        <v>166</v>
      </c>
      <c r="GA74" s="144" t="s">
        <v>166</v>
      </c>
      <c r="GB74" s="144" t="s">
        <v>166</v>
      </c>
      <c r="GC74" s="158" t="s">
        <v>224</v>
      </c>
    </row>
    <row r="75" spans="1:191" ht="17">
      <c r="A75" s="140" t="s">
        <v>162</v>
      </c>
      <c r="B75" s="143" t="s">
        <v>163</v>
      </c>
      <c r="C75" s="140" t="s">
        <v>164</v>
      </c>
      <c r="D75" s="140" t="s">
        <v>165</v>
      </c>
      <c r="E75" s="140">
        <v>2020</v>
      </c>
      <c r="F75" t="s">
        <v>184</v>
      </c>
      <c r="G75" s="139">
        <v>52881.664276123047</v>
      </c>
      <c r="H75" s="147">
        <f t="shared" ref="H75" si="74">0.0083*G75^(0.9482)</f>
        <v>249.87108471056331</v>
      </c>
      <c r="I75" s="147">
        <f t="shared" si="67"/>
        <v>249.87108471056331</v>
      </c>
      <c r="J75" s="144">
        <v>940.434592113897</v>
      </c>
      <c r="K75" s="144">
        <v>252.460005634053</v>
      </c>
      <c r="L75" s="144">
        <v>207.17970402549497</v>
      </c>
      <c r="M75" s="140" t="b">
        <v>1</v>
      </c>
      <c r="N75" s="140">
        <v>1</v>
      </c>
      <c r="O75" s="302" t="s">
        <v>581</v>
      </c>
      <c r="P75" s="140" t="s">
        <v>166</v>
      </c>
      <c r="Q75" s="140" t="s">
        <v>166</v>
      </c>
      <c r="R75" s="140" t="s">
        <v>166</v>
      </c>
      <c r="S75" s="140" t="b">
        <v>1</v>
      </c>
      <c r="T75" s="140" t="b">
        <v>0</v>
      </c>
      <c r="U75" s="140" t="s">
        <v>166</v>
      </c>
      <c r="V75" s="140" t="b">
        <v>0</v>
      </c>
      <c r="W75" s="140" t="b">
        <v>0</v>
      </c>
      <c r="X75" s="140" t="s">
        <v>580</v>
      </c>
      <c r="Y75" s="148" t="s">
        <v>186</v>
      </c>
      <c r="Z75" t="s">
        <v>184</v>
      </c>
      <c r="AA75" s="149">
        <v>1409</v>
      </c>
      <c r="AB75" s="149" t="s">
        <v>352</v>
      </c>
      <c r="AC75" s="149">
        <v>17</v>
      </c>
      <c r="AD75" s="149">
        <v>2</v>
      </c>
      <c r="AE75" t="s">
        <v>166</v>
      </c>
      <c r="AF75" t="s">
        <v>166</v>
      </c>
      <c r="AG75" s="150">
        <v>143.63999999999999</v>
      </c>
      <c r="AH75" t="s">
        <v>166</v>
      </c>
      <c r="AI75" t="s">
        <v>166</v>
      </c>
      <c r="AJ75" t="s">
        <v>310</v>
      </c>
      <c r="AK75">
        <v>41.295822000000001</v>
      </c>
      <c r="AL75">
        <v>-49.233086999999998</v>
      </c>
      <c r="AM75">
        <v>31.00340461730957</v>
      </c>
      <c r="AN75" t="s">
        <v>166</v>
      </c>
      <c r="AO75">
        <v>-3500</v>
      </c>
      <c r="AP75">
        <v>-3050</v>
      </c>
      <c r="AQ75" t="s">
        <v>355</v>
      </c>
      <c r="AR75" t="s">
        <v>166</v>
      </c>
      <c r="AS75" s="150">
        <v>52.881664276123047</v>
      </c>
      <c r="AT75" t="s">
        <v>166</v>
      </c>
      <c r="AU75" t="s">
        <v>166</v>
      </c>
      <c r="AV75" t="s">
        <v>166</v>
      </c>
      <c r="AW75" t="s">
        <v>166</v>
      </c>
      <c r="AX75" t="s">
        <v>166</v>
      </c>
      <c r="AY75" t="s">
        <v>190</v>
      </c>
      <c r="AZ75" t="s">
        <v>166</v>
      </c>
      <c r="BA75" t="s">
        <v>166</v>
      </c>
      <c r="BB75" t="s">
        <v>166</v>
      </c>
      <c r="BC75" t="s">
        <v>166</v>
      </c>
      <c r="BD75" t="s">
        <v>166</v>
      </c>
      <c r="BE75" t="s">
        <v>166</v>
      </c>
      <c r="BF75" t="s">
        <v>166</v>
      </c>
      <c r="BG75" s="151" t="s">
        <v>238</v>
      </c>
      <c r="BH75" s="149" t="s">
        <v>263</v>
      </c>
      <c r="BI75" t="s">
        <v>166</v>
      </c>
      <c r="BJ75" s="152" t="s">
        <v>166</v>
      </c>
      <c r="BK75" t="s">
        <v>356</v>
      </c>
      <c r="BL75" t="s">
        <v>194</v>
      </c>
      <c r="BM75" t="s">
        <v>195</v>
      </c>
      <c r="BN75" t="s">
        <v>166</v>
      </c>
      <c r="BO75" t="s">
        <v>166</v>
      </c>
      <c r="BP75" t="s">
        <v>166</v>
      </c>
      <c r="BQ75" s="150">
        <v>14.385071766187867</v>
      </c>
      <c r="BR75" t="s">
        <v>196</v>
      </c>
      <c r="BS75" s="150">
        <v>0.25321267993790397</v>
      </c>
      <c r="BT75">
        <v>1</v>
      </c>
      <c r="BU75" t="s">
        <v>197</v>
      </c>
      <c r="BV75" t="s">
        <v>166</v>
      </c>
      <c r="BW75">
        <v>0</v>
      </c>
      <c r="BX75" t="s">
        <v>197</v>
      </c>
      <c r="BY75" t="s">
        <v>166</v>
      </c>
      <c r="BZ75" t="s">
        <v>198</v>
      </c>
      <c r="CA75" t="s">
        <v>166</v>
      </c>
      <c r="CB75" s="150">
        <v>14.385071766187867</v>
      </c>
      <c r="CC75" t="s">
        <v>196</v>
      </c>
      <c r="CD75" s="150">
        <v>0.25321267993790397</v>
      </c>
      <c r="CE75" t="s">
        <v>199</v>
      </c>
      <c r="CF75" t="s">
        <v>166</v>
      </c>
      <c r="CG75" t="s">
        <v>200</v>
      </c>
      <c r="CH75" t="s">
        <v>166</v>
      </c>
      <c r="CI75" t="s">
        <v>166</v>
      </c>
      <c r="CJ75" s="139">
        <v>33.053101055642259</v>
      </c>
      <c r="CK75" t="s">
        <v>201</v>
      </c>
      <c r="CL75">
        <v>2</v>
      </c>
      <c r="CM75">
        <v>2</v>
      </c>
      <c r="CN75" t="s">
        <v>166</v>
      </c>
      <c r="CO75" s="139">
        <v>3.5047718430450976</v>
      </c>
      <c r="CP75" t="s">
        <v>166</v>
      </c>
      <c r="CQ75" t="s">
        <v>166</v>
      </c>
      <c r="CR75" t="s">
        <v>166</v>
      </c>
      <c r="CS75" s="153" t="s">
        <v>202</v>
      </c>
      <c r="CT75" t="s">
        <v>203</v>
      </c>
      <c r="CU75">
        <v>2.2000000000000002</v>
      </c>
      <c r="CV75" t="s">
        <v>204</v>
      </c>
      <c r="CW75" t="s">
        <v>166</v>
      </c>
      <c r="CX75" t="s">
        <v>166</v>
      </c>
      <c r="CY75" t="s">
        <v>166</v>
      </c>
      <c r="CZ75" t="s">
        <v>166</v>
      </c>
      <c r="DA75" s="154" t="s">
        <v>166</v>
      </c>
      <c r="DB75" t="s">
        <v>166</v>
      </c>
      <c r="DC75" t="s">
        <v>166</v>
      </c>
      <c r="DD75" t="s">
        <v>166</v>
      </c>
      <c r="DE75" t="s">
        <v>166</v>
      </c>
      <c r="DF75" t="s">
        <v>205</v>
      </c>
      <c r="DG75">
        <v>35</v>
      </c>
      <c r="DH75" t="s">
        <v>201</v>
      </c>
      <c r="DI75">
        <v>1</v>
      </c>
      <c r="DJ75" t="s">
        <v>206</v>
      </c>
      <c r="DK75">
        <v>17</v>
      </c>
      <c r="DL75" t="s">
        <v>166</v>
      </c>
      <c r="DM75" t="s">
        <v>166</v>
      </c>
      <c r="DN75" t="s">
        <v>207</v>
      </c>
      <c r="DO75">
        <v>38</v>
      </c>
      <c r="DP75" t="s">
        <v>208</v>
      </c>
      <c r="DQ75">
        <v>3</v>
      </c>
      <c r="DR75" t="s">
        <v>209</v>
      </c>
      <c r="DS75" t="s">
        <v>166</v>
      </c>
      <c r="DT75" t="s">
        <v>166</v>
      </c>
      <c r="DU75" t="s">
        <v>166</v>
      </c>
      <c r="DV75" t="s">
        <v>166</v>
      </c>
      <c r="DW75">
        <v>432.6</v>
      </c>
      <c r="DX75" t="s">
        <v>166</v>
      </c>
      <c r="DY75" t="s">
        <v>166</v>
      </c>
      <c r="DZ75" t="s">
        <v>210</v>
      </c>
      <c r="EA75" t="s">
        <v>211</v>
      </c>
      <c r="EB75" t="s">
        <v>212</v>
      </c>
      <c r="EC75" t="s">
        <v>166</v>
      </c>
      <c r="ED75" t="s">
        <v>213</v>
      </c>
      <c r="EE75" s="155" t="s">
        <v>214</v>
      </c>
      <c r="EF75" s="155" t="s">
        <v>214</v>
      </c>
      <c r="EG75">
        <v>1.0271999999999999</v>
      </c>
      <c r="EH75" t="s">
        <v>215</v>
      </c>
      <c r="EI75" t="s">
        <v>215</v>
      </c>
      <c r="EJ75" t="s">
        <v>216</v>
      </c>
      <c r="EK75" t="s">
        <v>215</v>
      </c>
      <c r="EL75" t="s">
        <v>215</v>
      </c>
      <c r="EM75" t="s">
        <v>217</v>
      </c>
      <c r="EN75" s="156" t="s">
        <v>214</v>
      </c>
      <c r="EO75" s="156" t="s">
        <v>214</v>
      </c>
      <c r="EP75" s="156" t="s">
        <v>214</v>
      </c>
      <c r="EQ75" s="156" t="s">
        <v>214</v>
      </c>
      <c r="ET75" t="s">
        <v>218</v>
      </c>
      <c r="EU75" t="s">
        <v>219</v>
      </c>
      <c r="EV75" t="s">
        <v>213</v>
      </c>
      <c r="EW75" t="s">
        <v>166</v>
      </c>
      <c r="EX75" t="s">
        <v>166</v>
      </c>
      <c r="EY75" t="s">
        <v>166</v>
      </c>
      <c r="EZ75" t="s">
        <v>166</v>
      </c>
      <c r="FA75" s="157">
        <v>4.5</v>
      </c>
      <c r="FB75" t="s">
        <v>220</v>
      </c>
      <c r="FC75" s="157">
        <v>1</v>
      </c>
      <c r="FD75" s="157">
        <v>1</v>
      </c>
      <c r="FE75" s="150">
        <v>7.6628677363042099</v>
      </c>
      <c r="FF75" t="s">
        <v>221</v>
      </c>
      <c r="FG75" s="150">
        <v>3.8591727366200423E-2</v>
      </c>
      <c r="FH75" s="150">
        <v>4.3350290890550092E-2</v>
      </c>
      <c r="FI75" s="144">
        <v>940.434592113897</v>
      </c>
      <c r="FJ75" t="s">
        <v>166</v>
      </c>
      <c r="FK75" t="s">
        <v>166</v>
      </c>
      <c r="FL75" s="144">
        <f t="shared" si="68"/>
        <v>940.434592113897</v>
      </c>
      <c r="FM75" s="144">
        <v>252.460005634053</v>
      </c>
      <c r="FN75" s="144">
        <v>207.17970402549497</v>
      </c>
      <c r="FO75" t="s">
        <v>222</v>
      </c>
      <c r="FP75" t="s">
        <v>223</v>
      </c>
      <c r="FQ75" s="144" t="s">
        <v>166</v>
      </c>
      <c r="FR75" s="144" t="s">
        <v>166</v>
      </c>
      <c r="FS75" s="144" t="s">
        <v>166</v>
      </c>
      <c r="FT75" s="144" t="s">
        <v>166</v>
      </c>
      <c r="FU75" s="144" t="s">
        <v>166</v>
      </c>
      <c r="FV75" s="144" t="s">
        <v>166</v>
      </c>
      <c r="FW75" s="144" t="s">
        <v>166</v>
      </c>
      <c r="FX75" s="144" t="s">
        <v>166</v>
      </c>
      <c r="FY75" s="144" t="s">
        <v>166</v>
      </c>
      <c r="FZ75" s="144" t="s">
        <v>166</v>
      </c>
      <c r="GA75" s="144" t="s">
        <v>166</v>
      </c>
      <c r="GB75" s="144" t="s">
        <v>166</v>
      </c>
      <c r="GC75" s="158" t="s">
        <v>224</v>
      </c>
    </row>
    <row r="76" spans="1:191" ht="17">
      <c r="A76" s="140" t="s">
        <v>162</v>
      </c>
      <c r="B76" s="143" t="s">
        <v>163</v>
      </c>
      <c r="C76" s="140" t="s">
        <v>164</v>
      </c>
      <c r="D76" s="140" t="s">
        <v>165</v>
      </c>
      <c r="E76" s="140">
        <v>2020</v>
      </c>
      <c r="F76" t="s">
        <v>184</v>
      </c>
      <c r="G76" s="139">
        <v>53871.471405029297</v>
      </c>
      <c r="H76" s="147">
        <f t="shared" ref="H76" si="75">0.0083*G76^(0.9482)</f>
        <v>254.30361994390523</v>
      </c>
      <c r="I76" s="147">
        <f t="shared" si="67"/>
        <v>254.30361994390523</v>
      </c>
      <c r="J76" s="144">
        <v>869.39693620267803</v>
      </c>
      <c r="K76" s="144">
        <v>228.19276892532184</v>
      </c>
      <c r="L76" s="144">
        <v>196.85038232290299</v>
      </c>
      <c r="M76" s="140" t="b">
        <v>1</v>
      </c>
      <c r="N76" s="140">
        <v>1</v>
      </c>
      <c r="O76" s="302" t="s">
        <v>581</v>
      </c>
      <c r="P76" s="140" t="s">
        <v>166</v>
      </c>
      <c r="Q76" s="140" t="s">
        <v>166</v>
      </c>
      <c r="R76" s="140" t="s">
        <v>166</v>
      </c>
      <c r="S76" s="140" t="b">
        <v>1</v>
      </c>
      <c r="T76" s="140" t="b">
        <v>0</v>
      </c>
      <c r="U76" s="140" t="s">
        <v>166</v>
      </c>
      <c r="V76" s="140" t="b">
        <v>0</v>
      </c>
      <c r="W76" s="140" t="b">
        <v>0</v>
      </c>
      <c r="X76" s="140" t="s">
        <v>580</v>
      </c>
      <c r="Y76" s="55" t="s">
        <v>186</v>
      </c>
      <c r="Z76" s="165" t="s">
        <v>184</v>
      </c>
      <c r="AA76" s="166">
        <v>1409</v>
      </c>
      <c r="AB76" s="166" t="s">
        <v>352</v>
      </c>
      <c r="AC76" s="166">
        <v>18</v>
      </c>
      <c r="AD76" s="166">
        <v>2</v>
      </c>
      <c r="AE76" s="165" t="s">
        <v>166</v>
      </c>
      <c r="AF76" s="165" t="s">
        <v>166</v>
      </c>
      <c r="AG76" s="167">
        <v>153.13</v>
      </c>
      <c r="AH76" s="165" t="s">
        <v>166</v>
      </c>
      <c r="AI76" s="165" t="s">
        <v>166</v>
      </c>
      <c r="AJ76" s="165" t="s">
        <v>310</v>
      </c>
      <c r="AK76" s="165">
        <v>41.295822000000001</v>
      </c>
      <c r="AL76" s="165">
        <v>-49.233086999999998</v>
      </c>
      <c r="AM76" s="165">
        <v>31.025642395019531</v>
      </c>
      <c r="AN76" s="165" t="s">
        <v>166</v>
      </c>
      <c r="AO76" s="165">
        <v>-3500</v>
      </c>
      <c r="AP76" s="165">
        <v>-3050</v>
      </c>
      <c r="AQ76" s="165" t="s">
        <v>357</v>
      </c>
      <c r="AR76" s="165" t="s">
        <v>166</v>
      </c>
      <c r="AS76" s="167">
        <v>53.871471405029297</v>
      </c>
      <c r="AT76" s="165" t="s">
        <v>166</v>
      </c>
      <c r="AU76" s="165" t="s">
        <v>166</v>
      </c>
      <c r="AV76" s="165" t="s">
        <v>166</v>
      </c>
      <c r="AW76" s="165" t="s">
        <v>166</v>
      </c>
      <c r="AX76" s="165" t="s">
        <v>166</v>
      </c>
      <c r="AY76" s="165" t="s">
        <v>190</v>
      </c>
      <c r="AZ76" s="165" t="s">
        <v>166</v>
      </c>
      <c r="BA76" s="165" t="s">
        <v>166</v>
      </c>
      <c r="BB76" s="165" t="s">
        <v>166</v>
      </c>
      <c r="BC76" s="165" t="s">
        <v>166</v>
      </c>
      <c r="BD76" s="165" t="s">
        <v>166</v>
      </c>
      <c r="BE76" s="165" t="s">
        <v>166</v>
      </c>
      <c r="BF76" s="165" t="s">
        <v>166</v>
      </c>
      <c r="BG76" s="168" t="s">
        <v>248</v>
      </c>
      <c r="BH76" s="166" t="s">
        <v>263</v>
      </c>
      <c r="BI76" s="165" t="s">
        <v>166</v>
      </c>
      <c r="BJ76" s="169" t="s">
        <v>166</v>
      </c>
      <c r="BK76" s="165" t="s">
        <v>358</v>
      </c>
      <c r="BL76" s="165" t="s">
        <v>194</v>
      </c>
      <c r="BM76" s="165" t="s">
        <v>195</v>
      </c>
      <c r="BN76" s="165" t="s">
        <v>166</v>
      </c>
      <c r="BO76" s="165" t="s">
        <v>166</v>
      </c>
      <c r="BP76" s="165" t="s">
        <v>166</v>
      </c>
      <c r="BQ76" s="167">
        <v>14.495731910397987</v>
      </c>
      <c r="BR76" s="165" t="s">
        <v>196</v>
      </c>
      <c r="BS76" s="167">
        <v>0.25253924454345827</v>
      </c>
      <c r="BT76" s="165">
        <v>1</v>
      </c>
      <c r="BU76" s="165" t="s">
        <v>197</v>
      </c>
      <c r="BV76" s="165" t="s">
        <v>166</v>
      </c>
      <c r="BW76" s="165">
        <v>0</v>
      </c>
      <c r="BX76" s="165" t="s">
        <v>197</v>
      </c>
      <c r="BY76" s="165" t="s">
        <v>166</v>
      </c>
      <c r="BZ76" s="165" t="s">
        <v>198</v>
      </c>
      <c r="CA76" s="165" t="s">
        <v>166</v>
      </c>
      <c r="CB76" s="167">
        <v>14.495731910397987</v>
      </c>
      <c r="CC76" s="165" t="s">
        <v>196</v>
      </c>
      <c r="CD76" s="167">
        <v>0.25253924454345827</v>
      </c>
      <c r="CE76" s="165" t="s">
        <v>199</v>
      </c>
      <c r="CF76" s="165" t="s">
        <v>166</v>
      </c>
      <c r="CG76" s="165" t="s">
        <v>200</v>
      </c>
      <c r="CH76" s="165" t="s">
        <v>166</v>
      </c>
      <c r="CI76" s="165" t="s">
        <v>166</v>
      </c>
      <c r="CJ76" s="170">
        <v>32.707009763059304</v>
      </c>
      <c r="CK76" s="165" t="s">
        <v>201</v>
      </c>
      <c r="CL76" s="165">
        <v>2</v>
      </c>
      <c r="CM76" s="165">
        <v>2</v>
      </c>
      <c r="CN76" s="165" t="s">
        <v>166</v>
      </c>
      <c r="CO76" s="170">
        <v>3.4370664590794395</v>
      </c>
      <c r="CP76" s="165" t="s">
        <v>166</v>
      </c>
      <c r="CQ76" s="165" t="s">
        <v>166</v>
      </c>
      <c r="CR76" s="165" t="s">
        <v>166</v>
      </c>
      <c r="CS76" s="171" t="s">
        <v>202</v>
      </c>
      <c r="CT76" s="165" t="s">
        <v>203</v>
      </c>
      <c r="CU76" s="165">
        <v>2.2000000000000002</v>
      </c>
      <c r="CV76" s="165" t="s">
        <v>204</v>
      </c>
      <c r="CW76" s="165" t="s">
        <v>166</v>
      </c>
      <c r="CX76" s="165" t="s">
        <v>166</v>
      </c>
      <c r="CY76" s="165" t="s">
        <v>166</v>
      </c>
      <c r="CZ76" s="165" t="s">
        <v>166</v>
      </c>
      <c r="DA76" s="172" t="s">
        <v>166</v>
      </c>
      <c r="DB76" s="165" t="s">
        <v>166</v>
      </c>
      <c r="DC76" s="165" t="s">
        <v>166</v>
      </c>
      <c r="DD76" s="165" t="s">
        <v>166</v>
      </c>
      <c r="DE76" s="165" t="s">
        <v>166</v>
      </c>
      <c r="DF76" s="165" t="s">
        <v>205</v>
      </c>
      <c r="DG76" s="165">
        <v>35</v>
      </c>
      <c r="DH76" s="165" t="s">
        <v>201</v>
      </c>
      <c r="DI76" s="165">
        <v>1</v>
      </c>
      <c r="DJ76" s="165" t="s">
        <v>206</v>
      </c>
      <c r="DK76" s="165">
        <v>17</v>
      </c>
      <c r="DL76" s="165" t="s">
        <v>166</v>
      </c>
      <c r="DM76" s="165" t="s">
        <v>166</v>
      </c>
      <c r="DN76" s="165" t="s">
        <v>207</v>
      </c>
      <c r="DO76" s="165">
        <v>38</v>
      </c>
      <c r="DP76" s="165" t="s">
        <v>208</v>
      </c>
      <c r="DQ76" s="165">
        <v>3</v>
      </c>
      <c r="DR76" s="165" t="s">
        <v>209</v>
      </c>
      <c r="DS76" s="165" t="s">
        <v>166</v>
      </c>
      <c r="DT76" s="165" t="s">
        <v>166</v>
      </c>
      <c r="DU76" s="165" t="s">
        <v>166</v>
      </c>
      <c r="DV76" s="165" t="s">
        <v>166</v>
      </c>
      <c r="DW76" s="165">
        <v>432.6</v>
      </c>
      <c r="DX76" s="165" t="s">
        <v>166</v>
      </c>
      <c r="DY76" s="165" t="s">
        <v>166</v>
      </c>
      <c r="DZ76" s="165" t="s">
        <v>210</v>
      </c>
      <c r="EA76" s="165" t="s">
        <v>211</v>
      </c>
      <c r="EB76" s="165" t="s">
        <v>212</v>
      </c>
      <c r="EC76" s="165" t="s">
        <v>166</v>
      </c>
      <c r="ED76" s="165" t="s">
        <v>213</v>
      </c>
      <c r="EE76" s="173" t="s">
        <v>214</v>
      </c>
      <c r="EF76" s="173" t="s">
        <v>214</v>
      </c>
      <c r="EG76" s="165">
        <v>1.0271999999999999</v>
      </c>
      <c r="EH76" s="165" t="s">
        <v>215</v>
      </c>
      <c r="EI76" s="165" t="s">
        <v>215</v>
      </c>
      <c r="EJ76" s="165" t="s">
        <v>216</v>
      </c>
      <c r="EK76" s="165" t="s">
        <v>215</v>
      </c>
      <c r="EL76" s="165" t="s">
        <v>215</v>
      </c>
      <c r="EM76" s="165" t="s">
        <v>217</v>
      </c>
      <c r="EN76" s="2" t="s">
        <v>214</v>
      </c>
      <c r="EO76" s="2" t="s">
        <v>214</v>
      </c>
      <c r="EP76" s="2" t="s">
        <v>214</v>
      </c>
      <c r="EQ76" s="2" t="s">
        <v>214</v>
      </c>
      <c r="ER76" s="165"/>
      <c r="ES76" s="165"/>
      <c r="ET76" s="165" t="s">
        <v>218</v>
      </c>
      <c r="EU76" s="165" t="s">
        <v>219</v>
      </c>
      <c r="EV76" s="165" t="s">
        <v>213</v>
      </c>
      <c r="EW76" s="165" t="s">
        <v>166</v>
      </c>
      <c r="EX76" s="165" t="s">
        <v>166</v>
      </c>
      <c r="EY76" s="165" t="s">
        <v>166</v>
      </c>
      <c r="EZ76" s="165" t="s">
        <v>166</v>
      </c>
      <c r="FA76" s="174">
        <v>4.5</v>
      </c>
      <c r="FB76" s="165" t="s">
        <v>220</v>
      </c>
      <c r="FC76" s="174">
        <v>1</v>
      </c>
      <c r="FD76" s="174">
        <v>1</v>
      </c>
      <c r="FE76" s="167">
        <v>7.6818894196219798</v>
      </c>
      <c r="FF76" s="165" t="s">
        <v>221</v>
      </c>
      <c r="FG76" s="167">
        <v>3.8849156652200456E-2</v>
      </c>
      <c r="FH76" s="167">
        <v>3.90429484584498E-2</v>
      </c>
      <c r="FI76" s="175">
        <v>869.39693620267803</v>
      </c>
      <c r="FJ76" s="165" t="s">
        <v>166</v>
      </c>
      <c r="FK76" s="165" t="s">
        <v>166</v>
      </c>
      <c r="FL76" s="175">
        <f t="shared" si="68"/>
        <v>869.39693620267803</v>
      </c>
      <c r="FM76" s="175">
        <v>228.19276892532184</v>
      </c>
      <c r="FN76" s="175">
        <v>196.85038232290299</v>
      </c>
      <c r="FO76" s="165" t="s">
        <v>222</v>
      </c>
      <c r="FP76" s="165" t="s">
        <v>223</v>
      </c>
      <c r="FQ76" s="175" t="s">
        <v>166</v>
      </c>
      <c r="FR76" s="175" t="s">
        <v>166</v>
      </c>
      <c r="FS76" s="175" t="s">
        <v>166</v>
      </c>
      <c r="FT76" s="175" t="s">
        <v>166</v>
      </c>
      <c r="FU76" s="175" t="s">
        <v>166</v>
      </c>
      <c r="FV76" s="175" t="s">
        <v>166</v>
      </c>
      <c r="FW76" s="175" t="s">
        <v>166</v>
      </c>
      <c r="FX76" s="175" t="s">
        <v>166</v>
      </c>
      <c r="FY76" s="175" t="s">
        <v>166</v>
      </c>
      <c r="FZ76" s="175" t="s">
        <v>166</v>
      </c>
      <c r="GA76" s="175" t="s">
        <v>166</v>
      </c>
      <c r="GB76" s="175" t="s">
        <v>166</v>
      </c>
      <c r="GC76" s="176" t="s">
        <v>224</v>
      </c>
      <c r="GD76" s="165"/>
      <c r="GE76" s="165"/>
      <c r="GF76" s="165"/>
      <c r="GG76" s="165"/>
      <c r="GH76" s="165"/>
      <c r="GI76" s="165"/>
    </row>
    <row r="77" spans="1:191" ht="16">
      <c r="A77" s="140" t="s">
        <v>162</v>
      </c>
      <c r="B77" s="143" t="s">
        <v>163</v>
      </c>
      <c r="C77" s="140" t="s">
        <v>164</v>
      </c>
      <c r="D77" s="140" t="s">
        <v>165</v>
      </c>
      <c r="E77" s="140">
        <v>2020</v>
      </c>
      <c r="F77" t="s">
        <v>184</v>
      </c>
      <c r="G77" s="139">
        <v>40338</v>
      </c>
      <c r="H77" s="147">
        <f t="shared" ref="H77" si="76">0.0083*G77^(0.9482)</f>
        <v>193.29314398347202</v>
      </c>
      <c r="I77" s="147">
        <f t="shared" si="67"/>
        <v>193.29314398347202</v>
      </c>
      <c r="J77" s="144">
        <v>1001.93186869551</v>
      </c>
      <c r="K77" s="144">
        <v>185.12128133669989</v>
      </c>
      <c r="L77" s="144">
        <v>162.55245806224309</v>
      </c>
      <c r="M77" t="b">
        <v>1</v>
      </c>
      <c r="N77">
        <v>3</v>
      </c>
      <c r="O77" s="140" t="s">
        <v>185</v>
      </c>
      <c r="P77" s="140" t="s">
        <v>166</v>
      </c>
      <c r="Q77" s="140" t="s">
        <v>166</v>
      </c>
      <c r="R77" s="140" t="s">
        <v>166</v>
      </c>
      <c r="S77" s="140" t="b">
        <v>1</v>
      </c>
      <c r="T77" s="140" t="b">
        <v>0</v>
      </c>
      <c r="U77" s="140" t="s">
        <v>166</v>
      </c>
      <c r="V77" s="140" t="b">
        <v>0</v>
      </c>
      <c r="W77" s="140" t="b">
        <v>0</v>
      </c>
      <c r="X77" s="140" t="s">
        <v>580</v>
      </c>
      <c r="Y77" s="148" t="s">
        <v>186</v>
      </c>
      <c r="Z77" t="s">
        <v>184</v>
      </c>
      <c r="AA77" s="149">
        <v>1260</v>
      </c>
      <c r="AB77" s="149" t="s">
        <v>187</v>
      </c>
      <c r="AC77" s="149">
        <v>6</v>
      </c>
      <c r="AD77" s="149">
        <v>6</v>
      </c>
      <c r="AE77">
        <v>45.5</v>
      </c>
      <c r="AF77">
        <v>49</v>
      </c>
      <c r="AG77" s="150">
        <v>45.655000000000001</v>
      </c>
      <c r="AH77" t="s">
        <v>166</v>
      </c>
      <c r="AI77" t="s">
        <v>166</v>
      </c>
      <c r="AJ77" t="s">
        <v>188</v>
      </c>
      <c r="AK77">
        <v>9.2658000000000005</v>
      </c>
      <c r="AL77">
        <v>-54.543900000000001</v>
      </c>
      <c r="AM77">
        <v>0.77570450305938721</v>
      </c>
      <c r="AN77" t="s">
        <v>166</v>
      </c>
      <c r="AO77">
        <v>-2549</v>
      </c>
      <c r="AP77">
        <v>-2500</v>
      </c>
      <c r="AQ77" t="s">
        <v>189</v>
      </c>
      <c r="AR77" t="s">
        <v>166</v>
      </c>
      <c r="AS77" s="150">
        <v>40.338000000000001</v>
      </c>
      <c r="AT77" t="s">
        <v>166</v>
      </c>
      <c r="AU77" t="s">
        <v>166</v>
      </c>
      <c r="AV77" t="s">
        <v>166</v>
      </c>
      <c r="AW77" t="s">
        <v>166</v>
      </c>
      <c r="AX77" t="s">
        <v>166</v>
      </c>
      <c r="AY77" t="s">
        <v>190</v>
      </c>
      <c r="AZ77" t="s">
        <v>166</v>
      </c>
      <c r="BA77" t="s">
        <v>166</v>
      </c>
      <c r="BB77" t="s">
        <v>166</v>
      </c>
      <c r="BC77" t="s">
        <v>166</v>
      </c>
      <c r="BD77" t="s">
        <v>166</v>
      </c>
      <c r="BE77" t="s">
        <v>166</v>
      </c>
      <c r="BF77" t="s">
        <v>166</v>
      </c>
      <c r="BG77" s="151" t="s">
        <v>191</v>
      </c>
      <c r="BH77" s="149" t="s">
        <v>192</v>
      </c>
      <c r="BI77" t="s">
        <v>166</v>
      </c>
      <c r="BJ77" s="152" t="s">
        <v>166</v>
      </c>
      <c r="BK77" t="s">
        <v>193</v>
      </c>
      <c r="BL77" t="s">
        <v>194</v>
      </c>
      <c r="BM77" t="s">
        <v>195</v>
      </c>
      <c r="BN77" t="s">
        <v>166</v>
      </c>
      <c r="BO77" t="s">
        <v>166</v>
      </c>
      <c r="BP77" t="s">
        <v>166</v>
      </c>
      <c r="BQ77" s="150">
        <v>14.952972660962072</v>
      </c>
      <c r="BR77" t="s">
        <v>196</v>
      </c>
      <c r="BS77" s="150">
        <v>0.22670421452514466</v>
      </c>
      <c r="BT77">
        <v>0.88</v>
      </c>
      <c r="BU77" t="s">
        <v>197</v>
      </c>
      <c r="BV77" t="s">
        <v>166</v>
      </c>
      <c r="BW77">
        <v>1.748</v>
      </c>
      <c r="BX77" t="s">
        <v>197</v>
      </c>
      <c r="BY77" t="s">
        <v>166</v>
      </c>
      <c r="BZ77" t="s">
        <v>359</v>
      </c>
      <c r="CA77" t="s">
        <v>360</v>
      </c>
      <c r="CB77" s="150">
        <f>BQ77*BT77+BW77</f>
        <v>14.906615941646622</v>
      </c>
      <c r="CC77" t="s">
        <v>196</v>
      </c>
      <c r="CD77" s="150">
        <v>0.22670421452514466</v>
      </c>
      <c r="CE77" t="s">
        <v>199</v>
      </c>
      <c r="CF77" t="s">
        <v>166</v>
      </c>
      <c r="CG77" t="s">
        <v>200</v>
      </c>
      <c r="CH77" t="s">
        <v>166</v>
      </c>
      <c r="CI77" t="s">
        <v>166</v>
      </c>
      <c r="CJ77" s="139">
        <v>35.729069323294929</v>
      </c>
      <c r="CK77" t="s">
        <v>201</v>
      </c>
      <c r="CL77">
        <v>2</v>
      </c>
      <c r="CM77">
        <v>2</v>
      </c>
      <c r="CN77" t="s">
        <v>166</v>
      </c>
      <c r="CO77" s="139">
        <v>4.0753380450668928</v>
      </c>
      <c r="CP77" t="s">
        <v>166</v>
      </c>
      <c r="CQ77" t="s">
        <v>166</v>
      </c>
      <c r="CR77" t="s">
        <v>166</v>
      </c>
      <c r="CS77" s="153" t="s">
        <v>202</v>
      </c>
      <c r="CT77" t="s">
        <v>203</v>
      </c>
      <c r="CU77">
        <v>2.2000000000000002</v>
      </c>
      <c r="CV77" t="s">
        <v>204</v>
      </c>
      <c r="CW77" t="s">
        <v>166</v>
      </c>
      <c r="CX77" t="s">
        <v>166</v>
      </c>
      <c r="CY77" t="s">
        <v>166</v>
      </c>
      <c r="CZ77" t="s">
        <v>166</v>
      </c>
      <c r="DA77" s="154" t="s">
        <v>166</v>
      </c>
      <c r="DB77" t="s">
        <v>166</v>
      </c>
      <c r="DC77" t="s">
        <v>166</v>
      </c>
      <c r="DD77" t="s">
        <v>166</v>
      </c>
      <c r="DE77" t="s">
        <v>166</v>
      </c>
      <c r="DF77" t="s">
        <v>205</v>
      </c>
      <c r="DG77">
        <v>35</v>
      </c>
      <c r="DH77" t="s">
        <v>201</v>
      </c>
      <c r="DI77">
        <v>1</v>
      </c>
      <c r="DJ77" t="s">
        <v>206</v>
      </c>
      <c r="DK77">
        <v>17</v>
      </c>
      <c r="DL77" t="s">
        <v>166</v>
      </c>
      <c r="DM77" t="s">
        <v>166</v>
      </c>
      <c r="DN77" t="s">
        <v>207</v>
      </c>
      <c r="DO77">
        <v>38</v>
      </c>
      <c r="DP77" t="s">
        <v>208</v>
      </c>
      <c r="DQ77">
        <v>3</v>
      </c>
      <c r="DR77" t="s">
        <v>209</v>
      </c>
      <c r="DS77" t="s">
        <v>166</v>
      </c>
      <c r="DT77" t="s">
        <v>166</v>
      </c>
      <c r="DU77" t="s">
        <v>166</v>
      </c>
      <c r="DV77" t="s">
        <v>166</v>
      </c>
      <c r="DW77">
        <v>432.6</v>
      </c>
      <c r="DX77" t="s">
        <v>166</v>
      </c>
      <c r="DY77" t="s">
        <v>166</v>
      </c>
      <c r="DZ77" t="s">
        <v>210</v>
      </c>
      <c r="EA77" t="s">
        <v>361</v>
      </c>
      <c r="EB77" t="s">
        <v>212</v>
      </c>
      <c r="EC77" t="s">
        <v>166</v>
      </c>
      <c r="ED77" t="s">
        <v>213</v>
      </c>
      <c r="EE77" s="155" t="s">
        <v>214</v>
      </c>
      <c r="EF77" s="155" t="s">
        <v>214</v>
      </c>
      <c r="EG77">
        <v>1.0271999999999999</v>
      </c>
      <c r="EH77" t="s">
        <v>215</v>
      </c>
      <c r="EI77" t="s">
        <v>215</v>
      </c>
      <c r="EJ77" t="s">
        <v>216</v>
      </c>
      <c r="EK77" t="s">
        <v>215</v>
      </c>
      <c r="EL77" t="s">
        <v>215</v>
      </c>
      <c r="EM77" t="s">
        <v>217</v>
      </c>
      <c r="EN77" s="156" t="s">
        <v>214</v>
      </c>
      <c r="EO77" s="156" t="s">
        <v>214</v>
      </c>
      <c r="EP77" s="156" t="s">
        <v>214</v>
      </c>
      <c r="EQ77" s="156" t="s">
        <v>214</v>
      </c>
      <c r="ER77" s="156"/>
      <c r="ES77" s="156"/>
      <c r="ET77" t="s">
        <v>218</v>
      </c>
      <c r="EU77" t="s">
        <v>219</v>
      </c>
      <c r="EV77" t="s">
        <v>213</v>
      </c>
      <c r="EW77" t="s">
        <v>166</v>
      </c>
      <c r="EX77" t="s">
        <v>166</v>
      </c>
      <c r="EY77" t="s">
        <v>166</v>
      </c>
      <c r="EZ77" t="s">
        <v>166</v>
      </c>
      <c r="FA77" s="157">
        <v>6.5</v>
      </c>
      <c r="FB77" t="s">
        <v>220</v>
      </c>
      <c r="FC77" s="157">
        <v>1</v>
      </c>
      <c r="FD77" s="157">
        <v>1</v>
      </c>
      <c r="FE77" s="177">
        <v>7.6781544904460004</v>
      </c>
      <c r="FF77" t="s">
        <v>221</v>
      </c>
      <c r="FG77" s="177">
        <v>3.160316626782933E-2</v>
      </c>
      <c r="FH77" s="177">
        <v>3.3344207028060069E-2</v>
      </c>
      <c r="FI77" s="178">
        <v>1152.8037347136399</v>
      </c>
      <c r="FK77" t="s">
        <v>166</v>
      </c>
      <c r="FL77" s="144">
        <f>FI77</f>
        <v>1152.8037347136399</v>
      </c>
      <c r="FM77" s="178">
        <v>222.57226536374992</v>
      </c>
      <c r="FN77" s="178">
        <v>202.03469394669787</v>
      </c>
      <c r="FO77" t="s">
        <v>222</v>
      </c>
      <c r="FP77" t="s">
        <v>223</v>
      </c>
      <c r="FQ77" s="144" t="s">
        <v>166</v>
      </c>
      <c r="FR77" s="144" t="s">
        <v>166</v>
      </c>
      <c r="FS77" s="144" t="s">
        <v>166</v>
      </c>
      <c r="FT77" s="144" t="s">
        <v>166</v>
      </c>
      <c r="FU77" s="144" t="s">
        <v>166</v>
      </c>
      <c r="FV77" s="144" t="s">
        <v>166</v>
      </c>
      <c r="FW77" s="144" t="s">
        <v>166</v>
      </c>
      <c r="FX77" s="144" t="s">
        <v>166</v>
      </c>
      <c r="FY77" s="144" t="s">
        <v>166</v>
      </c>
      <c r="FZ77" s="144" t="s">
        <v>166</v>
      </c>
      <c r="GA77" s="144" t="s">
        <v>166</v>
      </c>
      <c r="GB77" s="144" t="s">
        <v>166</v>
      </c>
      <c r="GC77" s="158" t="s">
        <v>362</v>
      </c>
    </row>
    <row r="78" spans="1:191" ht="16">
      <c r="A78" s="140" t="s">
        <v>162</v>
      </c>
      <c r="B78" s="143" t="s">
        <v>163</v>
      </c>
      <c r="C78" s="140" t="s">
        <v>164</v>
      </c>
      <c r="D78" s="140" t="s">
        <v>165</v>
      </c>
      <c r="E78" s="140">
        <v>2020</v>
      </c>
      <c r="F78" t="s">
        <v>184</v>
      </c>
      <c r="G78" s="139">
        <v>40933</v>
      </c>
      <c r="H78" s="147">
        <f t="shared" ref="H78" si="77">0.0083*G78^(0.9482)</f>
        <v>195.99557060194152</v>
      </c>
      <c r="I78" s="147">
        <f t="shared" si="67"/>
        <v>195.99557060194152</v>
      </c>
      <c r="J78" s="144">
        <v>918.96605358407999</v>
      </c>
      <c r="K78" s="144">
        <v>172.19268914595011</v>
      </c>
      <c r="L78" s="144">
        <v>158.44316085716594</v>
      </c>
      <c r="M78" t="b">
        <v>1</v>
      </c>
      <c r="N78">
        <v>3</v>
      </c>
      <c r="O78" s="140" t="s">
        <v>185</v>
      </c>
      <c r="P78" s="140" t="s">
        <v>166</v>
      </c>
      <c r="Q78" s="140" t="s">
        <v>166</v>
      </c>
      <c r="R78" s="140" t="s">
        <v>166</v>
      </c>
      <c r="S78" s="140" t="b">
        <v>1</v>
      </c>
      <c r="T78" s="140" t="b">
        <v>0</v>
      </c>
      <c r="U78" s="140" t="s">
        <v>166</v>
      </c>
      <c r="V78" s="140" t="b">
        <v>0</v>
      </c>
      <c r="W78" s="140" t="b">
        <v>0</v>
      </c>
      <c r="X78" s="140" t="s">
        <v>580</v>
      </c>
      <c r="Y78" s="148" t="s">
        <v>186</v>
      </c>
      <c r="Z78" t="s">
        <v>184</v>
      </c>
      <c r="AA78" s="149">
        <v>1260</v>
      </c>
      <c r="AB78" s="149" t="s">
        <v>187</v>
      </c>
      <c r="AC78" s="149">
        <v>8</v>
      </c>
      <c r="AD78" s="149">
        <v>3</v>
      </c>
      <c r="AE78">
        <v>8.5</v>
      </c>
      <c r="AF78">
        <v>12</v>
      </c>
      <c r="AG78" s="150">
        <v>60.284999999999997</v>
      </c>
      <c r="AH78">
        <v>60.78</v>
      </c>
      <c r="AI78" t="s">
        <v>225</v>
      </c>
      <c r="AJ78" t="s">
        <v>188</v>
      </c>
      <c r="AK78">
        <v>9.2658000000000005</v>
      </c>
      <c r="AL78">
        <v>-54.543900000000001</v>
      </c>
      <c r="AM78">
        <v>0.72601807117462158</v>
      </c>
      <c r="AN78" t="s">
        <v>166</v>
      </c>
      <c r="AO78">
        <v>-2549</v>
      </c>
      <c r="AP78">
        <v>-2500</v>
      </c>
      <c r="AQ78" t="s">
        <v>189</v>
      </c>
      <c r="AR78" t="s">
        <v>166</v>
      </c>
      <c r="AS78" s="150">
        <v>40.933</v>
      </c>
      <c r="AT78" t="s">
        <v>166</v>
      </c>
      <c r="AU78" t="s">
        <v>166</v>
      </c>
      <c r="AV78" t="s">
        <v>166</v>
      </c>
      <c r="AW78" t="s">
        <v>166</v>
      </c>
      <c r="AX78" t="s">
        <v>166</v>
      </c>
      <c r="AY78" t="s">
        <v>190</v>
      </c>
      <c r="AZ78" t="s">
        <v>166</v>
      </c>
      <c r="BA78" t="s">
        <v>166</v>
      </c>
      <c r="BB78" t="s">
        <v>166</v>
      </c>
      <c r="BC78" t="s">
        <v>166</v>
      </c>
      <c r="BD78" t="s">
        <v>166</v>
      </c>
      <c r="BE78" t="s">
        <v>166</v>
      </c>
      <c r="BF78" t="s">
        <v>166</v>
      </c>
      <c r="BG78" s="151" t="s">
        <v>191</v>
      </c>
      <c r="BH78" s="149" t="s">
        <v>192</v>
      </c>
      <c r="BI78" t="s">
        <v>166</v>
      </c>
      <c r="BJ78" s="152" t="s">
        <v>166</v>
      </c>
      <c r="BK78" t="s">
        <v>226</v>
      </c>
      <c r="BL78" t="s">
        <v>194</v>
      </c>
      <c r="BM78" t="s">
        <v>195</v>
      </c>
      <c r="BN78" t="s">
        <v>166</v>
      </c>
      <c r="BO78" t="s">
        <v>166</v>
      </c>
      <c r="BP78" t="s">
        <v>166</v>
      </c>
      <c r="BQ78" s="150">
        <v>15.097712274653396</v>
      </c>
      <c r="BR78" t="s">
        <v>196</v>
      </c>
      <c r="BS78" s="150">
        <v>0.19865963951902113</v>
      </c>
      <c r="BT78">
        <v>0.88</v>
      </c>
      <c r="BU78" t="s">
        <v>197</v>
      </c>
      <c r="BV78" t="s">
        <v>166</v>
      </c>
      <c r="BW78">
        <v>1.748</v>
      </c>
      <c r="BX78" t="s">
        <v>197</v>
      </c>
      <c r="BY78" t="s">
        <v>166</v>
      </c>
      <c r="BZ78" t="s">
        <v>363</v>
      </c>
      <c r="CA78" t="s">
        <v>360</v>
      </c>
      <c r="CB78" s="150">
        <f t="shared" ref="CB78:CB141" si="78">BQ78*BT78+BW78</f>
        <v>15.033986801694988</v>
      </c>
      <c r="CC78" t="s">
        <v>196</v>
      </c>
      <c r="CD78" s="150">
        <v>0.19865963951902113</v>
      </c>
      <c r="CE78" t="s">
        <v>199</v>
      </c>
      <c r="CF78" t="s">
        <v>166</v>
      </c>
      <c r="CG78" t="s">
        <v>200</v>
      </c>
      <c r="CH78" t="s">
        <v>166</v>
      </c>
      <c r="CI78" t="s">
        <v>166</v>
      </c>
      <c r="CJ78" s="139">
        <v>35.279603539536076</v>
      </c>
      <c r="CK78" t="s">
        <v>201</v>
      </c>
      <c r="CL78">
        <v>2</v>
      </c>
      <c r="CM78">
        <v>2</v>
      </c>
      <c r="CN78" t="s">
        <v>166</v>
      </c>
      <c r="CO78" s="139">
        <v>3.9733914902149139</v>
      </c>
      <c r="CP78" t="s">
        <v>166</v>
      </c>
      <c r="CQ78" t="s">
        <v>166</v>
      </c>
      <c r="CR78" t="s">
        <v>166</v>
      </c>
      <c r="CS78" s="153" t="s">
        <v>202</v>
      </c>
      <c r="CT78" t="s">
        <v>203</v>
      </c>
      <c r="CU78">
        <v>2.2000000000000002</v>
      </c>
      <c r="CV78" t="s">
        <v>204</v>
      </c>
      <c r="CW78" t="s">
        <v>166</v>
      </c>
      <c r="CX78" t="s">
        <v>166</v>
      </c>
      <c r="CY78" t="s">
        <v>166</v>
      </c>
      <c r="CZ78" t="s">
        <v>166</v>
      </c>
      <c r="DA78" s="154" t="s">
        <v>166</v>
      </c>
      <c r="DB78" t="s">
        <v>166</v>
      </c>
      <c r="DC78" t="s">
        <v>166</v>
      </c>
      <c r="DD78" t="s">
        <v>166</v>
      </c>
      <c r="DE78" t="s">
        <v>166</v>
      </c>
      <c r="DF78" t="s">
        <v>205</v>
      </c>
      <c r="DG78">
        <v>35</v>
      </c>
      <c r="DH78" t="s">
        <v>201</v>
      </c>
      <c r="DI78">
        <v>1</v>
      </c>
      <c r="DJ78" t="s">
        <v>206</v>
      </c>
      <c r="DK78">
        <v>17</v>
      </c>
      <c r="DL78" t="s">
        <v>166</v>
      </c>
      <c r="DM78" t="s">
        <v>166</v>
      </c>
      <c r="DN78" t="s">
        <v>207</v>
      </c>
      <c r="DO78">
        <v>38</v>
      </c>
      <c r="DP78" t="s">
        <v>208</v>
      </c>
      <c r="DQ78">
        <v>3</v>
      </c>
      <c r="DR78" t="s">
        <v>209</v>
      </c>
      <c r="DS78" t="s">
        <v>166</v>
      </c>
      <c r="DT78" t="s">
        <v>166</v>
      </c>
      <c r="DU78" t="s">
        <v>166</v>
      </c>
      <c r="DV78" t="s">
        <v>166</v>
      </c>
      <c r="DW78">
        <v>432.6</v>
      </c>
      <c r="DX78" t="s">
        <v>166</v>
      </c>
      <c r="DY78" t="s">
        <v>166</v>
      </c>
      <c r="DZ78" t="s">
        <v>210</v>
      </c>
      <c r="EA78" t="s">
        <v>361</v>
      </c>
      <c r="EB78" t="s">
        <v>212</v>
      </c>
      <c r="EC78" t="s">
        <v>166</v>
      </c>
      <c r="ED78" t="s">
        <v>213</v>
      </c>
      <c r="EE78" s="155" t="s">
        <v>214</v>
      </c>
      <c r="EF78" s="155" t="s">
        <v>214</v>
      </c>
      <c r="EG78">
        <v>1.0271999999999999</v>
      </c>
      <c r="EH78" t="s">
        <v>215</v>
      </c>
      <c r="EI78" t="s">
        <v>215</v>
      </c>
      <c r="EJ78" t="s">
        <v>216</v>
      </c>
      <c r="EK78" t="s">
        <v>215</v>
      </c>
      <c r="EL78" t="s">
        <v>215</v>
      </c>
      <c r="EM78" t="s">
        <v>217</v>
      </c>
      <c r="EN78" s="156" t="s">
        <v>214</v>
      </c>
      <c r="EO78" s="156" t="s">
        <v>214</v>
      </c>
      <c r="EP78" s="156" t="s">
        <v>214</v>
      </c>
      <c r="EQ78" s="156" t="s">
        <v>214</v>
      </c>
      <c r="ET78" t="s">
        <v>218</v>
      </c>
      <c r="EU78" t="s">
        <v>219</v>
      </c>
      <c r="EV78" t="s">
        <v>213</v>
      </c>
      <c r="EW78" t="s">
        <v>166</v>
      </c>
      <c r="EX78" t="s">
        <v>166</v>
      </c>
      <c r="EY78" t="s">
        <v>166</v>
      </c>
      <c r="EZ78" t="s">
        <v>166</v>
      </c>
      <c r="FA78" s="157">
        <v>6.5</v>
      </c>
      <c r="FB78" t="s">
        <v>220</v>
      </c>
      <c r="FC78" s="157">
        <v>1</v>
      </c>
      <c r="FD78" s="157">
        <v>1</v>
      </c>
      <c r="FE78" s="177">
        <v>7.70268814546223</v>
      </c>
      <c r="FF78" t="s">
        <v>221</v>
      </c>
      <c r="FG78" s="177">
        <v>3.0343895924000108E-2</v>
      </c>
      <c r="FH78" s="177">
        <v>2.9582058745769579E-2</v>
      </c>
      <c r="FI78" s="178">
        <v>1040.73215137799</v>
      </c>
      <c r="FK78" t="s">
        <v>166</v>
      </c>
      <c r="FL78" s="144">
        <f t="shared" ref="FL78:FL141" si="79">FI78</f>
        <v>1040.73215137799</v>
      </c>
      <c r="FM78" s="178">
        <v>194.17524973444006</v>
      </c>
      <c r="FN78" s="178">
        <v>163.81868092319303</v>
      </c>
      <c r="FO78" t="s">
        <v>222</v>
      </c>
      <c r="FP78" t="s">
        <v>223</v>
      </c>
      <c r="FQ78" s="144" t="s">
        <v>166</v>
      </c>
      <c r="FR78" s="144" t="s">
        <v>166</v>
      </c>
      <c r="FS78" s="144" t="s">
        <v>166</v>
      </c>
      <c r="FT78" s="144" t="s">
        <v>166</v>
      </c>
      <c r="FU78" s="144" t="s">
        <v>166</v>
      </c>
      <c r="FV78" s="144" t="s">
        <v>166</v>
      </c>
      <c r="FW78" s="144" t="s">
        <v>166</v>
      </c>
      <c r="FX78" s="144" t="s">
        <v>166</v>
      </c>
      <c r="FY78" s="144" t="s">
        <v>166</v>
      </c>
      <c r="FZ78" s="144" t="s">
        <v>166</v>
      </c>
      <c r="GA78" s="144" t="s">
        <v>166</v>
      </c>
      <c r="GB78" s="144" t="s">
        <v>166</v>
      </c>
      <c r="GC78" s="158" t="s">
        <v>362</v>
      </c>
    </row>
    <row r="79" spans="1:191" ht="16">
      <c r="A79" s="140" t="s">
        <v>162</v>
      </c>
      <c r="B79" s="143" t="s">
        <v>163</v>
      </c>
      <c r="C79" s="140" t="s">
        <v>164</v>
      </c>
      <c r="D79" s="140" t="s">
        <v>165</v>
      </c>
      <c r="E79" s="140">
        <v>2020</v>
      </c>
      <c r="F79" t="s">
        <v>184</v>
      </c>
      <c r="G79" s="139">
        <v>41796</v>
      </c>
      <c r="H79" s="147">
        <f t="shared" ref="H79" si="80">0.0083*G79^(0.9482)</f>
        <v>199.91161808664248</v>
      </c>
      <c r="I79" s="147">
        <f t="shared" si="67"/>
        <v>199.91161808664248</v>
      </c>
      <c r="J79" s="144">
        <v>790.98833805891604</v>
      </c>
      <c r="K79" s="144">
        <v>147.06934531537195</v>
      </c>
      <c r="L79" s="144">
        <v>134.69860544649998</v>
      </c>
      <c r="M79" t="b">
        <v>1</v>
      </c>
      <c r="N79">
        <v>3</v>
      </c>
      <c r="O79" s="140" t="s">
        <v>185</v>
      </c>
      <c r="P79" s="140" t="s">
        <v>166</v>
      </c>
      <c r="Q79" s="140" t="s">
        <v>166</v>
      </c>
      <c r="R79" s="140" t="s">
        <v>166</v>
      </c>
      <c r="S79" s="140" t="b">
        <v>1</v>
      </c>
      <c r="T79" s="140" t="b">
        <v>0</v>
      </c>
      <c r="U79" s="140" t="s">
        <v>166</v>
      </c>
      <c r="V79" s="140" t="b">
        <v>0</v>
      </c>
      <c r="W79" s="140" t="b">
        <v>0</v>
      </c>
      <c r="X79" s="140" t="s">
        <v>580</v>
      </c>
      <c r="Y79" s="148" t="s">
        <v>186</v>
      </c>
      <c r="Z79" t="s">
        <v>184</v>
      </c>
      <c r="AA79" s="149">
        <v>1260</v>
      </c>
      <c r="AB79" s="149" t="s">
        <v>187</v>
      </c>
      <c r="AC79" s="149">
        <v>10</v>
      </c>
      <c r="AD79" s="149">
        <v>4</v>
      </c>
      <c r="AE79">
        <v>58.5</v>
      </c>
      <c r="AF79">
        <v>62</v>
      </c>
      <c r="AG79" s="150">
        <v>81.685000000000002</v>
      </c>
      <c r="AH79" s="159">
        <v>81.864999999999995</v>
      </c>
      <c r="AI79" t="s">
        <v>225</v>
      </c>
      <c r="AJ79" t="s">
        <v>188</v>
      </c>
      <c r="AK79">
        <v>9.2658000000000005</v>
      </c>
      <c r="AL79">
        <v>-54.543900000000001</v>
      </c>
      <c r="AM79">
        <v>0.65395128726959229</v>
      </c>
      <c r="AN79" t="s">
        <v>166</v>
      </c>
      <c r="AO79">
        <v>-2549</v>
      </c>
      <c r="AP79">
        <v>-2500</v>
      </c>
      <c r="AQ79" t="s">
        <v>189</v>
      </c>
      <c r="AR79" t="s">
        <v>166</v>
      </c>
      <c r="AS79" s="150">
        <v>41.795999999999999</v>
      </c>
      <c r="AT79" t="s">
        <v>166</v>
      </c>
      <c r="AU79" t="s">
        <v>166</v>
      </c>
      <c r="AV79" t="s">
        <v>166</v>
      </c>
      <c r="AW79" t="s">
        <v>166</v>
      </c>
      <c r="AX79" t="s">
        <v>166</v>
      </c>
      <c r="AY79" t="s">
        <v>190</v>
      </c>
      <c r="AZ79" t="s">
        <v>166</v>
      </c>
      <c r="BA79" t="s">
        <v>166</v>
      </c>
      <c r="BB79" t="s">
        <v>166</v>
      </c>
      <c r="BC79" t="s">
        <v>166</v>
      </c>
      <c r="BD79" t="s">
        <v>166</v>
      </c>
      <c r="BE79" t="s">
        <v>166</v>
      </c>
      <c r="BF79" t="s">
        <v>166</v>
      </c>
      <c r="BG79" s="151" t="s">
        <v>191</v>
      </c>
      <c r="BH79" s="149" t="s">
        <v>192</v>
      </c>
      <c r="BI79" t="s">
        <v>166</v>
      </c>
      <c r="BJ79" s="152" t="s">
        <v>166</v>
      </c>
      <c r="BK79" t="s">
        <v>227</v>
      </c>
      <c r="BL79" t="s">
        <v>194</v>
      </c>
      <c r="BM79" t="s">
        <v>195</v>
      </c>
      <c r="BN79" t="s">
        <v>166</v>
      </c>
      <c r="BO79" t="s">
        <v>166</v>
      </c>
      <c r="BP79" t="s">
        <v>166</v>
      </c>
      <c r="BQ79" s="150">
        <v>15.278473219037192</v>
      </c>
      <c r="BR79" t="s">
        <v>196</v>
      </c>
      <c r="BS79" s="150">
        <v>0.22909597259734035</v>
      </c>
      <c r="BT79">
        <v>0.88</v>
      </c>
      <c r="BU79" t="s">
        <v>197</v>
      </c>
      <c r="BV79" t="s">
        <v>166</v>
      </c>
      <c r="BW79">
        <v>1.748</v>
      </c>
      <c r="BX79" t="s">
        <v>197</v>
      </c>
      <c r="BY79" t="s">
        <v>166</v>
      </c>
      <c r="BZ79" t="s">
        <v>364</v>
      </c>
      <c r="CA79" t="s">
        <v>360</v>
      </c>
      <c r="CB79" s="150">
        <f t="shared" si="78"/>
        <v>15.193056432752728</v>
      </c>
      <c r="CC79" t="s">
        <v>196</v>
      </c>
      <c r="CD79" s="150">
        <v>0.22909597259734035</v>
      </c>
      <c r="CE79" t="s">
        <v>199</v>
      </c>
      <c r="CF79" t="s">
        <v>166</v>
      </c>
      <c r="CG79" t="s">
        <v>200</v>
      </c>
      <c r="CH79" t="s">
        <v>166</v>
      </c>
      <c r="CI79" t="s">
        <v>166</v>
      </c>
      <c r="CJ79" s="139">
        <v>32.66588976107856</v>
      </c>
      <c r="CK79" t="s">
        <v>201</v>
      </c>
      <c r="CL79">
        <v>2</v>
      </c>
      <c r="CM79">
        <v>2</v>
      </c>
      <c r="CN79" t="s">
        <v>166</v>
      </c>
      <c r="CO79" s="139">
        <v>3.4291096363853648</v>
      </c>
      <c r="CP79" t="s">
        <v>166</v>
      </c>
      <c r="CQ79" t="s">
        <v>166</v>
      </c>
      <c r="CR79" t="s">
        <v>166</v>
      </c>
      <c r="CS79" s="153" t="s">
        <v>202</v>
      </c>
      <c r="CT79" t="s">
        <v>203</v>
      </c>
      <c r="CU79">
        <v>2.2000000000000002</v>
      </c>
      <c r="CV79" t="s">
        <v>204</v>
      </c>
      <c r="CW79" t="s">
        <v>166</v>
      </c>
      <c r="CX79" t="s">
        <v>166</v>
      </c>
      <c r="CY79" t="s">
        <v>166</v>
      </c>
      <c r="CZ79" t="s">
        <v>166</v>
      </c>
      <c r="DA79" s="154" t="s">
        <v>166</v>
      </c>
      <c r="DB79" t="s">
        <v>166</v>
      </c>
      <c r="DC79" t="s">
        <v>166</v>
      </c>
      <c r="DD79" t="s">
        <v>166</v>
      </c>
      <c r="DE79" t="s">
        <v>166</v>
      </c>
      <c r="DF79" t="s">
        <v>205</v>
      </c>
      <c r="DG79">
        <v>35</v>
      </c>
      <c r="DH79" t="s">
        <v>201</v>
      </c>
      <c r="DI79">
        <v>1</v>
      </c>
      <c r="DJ79" t="s">
        <v>206</v>
      </c>
      <c r="DK79">
        <v>17</v>
      </c>
      <c r="DL79" t="s">
        <v>166</v>
      </c>
      <c r="DM79" t="s">
        <v>166</v>
      </c>
      <c r="DN79" t="s">
        <v>207</v>
      </c>
      <c r="DO79">
        <v>38</v>
      </c>
      <c r="DP79" t="s">
        <v>208</v>
      </c>
      <c r="DQ79">
        <v>3</v>
      </c>
      <c r="DR79" t="s">
        <v>209</v>
      </c>
      <c r="DS79" t="s">
        <v>166</v>
      </c>
      <c r="DT79" t="s">
        <v>166</v>
      </c>
      <c r="DU79" t="s">
        <v>166</v>
      </c>
      <c r="DV79" t="s">
        <v>166</v>
      </c>
      <c r="DW79">
        <v>432.6</v>
      </c>
      <c r="DX79" t="s">
        <v>166</v>
      </c>
      <c r="DY79" t="s">
        <v>166</v>
      </c>
      <c r="DZ79" t="s">
        <v>210</v>
      </c>
      <c r="EA79" t="s">
        <v>361</v>
      </c>
      <c r="EB79" t="s">
        <v>212</v>
      </c>
      <c r="EC79" t="s">
        <v>166</v>
      </c>
      <c r="ED79" t="s">
        <v>213</v>
      </c>
      <c r="EE79" s="155" t="s">
        <v>214</v>
      </c>
      <c r="EF79" s="155" t="s">
        <v>214</v>
      </c>
      <c r="EG79">
        <v>1.0271999999999999</v>
      </c>
      <c r="EH79" t="s">
        <v>215</v>
      </c>
      <c r="EI79" t="s">
        <v>215</v>
      </c>
      <c r="EJ79" t="s">
        <v>216</v>
      </c>
      <c r="EK79" t="s">
        <v>215</v>
      </c>
      <c r="EL79" t="s">
        <v>215</v>
      </c>
      <c r="EM79" t="s">
        <v>217</v>
      </c>
      <c r="EN79" s="156" t="s">
        <v>214</v>
      </c>
      <c r="EO79" s="156" t="s">
        <v>214</v>
      </c>
      <c r="EP79" s="156" t="s">
        <v>214</v>
      </c>
      <c r="EQ79" s="156" t="s">
        <v>214</v>
      </c>
      <c r="ET79" t="s">
        <v>218</v>
      </c>
      <c r="EU79" t="s">
        <v>219</v>
      </c>
      <c r="EV79" t="s">
        <v>213</v>
      </c>
      <c r="EW79" t="s">
        <v>166</v>
      </c>
      <c r="EX79" t="s">
        <v>166</v>
      </c>
      <c r="EY79" t="s">
        <v>166</v>
      </c>
      <c r="EZ79" t="s">
        <v>166</v>
      </c>
      <c r="FA79" s="157">
        <v>6.5</v>
      </c>
      <c r="FB79" t="s">
        <v>220</v>
      </c>
      <c r="FC79" s="157">
        <v>1</v>
      </c>
      <c r="FD79" s="157">
        <v>1</v>
      </c>
      <c r="FE79" s="177">
        <v>7.7598644840936197</v>
      </c>
      <c r="FF79" t="s">
        <v>221</v>
      </c>
      <c r="FG79" s="177">
        <v>2.9893492802770538E-2</v>
      </c>
      <c r="FH79" s="177">
        <v>3.1409429894889485E-2</v>
      </c>
      <c r="FI79" s="178">
        <v>875.79519576326607</v>
      </c>
      <c r="FK79" t="s">
        <v>166</v>
      </c>
      <c r="FL79" s="144">
        <f t="shared" si="79"/>
        <v>875.79519576326607</v>
      </c>
      <c r="FM79" s="178">
        <v>162.09785412850397</v>
      </c>
      <c r="FN79" s="178">
        <v>140.42479038112106</v>
      </c>
      <c r="FO79" t="s">
        <v>222</v>
      </c>
      <c r="FP79" t="s">
        <v>223</v>
      </c>
      <c r="FQ79" s="144" t="s">
        <v>166</v>
      </c>
      <c r="FR79" s="144" t="s">
        <v>166</v>
      </c>
      <c r="FS79" s="144" t="s">
        <v>166</v>
      </c>
      <c r="FT79" s="144" t="s">
        <v>166</v>
      </c>
      <c r="FU79" s="144" t="s">
        <v>166</v>
      </c>
      <c r="FV79" s="144" t="s">
        <v>166</v>
      </c>
      <c r="FW79" s="144" t="s">
        <v>166</v>
      </c>
      <c r="FX79" s="144" t="s">
        <v>166</v>
      </c>
      <c r="FY79" s="144" t="s">
        <v>166</v>
      </c>
      <c r="FZ79" s="144" t="s">
        <v>166</v>
      </c>
      <c r="GA79" s="144" t="s">
        <v>166</v>
      </c>
      <c r="GB79" s="144" t="s">
        <v>166</v>
      </c>
      <c r="GC79" s="158" t="s">
        <v>362</v>
      </c>
    </row>
    <row r="80" spans="1:191" ht="16">
      <c r="A80" s="140" t="s">
        <v>162</v>
      </c>
      <c r="B80" s="143" t="s">
        <v>163</v>
      </c>
      <c r="C80" s="140" t="s">
        <v>164</v>
      </c>
      <c r="D80" s="140" t="s">
        <v>165</v>
      </c>
      <c r="E80" s="140">
        <v>2020</v>
      </c>
      <c r="F80" t="s">
        <v>184</v>
      </c>
      <c r="G80" s="139">
        <v>43763</v>
      </c>
      <c r="H80" s="147">
        <f t="shared" ref="H80" si="81">0.0083*G80^(0.9482)</f>
        <v>208.82179810560385</v>
      </c>
      <c r="I80" s="147">
        <f t="shared" si="67"/>
        <v>208.82179810560385</v>
      </c>
      <c r="J80" s="144">
        <v>1018.5811530429401</v>
      </c>
      <c r="K80" s="144">
        <v>207.15527287870987</v>
      </c>
      <c r="L80" s="144">
        <v>181.82162560507106</v>
      </c>
      <c r="M80" t="b">
        <v>1</v>
      </c>
      <c r="N80">
        <v>3</v>
      </c>
      <c r="O80" s="140" t="s">
        <v>185</v>
      </c>
      <c r="P80" s="140" t="s">
        <v>166</v>
      </c>
      <c r="Q80" s="140" t="s">
        <v>166</v>
      </c>
      <c r="R80" s="140" t="s">
        <v>166</v>
      </c>
      <c r="S80" s="140" t="b">
        <v>1</v>
      </c>
      <c r="T80" s="140" t="b">
        <v>0</v>
      </c>
      <c r="U80" s="140" t="s">
        <v>166</v>
      </c>
      <c r="V80" s="140" t="b">
        <v>0</v>
      </c>
      <c r="W80" s="140" t="b">
        <v>0</v>
      </c>
      <c r="X80" s="140" t="s">
        <v>580</v>
      </c>
      <c r="Y80" s="148" t="s">
        <v>186</v>
      </c>
      <c r="Z80" t="s">
        <v>184</v>
      </c>
      <c r="AA80" s="149">
        <v>1260</v>
      </c>
      <c r="AB80" s="149" t="s">
        <v>187</v>
      </c>
      <c r="AC80" s="149">
        <v>15</v>
      </c>
      <c r="AD80" s="149">
        <v>4</v>
      </c>
      <c r="AE80">
        <v>98.5</v>
      </c>
      <c r="AF80">
        <v>102</v>
      </c>
      <c r="AG80" s="150">
        <v>130.38499999999999</v>
      </c>
      <c r="AH80">
        <v>130.91499999999999</v>
      </c>
      <c r="AI80" t="s">
        <v>225</v>
      </c>
      <c r="AJ80" t="s">
        <v>188</v>
      </c>
      <c r="AK80">
        <v>9.2658000000000005</v>
      </c>
      <c r="AL80">
        <v>-54.543900000000001</v>
      </c>
      <c r="AM80">
        <v>0.48969310522079468</v>
      </c>
      <c r="AN80" t="s">
        <v>166</v>
      </c>
      <c r="AO80">
        <v>-2549</v>
      </c>
      <c r="AP80">
        <v>-2500</v>
      </c>
      <c r="AQ80" t="s">
        <v>189</v>
      </c>
      <c r="AR80" t="s">
        <v>166</v>
      </c>
      <c r="AS80" s="150">
        <v>43.762999999999998</v>
      </c>
      <c r="AT80" t="s">
        <v>166</v>
      </c>
      <c r="AU80" t="s">
        <v>166</v>
      </c>
      <c r="AV80" t="s">
        <v>166</v>
      </c>
      <c r="AW80" t="s">
        <v>166</v>
      </c>
      <c r="AX80" t="s">
        <v>166</v>
      </c>
      <c r="AY80" t="s">
        <v>190</v>
      </c>
      <c r="AZ80" t="s">
        <v>166</v>
      </c>
      <c r="BA80" t="s">
        <v>166</v>
      </c>
      <c r="BB80" t="s">
        <v>166</v>
      </c>
      <c r="BC80" t="s">
        <v>166</v>
      </c>
      <c r="BD80" t="s">
        <v>166</v>
      </c>
      <c r="BE80" t="s">
        <v>166</v>
      </c>
      <c r="BF80" t="s">
        <v>166</v>
      </c>
      <c r="BG80" s="151" t="s">
        <v>191</v>
      </c>
      <c r="BH80" s="149" t="s">
        <v>192</v>
      </c>
      <c r="BI80" t="s">
        <v>166</v>
      </c>
      <c r="BJ80" s="152" t="s">
        <v>166</v>
      </c>
      <c r="BK80" t="s">
        <v>228</v>
      </c>
      <c r="BL80" t="s">
        <v>194</v>
      </c>
      <c r="BM80" t="s">
        <v>195</v>
      </c>
      <c r="BN80" t="s">
        <v>166</v>
      </c>
      <c r="BO80" t="s">
        <v>166</v>
      </c>
      <c r="BP80" t="s">
        <v>166</v>
      </c>
      <c r="BQ80" s="150">
        <v>14.91</v>
      </c>
      <c r="BR80" t="s">
        <v>196</v>
      </c>
      <c r="BS80" s="150">
        <v>0.26686638316877132</v>
      </c>
      <c r="BT80">
        <v>0.88</v>
      </c>
      <c r="BU80" t="s">
        <v>197</v>
      </c>
      <c r="BV80" t="s">
        <v>166</v>
      </c>
      <c r="BW80">
        <v>1.748</v>
      </c>
      <c r="BX80" t="s">
        <v>197</v>
      </c>
      <c r="BY80" t="s">
        <v>166</v>
      </c>
      <c r="BZ80" t="s">
        <v>365</v>
      </c>
      <c r="CA80" t="s">
        <v>360</v>
      </c>
      <c r="CB80" s="150">
        <f t="shared" si="78"/>
        <v>14.8688</v>
      </c>
      <c r="CC80" t="s">
        <v>196</v>
      </c>
      <c r="CD80" s="150">
        <v>0.26686638316877132</v>
      </c>
      <c r="CE80" t="s">
        <v>199</v>
      </c>
      <c r="CF80" t="s">
        <v>166</v>
      </c>
      <c r="CG80" t="s">
        <v>200</v>
      </c>
      <c r="CH80" t="s">
        <v>166</v>
      </c>
      <c r="CI80" t="s">
        <v>166</v>
      </c>
      <c r="CJ80" s="139">
        <v>35.134822513538104</v>
      </c>
      <c r="CK80" t="s">
        <v>201</v>
      </c>
      <c r="CL80">
        <v>2</v>
      </c>
      <c r="CM80">
        <v>2</v>
      </c>
      <c r="CN80" t="s">
        <v>166</v>
      </c>
      <c r="CO80" s="139">
        <v>3.9410988166858791</v>
      </c>
      <c r="CP80" t="s">
        <v>166</v>
      </c>
      <c r="CQ80" t="s">
        <v>166</v>
      </c>
      <c r="CR80" t="s">
        <v>166</v>
      </c>
      <c r="CS80" s="153" t="s">
        <v>202</v>
      </c>
      <c r="CT80" t="s">
        <v>203</v>
      </c>
      <c r="CU80">
        <v>2.2000000000000002</v>
      </c>
      <c r="CV80" t="s">
        <v>204</v>
      </c>
      <c r="CW80" t="s">
        <v>166</v>
      </c>
      <c r="CX80" t="s">
        <v>166</v>
      </c>
      <c r="CY80" t="s">
        <v>166</v>
      </c>
      <c r="CZ80" t="s">
        <v>166</v>
      </c>
      <c r="DA80" s="154" t="s">
        <v>166</v>
      </c>
      <c r="DB80" t="s">
        <v>166</v>
      </c>
      <c r="DC80" t="s">
        <v>166</v>
      </c>
      <c r="DD80" t="s">
        <v>166</v>
      </c>
      <c r="DE80" t="s">
        <v>166</v>
      </c>
      <c r="DF80" t="s">
        <v>205</v>
      </c>
      <c r="DG80">
        <v>35</v>
      </c>
      <c r="DH80" t="s">
        <v>201</v>
      </c>
      <c r="DI80">
        <v>1</v>
      </c>
      <c r="DJ80" t="s">
        <v>206</v>
      </c>
      <c r="DK80">
        <v>17</v>
      </c>
      <c r="DL80" t="s">
        <v>166</v>
      </c>
      <c r="DM80" t="s">
        <v>166</v>
      </c>
      <c r="DN80" t="s">
        <v>207</v>
      </c>
      <c r="DO80">
        <v>38</v>
      </c>
      <c r="DP80" t="s">
        <v>208</v>
      </c>
      <c r="DQ80">
        <v>3</v>
      </c>
      <c r="DR80" t="s">
        <v>209</v>
      </c>
      <c r="DS80" t="s">
        <v>166</v>
      </c>
      <c r="DT80" t="s">
        <v>166</v>
      </c>
      <c r="DU80" t="s">
        <v>166</v>
      </c>
      <c r="DV80" t="s">
        <v>166</v>
      </c>
      <c r="DW80">
        <v>432.6</v>
      </c>
      <c r="DX80" t="s">
        <v>166</v>
      </c>
      <c r="DY80" t="s">
        <v>166</v>
      </c>
      <c r="DZ80" t="s">
        <v>210</v>
      </c>
      <c r="EA80" t="s">
        <v>361</v>
      </c>
      <c r="EB80" t="s">
        <v>212</v>
      </c>
      <c r="EC80" t="s">
        <v>166</v>
      </c>
      <c r="ED80" t="s">
        <v>213</v>
      </c>
      <c r="EE80" s="155" t="s">
        <v>214</v>
      </c>
      <c r="EF80" s="155" t="s">
        <v>214</v>
      </c>
      <c r="EG80">
        <v>1.0271999999999999</v>
      </c>
      <c r="EH80" t="s">
        <v>215</v>
      </c>
      <c r="EI80" t="s">
        <v>215</v>
      </c>
      <c r="EJ80" t="s">
        <v>216</v>
      </c>
      <c r="EK80" t="s">
        <v>215</v>
      </c>
      <c r="EL80" t="s">
        <v>215</v>
      </c>
      <c r="EM80" t="s">
        <v>217</v>
      </c>
      <c r="EN80" s="156" t="s">
        <v>214</v>
      </c>
      <c r="EO80" s="156" t="s">
        <v>214</v>
      </c>
      <c r="EP80" s="156" t="s">
        <v>214</v>
      </c>
      <c r="EQ80" s="156" t="s">
        <v>214</v>
      </c>
      <c r="ET80" t="s">
        <v>218</v>
      </c>
      <c r="EU80" t="s">
        <v>219</v>
      </c>
      <c r="EV80" t="s">
        <v>213</v>
      </c>
      <c r="EW80" t="s">
        <v>166</v>
      </c>
      <c r="EX80" t="s">
        <v>166</v>
      </c>
      <c r="EY80" t="s">
        <v>166</v>
      </c>
      <c r="EZ80" t="s">
        <v>166</v>
      </c>
      <c r="FA80" s="157">
        <v>6.5</v>
      </c>
      <c r="FB80" t="s">
        <v>220</v>
      </c>
      <c r="FC80" s="157">
        <v>1</v>
      </c>
      <c r="FD80" s="157">
        <v>1</v>
      </c>
      <c r="FE80" s="177">
        <v>7.6781212225224102</v>
      </c>
      <c r="FF80" t="s">
        <v>221</v>
      </c>
      <c r="FG80" s="177">
        <v>3.587304226929966E-2</v>
      </c>
      <c r="FH80" s="177">
        <v>3.8468565067939942E-2</v>
      </c>
      <c r="FI80" s="178">
        <v>1176.8339322900401</v>
      </c>
      <c r="FK80" t="s">
        <v>166</v>
      </c>
      <c r="FL80" s="144">
        <f t="shared" si="79"/>
        <v>1176.8339322900401</v>
      </c>
      <c r="FM80" s="178">
        <v>230.05863896676988</v>
      </c>
      <c r="FN80" s="178">
        <v>216.6504277910351</v>
      </c>
      <c r="FO80" t="s">
        <v>222</v>
      </c>
      <c r="FP80" t="s">
        <v>223</v>
      </c>
      <c r="FQ80" s="144" t="s">
        <v>166</v>
      </c>
      <c r="FR80" s="144" t="s">
        <v>166</v>
      </c>
      <c r="FS80" s="144" t="s">
        <v>166</v>
      </c>
      <c r="FT80" s="144" t="s">
        <v>166</v>
      </c>
      <c r="FU80" s="144" t="s">
        <v>166</v>
      </c>
      <c r="FV80" s="144" t="s">
        <v>166</v>
      </c>
      <c r="FW80" s="144" t="s">
        <v>166</v>
      </c>
      <c r="FX80" s="144" t="s">
        <v>166</v>
      </c>
      <c r="FY80" s="144" t="s">
        <v>166</v>
      </c>
      <c r="FZ80" s="144" t="s">
        <v>166</v>
      </c>
      <c r="GA80" s="144" t="s">
        <v>166</v>
      </c>
      <c r="GB80" s="144" t="s">
        <v>166</v>
      </c>
      <c r="GC80" s="158" t="s">
        <v>362</v>
      </c>
    </row>
    <row r="81" spans="1:185" ht="16">
      <c r="A81" s="140" t="s">
        <v>162</v>
      </c>
      <c r="B81" s="143" t="s">
        <v>163</v>
      </c>
      <c r="C81" s="140" t="s">
        <v>164</v>
      </c>
      <c r="D81" s="140" t="s">
        <v>165</v>
      </c>
      <c r="E81" s="140">
        <v>2020</v>
      </c>
      <c r="F81" t="s">
        <v>184</v>
      </c>
      <c r="G81" s="139">
        <v>44825</v>
      </c>
      <c r="H81" s="147">
        <f t="shared" ref="H81" si="82">0.0083*G81^(0.9482)</f>
        <v>213.62380148103719</v>
      </c>
      <c r="I81" s="147">
        <f t="shared" si="67"/>
        <v>213.62380148103719</v>
      </c>
      <c r="J81" s="144">
        <v>927.03625086487807</v>
      </c>
      <c r="K81" s="144">
        <v>188.77723295879184</v>
      </c>
      <c r="L81" s="144">
        <v>148.51469375420106</v>
      </c>
      <c r="M81" t="b">
        <v>1</v>
      </c>
      <c r="N81">
        <v>3</v>
      </c>
      <c r="O81" s="140" t="s">
        <v>185</v>
      </c>
      <c r="P81" s="140" t="s">
        <v>166</v>
      </c>
      <c r="Q81" s="140" t="s">
        <v>166</v>
      </c>
      <c r="R81" s="140" t="s">
        <v>166</v>
      </c>
      <c r="S81" s="140" t="b">
        <v>1</v>
      </c>
      <c r="T81" s="140" t="b">
        <v>0</v>
      </c>
      <c r="U81" s="140" t="s">
        <v>166</v>
      </c>
      <c r="V81" s="140" t="b">
        <v>0</v>
      </c>
      <c r="W81" s="140" t="b">
        <v>0</v>
      </c>
      <c r="X81" s="140" t="s">
        <v>580</v>
      </c>
      <c r="Y81" s="148" t="s">
        <v>186</v>
      </c>
      <c r="Z81" t="s">
        <v>184</v>
      </c>
      <c r="AA81" s="149">
        <v>1260</v>
      </c>
      <c r="AB81" s="149" t="s">
        <v>187</v>
      </c>
      <c r="AC81" s="149">
        <v>17</v>
      </c>
      <c r="AD81" s="160">
        <v>3</v>
      </c>
      <c r="AE81">
        <v>58.5</v>
      </c>
      <c r="AF81">
        <v>62</v>
      </c>
      <c r="AG81" s="150">
        <v>147.785</v>
      </c>
      <c r="AH81" t="s">
        <v>166</v>
      </c>
      <c r="AI81" t="s">
        <v>166</v>
      </c>
      <c r="AJ81" t="s">
        <v>188</v>
      </c>
      <c r="AK81">
        <v>9.2658000000000005</v>
      </c>
      <c r="AL81">
        <v>-54.543900000000001</v>
      </c>
      <c r="AM81">
        <v>0.40100866556167603</v>
      </c>
      <c r="AN81" t="s">
        <v>166</v>
      </c>
      <c r="AO81">
        <v>-2549</v>
      </c>
      <c r="AP81">
        <v>-2500</v>
      </c>
      <c r="AQ81" t="s">
        <v>189</v>
      </c>
      <c r="AR81" t="s">
        <v>166</v>
      </c>
      <c r="AS81" s="150">
        <v>44.825000000000003</v>
      </c>
      <c r="AT81" t="s">
        <v>166</v>
      </c>
      <c r="AU81" t="s">
        <v>166</v>
      </c>
      <c r="AV81" t="s">
        <v>166</v>
      </c>
      <c r="AW81" t="s">
        <v>166</v>
      </c>
      <c r="AX81" t="s">
        <v>166</v>
      </c>
      <c r="AY81" t="s">
        <v>190</v>
      </c>
      <c r="AZ81" t="s">
        <v>166</v>
      </c>
      <c r="BA81" t="s">
        <v>166</v>
      </c>
      <c r="BB81" t="s">
        <v>166</v>
      </c>
      <c r="BC81" t="s">
        <v>166</v>
      </c>
      <c r="BD81" t="s">
        <v>166</v>
      </c>
      <c r="BE81" t="s">
        <v>166</v>
      </c>
      <c r="BF81" t="s">
        <v>166</v>
      </c>
      <c r="BG81" s="151" t="s">
        <v>229</v>
      </c>
      <c r="BH81" s="149" t="s">
        <v>192</v>
      </c>
      <c r="BI81" t="s">
        <v>166</v>
      </c>
      <c r="BJ81" s="152" t="s">
        <v>166</v>
      </c>
      <c r="BK81" t="s">
        <v>230</v>
      </c>
      <c r="BL81" t="s">
        <v>194</v>
      </c>
      <c r="BM81" t="s">
        <v>195</v>
      </c>
      <c r="BN81" t="s">
        <v>166</v>
      </c>
      <c r="BO81" t="s">
        <v>166</v>
      </c>
      <c r="BP81" t="s">
        <v>166</v>
      </c>
      <c r="BQ81" s="150">
        <v>15.062277397157153</v>
      </c>
      <c r="BR81" t="s">
        <v>196</v>
      </c>
      <c r="BS81" s="150">
        <v>0.22051613357555341</v>
      </c>
      <c r="BT81">
        <v>0.88</v>
      </c>
      <c r="BU81" t="s">
        <v>197</v>
      </c>
      <c r="BV81" t="s">
        <v>166</v>
      </c>
      <c r="BW81">
        <v>1.748</v>
      </c>
      <c r="BX81" t="s">
        <v>197</v>
      </c>
      <c r="BY81" t="s">
        <v>166</v>
      </c>
      <c r="BZ81" t="s">
        <v>366</v>
      </c>
      <c r="CA81" t="s">
        <v>360</v>
      </c>
      <c r="CB81" s="150">
        <f t="shared" si="78"/>
        <v>15.002804109498294</v>
      </c>
      <c r="CC81" t="s">
        <v>196</v>
      </c>
      <c r="CD81" s="150">
        <v>0.22051613357555341</v>
      </c>
      <c r="CE81" t="s">
        <v>199</v>
      </c>
      <c r="CF81" t="s">
        <v>166</v>
      </c>
      <c r="CG81" t="s">
        <v>200</v>
      </c>
      <c r="CH81" t="s">
        <v>166</v>
      </c>
      <c r="CI81" t="s">
        <v>166</v>
      </c>
      <c r="CJ81" s="139">
        <v>35.183175001678002</v>
      </c>
      <c r="CK81" t="s">
        <v>201</v>
      </c>
      <c r="CL81">
        <v>2</v>
      </c>
      <c r="CM81">
        <v>2</v>
      </c>
      <c r="CN81" t="s">
        <v>166</v>
      </c>
      <c r="CO81" s="139">
        <v>3.9518542990361638</v>
      </c>
      <c r="CP81" t="s">
        <v>166</v>
      </c>
      <c r="CQ81" t="s">
        <v>166</v>
      </c>
      <c r="CR81" t="s">
        <v>166</v>
      </c>
      <c r="CS81" s="153" t="s">
        <v>202</v>
      </c>
      <c r="CT81" t="s">
        <v>203</v>
      </c>
      <c r="CU81">
        <v>2.2000000000000002</v>
      </c>
      <c r="CV81" t="s">
        <v>204</v>
      </c>
      <c r="CW81" t="s">
        <v>166</v>
      </c>
      <c r="CX81" t="s">
        <v>166</v>
      </c>
      <c r="CY81" t="s">
        <v>166</v>
      </c>
      <c r="CZ81" t="s">
        <v>166</v>
      </c>
      <c r="DA81" s="154" t="s">
        <v>166</v>
      </c>
      <c r="DB81" t="s">
        <v>166</v>
      </c>
      <c r="DC81" t="s">
        <v>166</v>
      </c>
      <c r="DD81" t="s">
        <v>166</v>
      </c>
      <c r="DE81" t="s">
        <v>166</v>
      </c>
      <c r="DF81" t="s">
        <v>205</v>
      </c>
      <c r="DG81">
        <v>35</v>
      </c>
      <c r="DH81" t="s">
        <v>201</v>
      </c>
      <c r="DI81">
        <v>1</v>
      </c>
      <c r="DJ81" t="s">
        <v>206</v>
      </c>
      <c r="DK81">
        <v>17</v>
      </c>
      <c r="DL81" t="s">
        <v>166</v>
      </c>
      <c r="DM81" t="s">
        <v>166</v>
      </c>
      <c r="DN81" t="s">
        <v>207</v>
      </c>
      <c r="DO81">
        <v>38</v>
      </c>
      <c r="DP81" t="s">
        <v>208</v>
      </c>
      <c r="DQ81">
        <v>3</v>
      </c>
      <c r="DR81" t="s">
        <v>209</v>
      </c>
      <c r="DS81" t="s">
        <v>166</v>
      </c>
      <c r="DT81" t="s">
        <v>166</v>
      </c>
      <c r="DU81" t="s">
        <v>166</v>
      </c>
      <c r="DV81" t="s">
        <v>166</v>
      </c>
      <c r="DW81">
        <v>432.6</v>
      </c>
      <c r="DX81" t="s">
        <v>166</v>
      </c>
      <c r="DY81" t="s">
        <v>166</v>
      </c>
      <c r="DZ81" t="s">
        <v>210</v>
      </c>
      <c r="EA81" t="s">
        <v>361</v>
      </c>
      <c r="EB81" t="s">
        <v>212</v>
      </c>
      <c r="EC81" t="s">
        <v>166</v>
      </c>
      <c r="ED81" t="s">
        <v>213</v>
      </c>
      <c r="EE81" s="155" t="s">
        <v>214</v>
      </c>
      <c r="EF81" s="155" t="s">
        <v>214</v>
      </c>
      <c r="EG81">
        <v>1.0271999999999999</v>
      </c>
      <c r="EH81" t="s">
        <v>215</v>
      </c>
      <c r="EI81" t="s">
        <v>215</v>
      </c>
      <c r="EJ81" t="s">
        <v>216</v>
      </c>
      <c r="EK81" t="s">
        <v>215</v>
      </c>
      <c r="EL81" t="s">
        <v>215</v>
      </c>
      <c r="EM81" t="s">
        <v>217</v>
      </c>
      <c r="EN81" s="156" t="s">
        <v>214</v>
      </c>
      <c r="EO81" s="156" t="s">
        <v>214</v>
      </c>
      <c r="EP81" s="156" t="s">
        <v>214</v>
      </c>
      <c r="EQ81" s="156" t="s">
        <v>214</v>
      </c>
      <c r="ET81" t="s">
        <v>218</v>
      </c>
      <c r="EU81" t="s">
        <v>219</v>
      </c>
      <c r="EV81" t="s">
        <v>213</v>
      </c>
      <c r="EW81" t="s">
        <v>166</v>
      </c>
      <c r="EX81" t="s">
        <v>166</v>
      </c>
      <c r="EY81" t="s">
        <v>166</v>
      </c>
      <c r="EZ81" t="s">
        <v>166</v>
      </c>
      <c r="FA81" s="157">
        <v>6.5</v>
      </c>
      <c r="FB81" t="s">
        <v>220</v>
      </c>
      <c r="FC81" s="157">
        <v>1</v>
      </c>
      <c r="FD81" s="157">
        <v>1</v>
      </c>
      <c r="FE81" s="177">
        <v>7.6990352538237703</v>
      </c>
      <c r="FF81" t="s">
        <v>221</v>
      </c>
      <c r="FG81" s="177">
        <v>3.1118101166780043E-2</v>
      </c>
      <c r="FH81" s="177">
        <v>3.1783230311880573E-2</v>
      </c>
      <c r="FI81" s="178">
        <v>1065.5441995241001</v>
      </c>
      <c r="FK81" t="s">
        <v>166</v>
      </c>
      <c r="FL81" s="144">
        <f t="shared" si="79"/>
        <v>1065.5441995241001</v>
      </c>
      <c r="FM81" s="178">
        <v>202.24035216759989</v>
      </c>
      <c r="FN81" s="178">
        <v>171.26414544081717</v>
      </c>
      <c r="FO81" t="s">
        <v>222</v>
      </c>
      <c r="FP81" t="s">
        <v>223</v>
      </c>
      <c r="FQ81" s="144" t="s">
        <v>166</v>
      </c>
      <c r="FR81" s="144" t="s">
        <v>166</v>
      </c>
      <c r="FS81" s="144" t="s">
        <v>166</v>
      </c>
      <c r="FT81" s="144" t="s">
        <v>166</v>
      </c>
      <c r="FU81" s="144" t="s">
        <v>166</v>
      </c>
      <c r="FV81" s="144" t="s">
        <v>166</v>
      </c>
      <c r="FW81" s="144" t="s">
        <v>166</v>
      </c>
      <c r="FX81" s="144" t="s">
        <v>166</v>
      </c>
      <c r="FY81" s="144" t="s">
        <v>166</v>
      </c>
      <c r="FZ81" s="144" t="s">
        <v>166</v>
      </c>
      <c r="GA81" s="144" t="s">
        <v>166</v>
      </c>
      <c r="GB81" s="144" t="s">
        <v>166</v>
      </c>
      <c r="GC81" s="158" t="s">
        <v>362</v>
      </c>
    </row>
    <row r="82" spans="1:185" ht="16">
      <c r="A82" s="140" t="s">
        <v>162</v>
      </c>
      <c r="B82" s="143" t="s">
        <v>163</v>
      </c>
      <c r="C82" s="140" t="s">
        <v>164</v>
      </c>
      <c r="D82" s="140" t="s">
        <v>165</v>
      </c>
      <c r="E82" s="140">
        <v>2020</v>
      </c>
      <c r="F82" t="s">
        <v>184</v>
      </c>
      <c r="G82" s="139">
        <v>45701</v>
      </c>
      <c r="H82" s="147">
        <f t="shared" ref="H82" si="83">0.0083*G82^(0.9482)</f>
        <v>217.58033650059599</v>
      </c>
      <c r="I82" s="147">
        <f t="shared" si="67"/>
        <v>217.58033650059599</v>
      </c>
      <c r="J82" s="144">
        <v>848.10238140415902</v>
      </c>
      <c r="K82" s="144">
        <v>131.51481977582</v>
      </c>
      <c r="L82" s="144">
        <v>123.87911297457197</v>
      </c>
      <c r="M82" t="b">
        <v>1</v>
      </c>
      <c r="N82">
        <v>3</v>
      </c>
      <c r="O82" s="140" t="s">
        <v>185</v>
      </c>
      <c r="P82" s="140" t="s">
        <v>166</v>
      </c>
      <c r="Q82" s="140" t="s">
        <v>166</v>
      </c>
      <c r="R82" s="140" t="s">
        <v>166</v>
      </c>
      <c r="S82" s="140" t="b">
        <v>1</v>
      </c>
      <c r="T82" s="140" t="b">
        <v>0</v>
      </c>
      <c r="U82" s="140" t="s">
        <v>166</v>
      </c>
      <c r="V82" s="140" t="b">
        <v>0</v>
      </c>
      <c r="W82" s="140" t="b">
        <v>0</v>
      </c>
      <c r="X82" s="140" t="s">
        <v>580</v>
      </c>
      <c r="Y82" s="148" t="s">
        <v>186</v>
      </c>
      <c r="Z82" t="s">
        <v>184</v>
      </c>
      <c r="AA82" s="149">
        <v>1260</v>
      </c>
      <c r="AB82" s="149" t="s">
        <v>187</v>
      </c>
      <c r="AC82" s="149">
        <v>19</v>
      </c>
      <c r="AD82" s="149">
        <v>1</v>
      </c>
      <c r="AE82">
        <v>43</v>
      </c>
      <c r="AF82">
        <v>46.5</v>
      </c>
      <c r="AG82" s="150">
        <v>163.63</v>
      </c>
      <c r="AH82" t="s">
        <v>166</v>
      </c>
      <c r="AI82" t="s">
        <v>166</v>
      </c>
      <c r="AJ82" t="s">
        <v>188</v>
      </c>
      <c r="AK82">
        <v>9.2658000000000005</v>
      </c>
      <c r="AL82">
        <v>-54.543900000000001</v>
      </c>
      <c r="AM82">
        <v>0.32785657048225403</v>
      </c>
      <c r="AN82" t="s">
        <v>166</v>
      </c>
      <c r="AO82">
        <v>-2549</v>
      </c>
      <c r="AP82">
        <v>-2500</v>
      </c>
      <c r="AQ82" t="s">
        <v>189</v>
      </c>
      <c r="AR82" t="s">
        <v>166</v>
      </c>
      <c r="AS82" s="150">
        <v>45.701000000000001</v>
      </c>
      <c r="AT82" t="s">
        <v>166</v>
      </c>
      <c r="AU82" t="s">
        <v>166</v>
      </c>
      <c r="AV82" t="s">
        <v>166</v>
      </c>
      <c r="AW82" t="s">
        <v>166</v>
      </c>
      <c r="AX82" t="s">
        <v>166</v>
      </c>
      <c r="AY82" t="s">
        <v>190</v>
      </c>
      <c r="AZ82" t="s">
        <v>166</v>
      </c>
      <c r="BA82" t="s">
        <v>166</v>
      </c>
      <c r="BB82" t="s">
        <v>166</v>
      </c>
      <c r="BC82" t="s">
        <v>166</v>
      </c>
      <c r="BD82" t="s">
        <v>166</v>
      </c>
      <c r="BE82" t="s">
        <v>166</v>
      </c>
      <c r="BF82" t="s">
        <v>166</v>
      </c>
      <c r="BG82" s="151" t="s">
        <v>229</v>
      </c>
      <c r="BH82" s="149" t="s">
        <v>192</v>
      </c>
      <c r="BI82" t="s">
        <v>166</v>
      </c>
      <c r="BJ82" s="152" t="s">
        <v>166</v>
      </c>
      <c r="BK82" t="s">
        <v>231</v>
      </c>
      <c r="BL82" t="s">
        <v>194</v>
      </c>
      <c r="BM82" t="s">
        <v>195</v>
      </c>
      <c r="BN82" t="s">
        <v>166</v>
      </c>
      <c r="BO82" t="s">
        <v>166</v>
      </c>
      <c r="BP82" t="s">
        <v>166</v>
      </c>
      <c r="BQ82" s="150">
        <v>15.193678759135354</v>
      </c>
      <c r="BR82" t="s">
        <v>196</v>
      </c>
      <c r="BS82" s="150">
        <v>0.14424211254444741</v>
      </c>
      <c r="BT82">
        <v>0.88</v>
      </c>
      <c r="BU82" t="s">
        <v>197</v>
      </c>
      <c r="BV82" t="s">
        <v>166</v>
      </c>
      <c r="BW82">
        <v>1.748</v>
      </c>
      <c r="BX82" t="s">
        <v>197</v>
      </c>
      <c r="BY82" t="s">
        <v>166</v>
      </c>
      <c r="BZ82" t="s">
        <v>367</v>
      </c>
      <c r="CA82" t="s">
        <v>360</v>
      </c>
      <c r="CB82" s="150">
        <f t="shared" si="78"/>
        <v>15.118437308039111</v>
      </c>
      <c r="CC82" t="s">
        <v>196</v>
      </c>
      <c r="CD82" s="150">
        <v>0.14424211254444741</v>
      </c>
      <c r="CE82" t="s">
        <v>199</v>
      </c>
      <c r="CF82" t="s">
        <v>166</v>
      </c>
      <c r="CG82" t="s">
        <v>200</v>
      </c>
      <c r="CH82" t="s">
        <v>166</v>
      </c>
      <c r="CI82" t="s">
        <v>166</v>
      </c>
      <c r="CJ82" s="139">
        <v>34.241523655545876</v>
      </c>
      <c r="CK82" t="s">
        <v>201</v>
      </c>
      <c r="CL82">
        <v>2</v>
      </c>
      <c r="CM82">
        <v>2</v>
      </c>
      <c r="CN82" t="s">
        <v>166</v>
      </c>
      <c r="CO82" s="139">
        <v>3.74757766431402</v>
      </c>
      <c r="CP82" t="s">
        <v>166</v>
      </c>
      <c r="CQ82" t="s">
        <v>166</v>
      </c>
      <c r="CR82" t="s">
        <v>166</v>
      </c>
      <c r="CS82" s="153" t="s">
        <v>202</v>
      </c>
      <c r="CT82" t="s">
        <v>203</v>
      </c>
      <c r="CU82">
        <v>2.2000000000000002</v>
      </c>
      <c r="CV82" t="s">
        <v>204</v>
      </c>
      <c r="CW82" t="s">
        <v>166</v>
      </c>
      <c r="CX82" t="s">
        <v>166</v>
      </c>
      <c r="CY82" t="s">
        <v>166</v>
      </c>
      <c r="CZ82" t="s">
        <v>166</v>
      </c>
      <c r="DA82" s="154" t="s">
        <v>166</v>
      </c>
      <c r="DB82" t="s">
        <v>166</v>
      </c>
      <c r="DC82" t="s">
        <v>166</v>
      </c>
      <c r="DD82" t="s">
        <v>166</v>
      </c>
      <c r="DE82" t="s">
        <v>166</v>
      </c>
      <c r="DF82" t="s">
        <v>205</v>
      </c>
      <c r="DG82">
        <v>35</v>
      </c>
      <c r="DH82" t="s">
        <v>201</v>
      </c>
      <c r="DI82">
        <v>1</v>
      </c>
      <c r="DJ82" t="s">
        <v>206</v>
      </c>
      <c r="DK82">
        <v>17</v>
      </c>
      <c r="DL82" t="s">
        <v>166</v>
      </c>
      <c r="DM82" t="s">
        <v>166</v>
      </c>
      <c r="DN82" t="s">
        <v>207</v>
      </c>
      <c r="DO82">
        <v>38</v>
      </c>
      <c r="DP82" t="s">
        <v>208</v>
      </c>
      <c r="DQ82">
        <v>3</v>
      </c>
      <c r="DR82" t="s">
        <v>209</v>
      </c>
      <c r="DS82" t="s">
        <v>166</v>
      </c>
      <c r="DT82" t="s">
        <v>166</v>
      </c>
      <c r="DU82" t="s">
        <v>166</v>
      </c>
      <c r="DV82" t="s">
        <v>166</v>
      </c>
      <c r="DW82">
        <v>432.6</v>
      </c>
      <c r="DX82" t="s">
        <v>166</v>
      </c>
      <c r="DY82" t="s">
        <v>166</v>
      </c>
      <c r="DZ82" t="s">
        <v>210</v>
      </c>
      <c r="EA82" t="s">
        <v>361</v>
      </c>
      <c r="EB82" t="s">
        <v>212</v>
      </c>
      <c r="EC82" t="s">
        <v>166</v>
      </c>
      <c r="ED82" t="s">
        <v>213</v>
      </c>
      <c r="EE82" s="155" t="s">
        <v>214</v>
      </c>
      <c r="EF82" s="155" t="s">
        <v>214</v>
      </c>
      <c r="EG82">
        <v>1.0271999999999999</v>
      </c>
      <c r="EH82" t="s">
        <v>215</v>
      </c>
      <c r="EI82" t="s">
        <v>215</v>
      </c>
      <c r="EJ82" t="s">
        <v>216</v>
      </c>
      <c r="EK82" t="s">
        <v>215</v>
      </c>
      <c r="EL82" t="s">
        <v>215</v>
      </c>
      <c r="EM82" t="s">
        <v>217</v>
      </c>
      <c r="EN82" s="156" t="s">
        <v>214</v>
      </c>
      <c r="EO82" s="156" t="s">
        <v>214</v>
      </c>
      <c r="EP82" s="156" t="s">
        <v>214</v>
      </c>
      <c r="EQ82" s="156" t="s">
        <v>214</v>
      </c>
      <c r="ET82" t="s">
        <v>218</v>
      </c>
      <c r="EU82" t="s">
        <v>219</v>
      </c>
      <c r="EV82" t="s">
        <v>213</v>
      </c>
      <c r="EW82" t="s">
        <v>166</v>
      </c>
      <c r="EX82" t="s">
        <v>166</v>
      </c>
      <c r="EY82" t="s">
        <v>166</v>
      </c>
      <c r="EZ82" t="s">
        <v>166</v>
      </c>
      <c r="FA82" s="157">
        <v>6.5</v>
      </c>
      <c r="FB82" t="s">
        <v>220</v>
      </c>
      <c r="FC82" s="157">
        <v>1</v>
      </c>
      <c r="FD82" s="157">
        <v>1</v>
      </c>
      <c r="FE82" s="177">
        <v>7.7293071853593398</v>
      </c>
      <c r="FF82" t="s">
        <v>221</v>
      </c>
      <c r="FG82" s="177">
        <v>2.5444006982690226E-2</v>
      </c>
      <c r="FH82" s="177">
        <v>2.6572016461109627E-2</v>
      </c>
      <c r="FI82" s="178">
        <v>955.06887036744899</v>
      </c>
      <c r="FK82" t="s">
        <v>166</v>
      </c>
      <c r="FL82" s="144">
        <f t="shared" si="79"/>
        <v>955.06887036744899</v>
      </c>
      <c r="FM82" s="178">
        <v>140.56583455119096</v>
      </c>
      <c r="FN82" s="178">
        <v>132.327664026599</v>
      </c>
      <c r="FO82" t="s">
        <v>222</v>
      </c>
      <c r="FP82" t="s">
        <v>223</v>
      </c>
      <c r="FQ82" s="144" t="s">
        <v>166</v>
      </c>
      <c r="FR82" s="144" t="s">
        <v>166</v>
      </c>
      <c r="FS82" s="144" t="s">
        <v>166</v>
      </c>
      <c r="FT82" s="144" t="s">
        <v>166</v>
      </c>
      <c r="FU82" s="144" t="s">
        <v>166</v>
      </c>
      <c r="FV82" s="144" t="s">
        <v>166</v>
      </c>
      <c r="FW82" s="144" t="s">
        <v>166</v>
      </c>
      <c r="FX82" s="144" t="s">
        <v>166</v>
      </c>
      <c r="FY82" s="144" t="s">
        <v>166</v>
      </c>
      <c r="FZ82" s="144" t="s">
        <v>166</v>
      </c>
      <c r="GA82" s="144" t="s">
        <v>166</v>
      </c>
      <c r="GB82" s="144" t="s">
        <v>166</v>
      </c>
      <c r="GC82" s="158" t="s">
        <v>362</v>
      </c>
    </row>
    <row r="83" spans="1:185" ht="16">
      <c r="A83" s="140" t="s">
        <v>162</v>
      </c>
      <c r="B83" s="143" t="s">
        <v>163</v>
      </c>
      <c r="C83" s="140" t="s">
        <v>164</v>
      </c>
      <c r="D83" s="140" t="s">
        <v>165</v>
      </c>
      <c r="E83" s="140">
        <v>2020</v>
      </c>
      <c r="F83" t="s">
        <v>184</v>
      </c>
      <c r="G83" s="139">
        <v>46571</v>
      </c>
      <c r="H83" s="147">
        <f t="shared" ref="H83" si="84">0.0083*G83^(0.9482)</f>
        <v>221.50588527487074</v>
      </c>
      <c r="I83" s="147">
        <f t="shared" si="67"/>
        <v>221.50588527487074</v>
      </c>
      <c r="J83" s="144">
        <v>1084.14372964839</v>
      </c>
      <c r="K83" s="144">
        <v>190.52243329170005</v>
      </c>
      <c r="L83" s="144">
        <v>178.38003351695806</v>
      </c>
      <c r="M83" t="b">
        <v>1</v>
      </c>
      <c r="N83">
        <v>3</v>
      </c>
      <c r="O83" s="140" t="s">
        <v>185</v>
      </c>
      <c r="P83" s="140" t="s">
        <v>166</v>
      </c>
      <c r="Q83" s="140" t="s">
        <v>166</v>
      </c>
      <c r="R83" s="140" t="s">
        <v>166</v>
      </c>
      <c r="S83" s="140" t="b">
        <v>1</v>
      </c>
      <c r="T83" s="140" t="b">
        <v>0</v>
      </c>
      <c r="U83" s="140" t="s">
        <v>166</v>
      </c>
      <c r="V83" s="140" t="b">
        <v>0</v>
      </c>
      <c r="W83" s="140" t="b">
        <v>0</v>
      </c>
      <c r="X83" s="140" t="s">
        <v>580</v>
      </c>
      <c r="Y83" s="148" t="s">
        <v>186</v>
      </c>
      <c r="Z83" t="s">
        <v>184</v>
      </c>
      <c r="AA83" s="149">
        <v>1258</v>
      </c>
      <c r="AB83" s="149" t="s">
        <v>187</v>
      </c>
      <c r="AC83" s="149">
        <v>4</v>
      </c>
      <c r="AD83" s="149">
        <v>1</v>
      </c>
      <c r="AE83">
        <v>43.5</v>
      </c>
      <c r="AF83">
        <v>47</v>
      </c>
      <c r="AG83" s="150">
        <v>24.234999999999999</v>
      </c>
      <c r="AH83" t="s">
        <v>166</v>
      </c>
      <c r="AI83" t="s">
        <v>166</v>
      </c>
      <c r="AJ83" t="s">
        <v>188</v>
      </c>
      <c r="AK83">
        <v>9.4332999999999991</v>
      </c>
      <c r="AL83">
        <v>-54.7333</v>
      </c>
      <c r="AM83">
        <v>0.25520557165145874</v>
      </c>
      <c r="AN83" t="s">
        <v>166</v>
      </c>
      <c r="AO83">
        <v>-3192.2</v>
      </c>
      <c r="AP83">
        <v>-3200</v>
      </c>
      <c r="AQ83" t="s">
        <v>189</v>
      </c>
      <c r="AR83" t="s">
        <v>166</v>
      </c>
      <c r="AS83" s="150">
        <v>46.570999999999998</v>
      </c>
      <c r="AT83" t="s">
        <v>166</v>
      </c>
      <c r="AU83" t="s">
        <v>166</v>
      </c>
      <c r="AV83" t="s">
        <v>166</v>
      </c>
      <c r="AW83" t="s">
        <v>166</v>
      </c>
      <c r="AX83" t="s">
        <v>166</v>
      </c>
      <c r="AY83" t="s">
        <v>190</v>
      </c>
      <c r="AZ83" t="s">
        <v>166</v>
      </c>
      <c r="BA83" t="s">
        <v>166</v>
      </c>
      <c r="BB83" t="s">
        <v>166</v>
      </c>
      <c r="BC83" t="s">
        <v>166</v>
      </c>
      <c r="BD83" t="s">
        <v>166</v>
      </c>
      <c r="BE83" t="s">
        <v>166</v>
      </c>
      <c r="BF83" t="s">
        <v>166</v>
      </c>
      <c r="BG83" s="151" t="s">
        <v>229</v>
      </c>
      <c r="BH83" s="149" t="s">
        <v>192</v>
      </c>
      <c r="BI83" t="s">
        <v>166</v>
      </c>
      <c r="BJ83" s="152" t="s">
        <v>166</v>
      </c>
      <c r="BK83" t="s">
        <v>232</v>
      </c>
      <c r="BL83" t="s">
        <v>194</v>
      </c>
      <c r="BM83" t="s">
        <v>195</v>
      </c>
      <c r="BN83" t="s">
        <v>166</v>
      </c>
      <c r="BO83" t="s">
        <v>166</v>
      </c>
      <c r="BP83" t="s">
        <v>166</v>
      </c>
      <c r="BQ83" s="150">
        <v>14.764539722927349</v>
      </c>
      <c r="BR83" t="s">
        <v>196</v>
      </c>
      <c r="BS83" s="150">
        <v>0.18324670331654475</v>
      </c>
      <c r="BT83">
        <v>0.88</v>
      </c>
      <c r="BU83" t="s">
        <v>197</v>
      </c>
      <c r="BV83" t="s">
        <v>166</v>
      </c>
      <c r="BW83">
        <v>1.748</v>
      </c>
      <c r="BX83" t="s">
        <v>197</v>
      </c>
      <c r="BY83" t="s">
        <v>166</v>
      </c>
      <c r="BZ83" t="s">
        <v>368</v>
      </c>
      <c r="CA83" t="s">
        <v>360</v>
      </c>
      <c r="CB83" s="150">
        <f t="shared" si="78"/>
        <v>14.740794956176067</v>
      </c>
      <c r="CC83" t="s">
        <v>196</v>
      </c>
      <c r="CD83" s="150">
        <v>0.18324670331654475</v>
      </c>
      <c r="CE83" t="s">
        <v>199</v>
      </c>
      <c r="CF83" t="s">
        <v>166</v>
      </c>
      <c r="CG83" t="s">
        <v>200</v>
      </c>
      <c r="CH83" t="s">
        <v>166</v>
      </c>
      <c r="CI83" t="s">
        <v>166</v>
      </c>
      <c r="CJ83" s="139">
        <v>33.620892556808258</v>
      </c>
      <c r="CK83" t="s">
        <v>201</v>
      </c>
      <c r="CL83">
        <v>2</v>
      </c>
      <c r="CM83">
        <v>2</v>
      </c>
      <c r="CN83" t="s">
        <v>166</v>
      </c>
      <c r="CO83" s="139">
        <v>3.6187491368970828</v>
      </c>
      <c r="CP83" t="s">
        <v>166</v>
      </c>
      <c r="CQ83" t="s">
        <v>166</v>
      </c>
      <c r="CR83" t="s">
        <v>166</v>
      </c>
      <c r="CS83" s="153" t="s">
        <v>202</v>
      </c>
      <c r="CT83" t="s">
        <v>203</v>
      </c>
      <c r="CU83">
        <v>2.2000000000000002</v>
      </c>
      <c r="CV83" t="s">
        <v>204</v>
      </c>
      <c r="CW83" t="s">
        <v>166</v>
      </c>
      <c r="CX83" t="s">
        <v>166</v>
      </c>
      <c r="CY83" t="s">
        <v>166</v>
      </c>
      <c r="CZ83" t="s">
        <v>166</v>
      </c>
      <c r="DA83" s="154" t="s">
        <v>166</v>
      </c>
      <c r="DB83" t="s">
        <v>166</v>
      </c>
      <c r="DC83" t="s">
        <v>166</v>
      </c>
      <c r="DD83" t="s">
        <v>166</v>
      </c>
      <c r="DE83" t="s">
        <v>166</v>
      </c>
      <c r="DF83" t="s">
        <v>205</v>
      </c>
      <c r="DG83">
        <v>35</v>
      </c>
      <c r="DH83" t="s">
        <v>201</v>
      </c>
      <c r="DI83">
        <v>1</v>
      </c>
      <c r="DJ83" t="s">
        <v>206</v>
      </c>
      <c r="DK83">
        <v>17</v>
      </c>
      <c r="DL83" t="s">
        <v>166</v>
      </c>
      <c r="DM83" t="s">
        <v>166</v>
      </c>
      <c r="DN83" t="s">
        <v>207</v>
      </c>
      <c r="DO83">
        <v>38</v>
      </c>
      <c r="DP83" t="s">
        <v>208</v>
      </c>
      <c r="DQ83">
        <v>3</v>
      </c>
      <c r="DR83" t="s">
        <v>209</v>
      </c>
      <c r="DS83" t="s">
        <v>166</v>
      </c>
      <c r="DT83" t="s">
        <v>166</v>
      </c>
      <c r="DU83" t="s">
        <v>166</v>
      </c>
      <c r="DV83" t="s">
        <v>166</v>
      </c>
      <c r="DW83">
        <v>432.6</v>
      </c>
      <c r="DX83" t="s">
        <v>166</v>
      </c>
      <c r="DY83" t="s">
        <v>166</v>
      </c>
      <c r="DZ83" t="s">
        <v>210</v>
      </c>
      <c r="EA83" t="s">
        <v>361</v>
      </c>
      <c r="EB83" t="s">
        <v>212</v>
      </c>
      <c r="EC83" t="s">
        <v>166</v>
      </c>
      <c r="ED83" t="s">
        <v>213</v>
      </c>
      <c r="EE83" s="155" t="s">
        <v>214</v>
      </c>
      <c r="EF83" s="155" t="s">
        <v>214</v>
      </c>
      <c r="EG83">
        <v>1.0271999999999999</v>
      </c>
      <c r="EH83" t="s">
        <v>215</v>
      </c>
      <c r="EI83" t="s">
        <v>215</v>
      </c>
      <c r="EJ83" t="s">
        <v>216</v>
      </c>
      <c r="EK83" t="s">
        <v>215</v>
      </c>
      <c r="EL83" t="s">
        <v>215</v>
      </c>
      <c r="EM83" t="s">
        <v>217</v>
      </c>
      <c r="EN83" s="156" t="s">
        <v>214</v>
      </c>
      <c r="EO83" s="156" t="s">
        <v>214</v>
      </c>
      <c r="EP83" s="156" t="s">
        <v>214</v>
      </c>
      <c r="EQ83" s="156" t="s">
        <v>214</v>
      </c>
      <c r="ET83" t="s">
        <v>218</v>
      </c>
      <c r="EU83" t="s">
        <v>219</v>
      </c>
      <c r="EV83" t="s">
        <v>213</v>
      </c>
      <c r="EW83" t="s">
        <v>166</v>
      </c>
      <c r="EX83" t="s">
        <v>166</v>
      </c>
      <c r="EY83" t="s">
        <v>166</v>
      </c>
      <c r="EZ83" t="s">
        <v>166</v>
      </c>
      <c r="FA83" s="157">
        <v>6.5</v>
      </c>
      <c r="FB83" t="s">
        <v>220</v>
      </c>
      <c r="FC83" s="157">
        <v>1</v>
      </c>
      <c r="FD83" s="157">
        <v>1</v>
      </c>
      <c r="FE83" s="177">
        <v>7.6727536121699504</v>
      </c>
      <c r="FF83" t="s">
        <v>221</v>
      </c>
      <c r="FG83" s="177">
        <v>2.8542515475479924E-2</v>
      </c>
      <c r="FH83" s="177">
        <v>2.9040916566210662E-2</v>
      </c>
      <c r="FI83" s="178">
        <v>1268.2339216443702</v>
      </c>
      <c r="FK83" t="s">
        <v>166</v>
      </c>
      <c r="FL83" s="144">
        <f t="shared" si="79"/>
        <v>1268.2339216443702</v>
      </c>
      <c r="FM83" s="178">
        <v>237.16271720462987</v>
      </c>
      <c r="FN83" s="178">
        <v>201.81347765042028</v>
      </c>
      <c r="FO83" t="s">
        <v>222</v>
      </c>
      <c r="FP83" t="s">
        <v>223</v>
      </c>
      <c r="FQ83" s="144" t="s">
        <v>166</v>
      </c>
      <c r="FR83" s="144" t="s">
        <v>166</v>
      </c>
      <c r="FS83" s="144" t="s">
        <v>166</v>
      </c>
      <c r="FT83" s="144" t="s">
        <v>166</v>
      </c>
      <c r="FU83" s="144" t="s">
        <v>166</v>
      </c>
      <c r="FV83" s="144" t="s">
        <v>166</v>
      </c>
      <c r="FW83" s="144" t="s">
        <v>166</v>
      </c>
      <c r="FX83" s="144" t="s">
        <v>166</v>
      </c>
      <c r="FY83" s="144" t="s">
        <v>166</v>
      </c>
      <c r="FZ83" s="144" t="s">
        <v>166</v>
      </c>
      <c r="GA83" s="144" t="s">
        <v>166</v>
      </c>
      <c r="GB83" s="144" t="s">
        <v>166</v>
      </c>
      <c r="GC83" s="158" t="s">
        <v>362</v>
      </c>
    </row>
    <row r="84" spans="1:185" ht="16">
      <c r="A84" s="140" t="s">
        <v>162</v>
      </c>
      <c r="B84" s="143" t="s">
        <v>163</v>
      </c>
      <c r="C84" s="140" t="s">
        <v>164</v>
      </c>
      <c r="D84" s="140" t="s">
        <v>165</v>
      </c>
      <c r="E84" s="140">
        <v>2020</v>
      </c>
      <c r="F84" t="s">
        <v>184</v>
      </c>
      <c r="G84" s="139">
        <v>47496</v>
      </c>
      <c r="H84" s="147">
        <f t="shared" ref="H84" si="85">0.0083*G84^(0.9482)</f>
        <v>225.67543789849572</v>
      </c>
      <c r="I84" s="147">
        <f t="shared" si="67"/>
        <v>225.67543789849572</v>
      </c>
      <c r="J84" s="144">
        <v>1420.4521301263899</v>
      </c>
      <c r="K84" s="144">
        <v>307.8922361882303</v>
      </c>
      <c r="L84" s="144">
        <v>262.07331523241987</v>
      </c>
      <c r="M84" t="b">
        <v>1</v>
      </c>
      <c r="N84">
        <v>3</v>
      </c>
      <c r="O84" s="140" t="s">
        <v>185</v>
      </c>
      <c r="P84" s="140" t="s">
        <v>166</v>
      </c>
      <c r="Q84" s="140" t="s">
        <v>166</v>
      </c>
      <c r="R84" s="140" t="s">
        <v>166</v>
      </c>
      <c r="S84" s="140" t="b">
        <v>1</v>
      </c>
      <c r="T84" s="140" t="b">
        <v>0</v>
      </c>
      <c r="U84" s="140" t="s">
        <v>166</v>
      </c>
      <c r="V84" s="140" t="b">
        <v>0</v>
      </c>
      <c r="W84" s="140" t="b">
        <v>0</v>
      </c>
      <c r="X84" s="140" t="s">
        <v>580</v>
      </c>
      <c r="Y84" s="148" t="s">
        <v>186</v>
      </c>
      <c r="Z84" t="s">
        <v>184</v>
      </c>
      <c r="AA84" s="149">
        <v>1258</v>
      </c>
      <c r="AB84" s="149" t="s">
        <v>233</v>
      </c>
      <c r="AC84" s="149">
        <v>4</v>
      </c>
      <c r="AD84" s="149">
        <v>2</v>
      </c>
      <c r="AE84">
        <v>96</v>
      </c>
      <c r="AF84">
        <v>99.5</v>
      </c>
      <c r="AG84" s="150">
        <v>34.56</v>
      </c>
      <c r="AH84" s="150">
        <v>34.56</v>
      </c>
      <c r="AI84" t="s">
        <v>234</v>
      </c>
      <c r="AJ84" t="s">
        <v>188</v>
      </c>
      <c r="AK84">
        <v>9.4332999999999991</v>
      </c>
      <c r="AL84">
        <v>-54.732999999999997</v>
      </c>
      <c r="AM84">
        <v>0.49493387341499329</v>
      </c>
      <c r="AN84" t="s">
        <v>166</v>
      </c>
      <c r="AO84">
        <v>-3192.2</v>
      </c>
      <c r="AP84">
        <v>-3200</v>
      </c>
      <c r="AQ84" t="s">
        <v>189</v>
      </c>
      <c r="AR84" t="s">
        <v>166</v>
      </c>
      <c r="AS84" s="150">
        <v>47.496000000000002</v>
      </c>
      <c r="AT84" t="s">
        <v>166</v>
      </c>
      <c r="AU84" t="s">
        <v>166</v>
      </c>
      <c r="AV84" t="s">
        <v>166</v>
      </c>
      <c r="AW84" t="s">
        <v>166</v>
      </c>
      <c r="AX84" t="s">
        <v>166</v>
      </c>
      <c r="AY84" t="s">
        <v>190</v>
      </c>
      <c r="AZ84" t="s">
        <v>166</v>
      </c>
      <c r="BA84" t="s">
        <v>166</v>
      </c>
      <c r="BB84" t="s">
        <v>166</v>
      </c>
      <c r="BC84" t="s">
        <v>166</v>
      </c>
      <c r="BD84" t="s">
        <v>166</v>
      </c>
      <c r="BE84" t="s">
        <v>166</v>
      </c>
      <c r="BF84" t="s">
        <v>166</v>
      </c>
      <c r="BG84" s="151" t="s">
        <v>235</v>
      </c>
      <c r="BH84" s="149" t="s">
        <v>236</v>
      </c>
      <c r="BI84" t="s">
        <v>166</v>
      </c>
      <c r="BJ84" s="152" t="s">
        <v>166</v>
      </c>
      <c r="BK84" t="s">
        <v>237</v>
      </c>
      <c r="BL84" t="s">
        <v>194</v>
      </c>
      <c r="BM84" t="s">
        <v>195</v>
      </c>
      <c r="BN84" t="s">
        <v>166</v>
      </c>
      <c r="BO84" t="s">
        <v>166</v>
      </c>
      <c r="BP84" t="s">
        <v>166</v>
      </c>
      <c r="BQ84" s="150">
        <v>14.391476096587862</v>
      </c>
      <c r="BR84" t="s">
        <v>196</v>
      </c>
      <c r="BS84" s="150">
        <v>0.25689146648870304</v>
      </c>
      <c r="BT84">
        <v>0.88</v>
      </c>
      <c r="BU84" t="s">
        <v>197</v>
      </c>
      <c r="BV84" t="s">
        <v>166</v>
      </c>
      <c r="BW84">
        <v>1.748</v>
      </c>
      <c r="BX84" t="s">
        <v>197</v>
      </c>
      <c r="BY84" t="s">
        <v>166</v>
      </c>
      <c r="BZ84" t="s">
        <v>369</v>
      </c>
      <c r="CA84" t="s">
        <v>360</v>
      </c>
      <c r="CB84" s="150">
        <f t="shared" si="78"/>
        <v>14.412498964997319</v>
      </c>
      <c r="CC84" t="s">
        <v>196</v>
      </c>
      <c r="CD84" s="150">
        <v>0.25689146648870304</v>
      </c>
      <c r="CE84" t="s">
        <v>199</v>
      </c>
      <c r="CF84" t="s">
        <v>166</v>
      </c>
      <c r="CG84" t="s">
        <v>200</v>
      </c>
      <c r="CH84" t="s">
        <v>166</v>
      </c>
      <c r="CI84" t="s">
        <v>166</v>
      </c>
      <c r="CJ84" s="139">
        <v>35.331057861388899</v>
      </c>
      <c r="CK84" t="s">
        <v>201</v>
      </c>
      <c r="CL84">
        <v>2</v>
      </c>
      <c r="CM84">
        <v>2</v>
      </c>
      <c r="CN84" t="s">
        <v>166</v>
      </c>
      <c r="CO84" s="139">
        <v>3.9849317328155816</v>
      </c>
      <c r="CP84" t="s">
        <v>166</v>
      </c>
      <c r="CQ84" t="s">
        <v>166</v>
      </c>
      <c r="CR84" t="s">
        <v>166</v>
      </c>
      <c r="CS84" s="153" t="s">
        <v>202</v>
      </c>
      <c r="CT84" t="s">
        <v>203</v>
      </c>
      <c r="CU84">
        <v>2.2000000000000002</v>
      </c>
      <c r="CV84" t="s">
        <v>204</v>
      </c>
      <c r="CW84" t="s">
        <v>166</v>
      </c>
      <c r="CX84" t="s">
        <v>166</v>
      </c>
      <c r="CY84" t="s">
        <v>166</v>
      </c>
      <c r="CZ84" t="s">
        <v>166</v>
      </c>
      <c r="DA84" s="154" t="s">
        <v>166</v>
      </c>
      <c r="DB84" t="s">
        <v>166</v>
      </c>
      <c r="DC84" t="s">
        <v>166</v>
      </c>
      <c r="DD84" t="s">
        <v>166</v>
      </c>
      <c r="DE84" t="s">
        <v>166</v>
      </c>
      <c r="DF84" t="s">
        <v>205</v>
      </c>
      <c r="DG84">
        <v>35</v>
      </c>
      <c r="DH84" t="s">
        <v>201</v>
      </c>
      <c r="DI84">
        <v>1</v>
      </c>
      <c r="DJ84" t="s">
        <v>206</v>
      </c>
      <c r="DK84">
        <v>17</v>
      </c>
      <c r="DL84" t="s">
        <v>166</v>
      </c>
      <c r="DM84" t="s">
        <v>166</v>
      </c>
      <c r="DN84" t="s">
        <v>207</v>
      </c>
      <c r="DO84">
        <v>38</v>
      </c>
      <c r="DP84" t="s">
        <v>208</v>
      </c>
      <c r="DQ84">
        <v>3</v>
      </c>
      <c r="DR84" t="s">
        <v>209</v>
      </c>
      <c r="DS84" t="s">
        <v>166</v>
      </c>
      <c r="DT84" t="s">
        <v>166</v>
      </c>
      <c r="DU84" t="s">
        <v>166</v>
      </c>
      <c r="DV84" t="s">
        <v>166</v>
      </c>
      <c r="DW84">
        <v>432.6</v>
      </c>
      <c r="DX84" t="s">
        <v>166</v>
      </c>
      <c r="DY84" t="s">
        <v>166</v>
      </c>
      <c r="DZ84" t="s">
        <v>210</v>
      </c>
      <c r="EA84" t="s">
        <v>361</v>
      </c>
      <c r="EB84" t="s">
        <v>212</v>
      </c>
      <c r="EC84" t="s">
        <v>166</v>
      </c>
      <c r="ED84" t="s">
        <v>213</v>
      </c>
      <c r="EE84" s="155" t="s">
        <v>214</v>
      </c>
      <c r="EF84" s="155" t="s">
        <v>214</v>
      </c>
      <c r="EG84">
        <v>1.0271999999999999</v>
      </c>
      <c r="EH84" t="s">
        <v>215</v>
      </c>
      <c r="EI84" t="s">
        <v>215</v>
      </c>
      <c r="EJ84" t="s">
        <v>216</v>
      </c>
      <c r="EK84" t="s">
        <v>215</v>
      </c>
      <c r="EL84" t="s">
        <v>215</v>
      </c>
      <c r="EM84" t="s">
        <v>217</v>
      </c>
      <c r="EN84" s="156" t="s">
        <v>214</v>
      </c>
      <c r="EO84" s="156" t="s">
        <v>214</v>
      </c>
      <c r="EP84" s="156" t="s">
        <v>214</v>
      </c>
      <c r="EQ84" s="156" t="s">
        <v>214</v>
      </c>
      <c r="ET84" t="s">
        <v>218</v>
      </c>
      <c r="EU84" t="s">
        <v>219</v>
      </c>
      <c r="EV84" t="s">
        <v>213</v>
      </c>
      <c r="EW84" t="s">
        <v>166</v>
      </c>
      <c r="EX84" t="s">
        <v>166</v>
      </c>
      <c r="EY84" t="s">
        <v>166</v>
      </c>
      <c r="EZ84" t="s">
        <v>166</v>
      </c>
      <c r="FA84" s="157">
        <v>6.5</v>
      </c>
      <c r="FB84" t="s">
        <v>220</v>
      </c>
      <c r="FC84" s="157">
        <v>1</v>
      </c>
      <c r="FD84" s="157">
        <v>1</v>
      </c>
      <c r="FE84" s="177">
        <v>7.5891400496720403</v>
      </c>
      <c r="FF84" t="s">
        <v>221</v>
      </c>
      <c r="FG84" s="177">
        <v>3.6724360213059803E-2</v>
      </c>
      <c r="FH84" s="177">
        <v>4.6466547050820317E-2</v>
      </c>
      <c r="FI84" s="178">
        <v>1775.32561984678</v>
      </c>
      <c r="FK84" t="s">
        <v>166</v>
      </c>
      <c r="FL84" s="144">
        <f t="shared" si="79"/>
        <v>1775.32561984678</v>
      </c>
      <c r="FM84" s="178">
        <v>414.01813130464984</v>
      </c>
      <c r="FN84" s="178">
        <v>343.45663431899993</v>
      </c>
      <c r="FO84" t="s">
        <v>222</v>
      </c>
      <c r="FP84" t="s">
        <v>223</v>
      </c>
      <c r="FQ84" s="144" t="s">
        <v>166</v>
      </c>
      <c r="FR84" s="144" t="s">
        <v>166</v>
      </c>
      <c r="FS84" s="144" t="s">
        <v>166</v>
      </c>
      <c r="FT84" s="144" t="s">
        <v>166</v>
      </c>
      <c r="FU84" s="144" t="s">
        <v>166</v>
      </c>
      <c r="FV84" s="144" t="s">
        <v>166</v>
      </c>
      <c r="FW84" s="144" t="s">
        <v>166</v>
      </c>
      <c r="FX84" s="144" t="s">
        <v>166</v>
      </c>
      <c r="FY84" s="144" t="s">
        <v>166</v>
      </c>
      <c r="FZ84" s="144" t="s">
        <v>166</v>
      </c>
      <c r="GA84" s="144" t="s">
        <v>166</v>
      </c>
      <c r="GB84" s="144" t="s">
        <v>166</v>
      </c>
      <c r="GC84" s="158" t="s">
        <v>362</v>
      </c>
    </row>
    <row r="85" spans="1:185" ht="16">
      <c r="A85" s="140" t="s">
        <v>162</v>
      </c>
      <c r="B85" s="143" t="s">
        <v>163</v>
      </c>
      <c r="C85" s="140" t="s">
        <v>164</v>
      </c>
      <c r="D85" s="140" t="s">
        <v>165</v>
      </c>
      <c r="E85" s="140">
        <v>2020</v>
      </c>
      <c r="F85" t="s">
        <v>184</v>
      </c>
      <c r="G85" s="139">
        <v>48137</v>
      </c>
      <c r="H85" s="147">
        <f t="shared" ref="H85" si="86">0.0083*G85^(0.9482)</f>
        <v>228.56235372133276</v>
      </c>
      <c r="I85" s="147">
        <f t="shared" si="67"/>
        <v>228.56235372133276</v>
      </c>
      <c r="J85" s="144">
        <v>1907.6348237872999</v>
      </c>
      <c r="K85" s="144">
        <v>472.22590876272989</v>
      </c>
      <c r="L85" s="144">
        <v>364.24112677492985</v>
      </c>
      <c r="M85" t="b">
        <v>1</v>
      </c>
      <c r="N85">
        <v>3</v>
      </c>
      <c r="O85" s="140" t="s">
        <v>185</v>
      </c>
      <c r="P85" s="140" t="s">
        <v>166</v>
      </c>
      <c r="Q85" s="140" t="s">
        <v>166</v>
      </c>
      <c r="R85" s="140" t="s">
        <v>166</v>
      </c>
      <c r="S85" s="140" t="b">
        <v>1</v>
      </c>
      <c r="T85" s="140" t="b">
        <v>0</v>
      </c>
      <c r="U85" s="140" t="s">
        <v>166</v>
      </c>
      <c r="V85" s="140" t="b">
        <v>0</v>
      </c>
      <c r="W85" s="140" t="b">
        <v>0</v>
      </c>
      <c r="X85" s="140" t="s">
        <v>580</v>
      </c>
      <c r="Y85" s="148" t="s">
        <v>186</v>
      </c>
      <c r="Z85" t="s">
        <v>184</v>
      </c>
      <c r="AA85" s="149">
        <v>1258</v>
      </c>
      <c r="AB85" s="149" t="s">
        <v>233</v>
      </c>
      <c r="AC85" s="149">
        <v>5</v>
      </c>
      <c r="AD85" s="149">
        <v>2</v>
      </c>
      <c r="AE85">
        <v>43.5</v>
      </c>
      <c r="AF85">
        <v>47</v>
      </c>
      <c r="AG85" s="150">
        <v>43.034999999999997</v>
      </c>
      <c r="AH85">
        <v>40.515000000000001</v>
      </c>
      <c r="AI85" t="s">
        <v>234</v>
      </c>
      <c r="AJ85" t="s">
        <v>188</v>
      </c>
      <c r="AK85">
        <v>9.4332999999999991</v>
      </c>
      <c r="AL85">
        <v>-54.732999999999997</v>
      </c>
      <c r="AM85">
        <v>0.5296560525894165</v>
      </c>
      <c r="AN85" t="s">
        <v>166</v>
      </c>
      <c r="AO85">
        <v>-3192.2</v>
      </c>
      <c r="AP85">
        <v>-3200</v>
      </c>
      <c r="AQ85" t="s">
        <v>189</v>
      </c>
      <c r="AR85" t="s">
        <v>166</v>
      </c>
      <c r="AS85" s="150">
        <v>48.137</v>
      </c>
      <c r="AT85" t="s">
        <v>166</v>
      </c>
      <c r="AU85" t="s">
        <v>166</v>
      </c>
      <c r="AV85" t="s">
        <v>166</v>
      </c>
      <c r="AW85" t="s">
        <v>166</v>
      </c>
      <c r="AX85" t="s">
        <v>166</v>
      </c>
      <c r="AY85" t="s">
        <v>190</v>
      </c>
      <c r="AZ85" t="s">
        <v>166</v>
      </c>
      <c r="BA85" t="s">
        <v>166</v>
      </c>
      <c r="BB85" t="s">
        <v>166</v>
      </c>
      <c r="BC85" t="s">
        <v>166</v>
      </c>
      <c r="BD85" t="s">
        <v>166</v>
      </c>
      <c r="BE85" t="s">
        <v>166</v>
      </c>
      <c r="BF85" t="s">
        <v>166</v>
      </c>
      <c r="BG85" s="151" t="s">
        <v>238</v>
      </c>
      <c r="BH85" s="149" t="s">
        <v>192</v>
      </c>
      <c r="BI85" t="s">
        <v>166</v>
      </c>
      <c r="BJ85" s="152" t="s">
        <v>166</v>
      </c>
      <c r="BK85" t="s">
        <v>239</v>
      </c>
      <c r="BL85" t="s">
        <v>194</v>
      </c>
      <c r="BM85" t="s">
        <v>195</v>
      </c>
      <c r="BN85" t="s">
        <v>166</v>
      </c>
      <c r="BO85" t="s">
        <v>166</v>
      </c>
      <c r="BP85" t="s">
        <v>166</v>
      </c>
      <c r="BQ85" s="150">
        <v>13.96513679871536</v>
      </c>
      <c r="BR85" t="s">
        <v>196</v>
      </c>
      <c r="BS85" s="150">
        <v>0.26052244816357073</v>
      </c>
      <c r="BT85">
        <v>0.88</v>
      </c>
      <c r="BU85" t="s">
        <v>197</v>
      </c>
      <c r="BV85" t="s">
        <v>166</v>
      </c>
      <c r="BW85">
        <v>1.748</v>
      </c>
      <c r="BX85" t="s">
        <v>197</v>
      </c>
      <c r="BY85" t="s">
        <v>166</v>
      </c>
      <c r="BZ85" t="s">
        <v>370</v>
      </c>
      <c r="CA85" t="s">
        <v>360</v>
      </c>
      <c r="CB85" s="150">
        <f t="shared" si="78"/>
        <v>14.037320382869517</v>
      </c>
      <c r="CC85" t="s">
        <v>196</v>
      </c>
      <c r="CD85" s="150">
        <v>0.26052244816357073</v>
      </c>
      <c r="CE85" t="s">
        <v>199</v>
      </c>
      <c r="CF85" t="s">
        <v>166</v>
      </c>
      <c r="CG85" t="s">
        <v>200</v>
      </c>
      <c r="CH85" t="s">
        <v>166</v>
      </c>
      <c r="CI85" t="s">
        <v>166</v>
      </c>
      <c r="CJ85" s="139">
        <v>35.331057861388899</v>
      </c>
      <c r="CK85" t="s">
        <v>201</v>
      </c>
      <c r="CL85">
        <v>2</v>
      </c>
      <c r="CM85">
        <v>2</v>
      </c>
      <c r="CN85" t="s">
        <v>166</v>
      </c>
      <c r="CO85" s="161" t="s">
        <v>371</v>
      </c>
      <c r="CP85" t="s">
        <v>166</v>
      </c>
      <c r="CQ85" t="s">
        <v>166</v>
      </c>
      <c r="CR85" t="s">
        <v>166</v>
      </c>
      <c r="CS85" s="153" t="s">
        <v>202</v>
      </c>
      <c r="CT85" t="s">
        <v>203</v>
      </c>
      <c r="CU85">
        <v>2.2000000000000002</v>
      </c>
      <c r="CV85" t="s">
        <v>204</v>
      </c>
      <c r="CW85" t="s">
        <v>166</v>
      </c>
      <c r="CX85" t="s">
        <v>166</v>
      </c>
      <c r="CY85" t="s">
        <v>166</v>
      </c>
      <c r="CZ85" t="s">
        <v>166</v>
      </c>
      <c r="DA85" s="154" t="s">
        <v>166</v>
      </c>
      <c r="DB85" t="s">
        <v>166</v>
      </c>
      <c r="DC85" t="s">
        <v>166</v>
      </c>
      <c r="DD85" t="s">
        <v>166</v>
      </c>
      <c r="DE85" t="s">
        <v>166</v>
      </c>
      <c r="DF85" t="s">
        <v>205</v>
      </c>
      <c r="DG85">
        <v>35</v>
      </c>
      <c r="DH85" t="s">
        <v>201</v>
      </c>
      <c r="DI85">
        <v>1</v>
      </c>
      <c r="DJ85" t="s">
        <v>206</v>
      </c>
      <c r="DK85">
        <v>17</v>
      </c>
      <c r="DL85" t="s">
        <v>166</v>
      </c>
      <c r="DM85" t="s">
        <v>166</v>
      </c>
      <c r="DN85" t="s">
        <v>207</v>
      </c>
      <c r="DO85">
        <v>38</v>
      </c>
      <c r="DP85" t="s">
        <v>208</v>
      </c>
      <c r="DQ85">
        <v>3</v>
      </c>
      <c r="DR85" t="s">
        <v>209</v>
      </c>
      <c r="DS85" t="s">
        <v>166</v>
      </c>
      <c r="DT85" t="s">
        <v>166</v>
      </c>
      <c r="DU85" t="s">
        <v>166</v>
      </c>
      <c r="DV85" t="s">
        <v>166</v>
      </c>
      <c r="DW85">
        <v>432.6</v>
      </c>
      <c r="DX85" t="s">
        <v>166</v>
      </c>
      <c r="DY85" t="s">
        <v>166</v>
      </c>
      <c r="DZ85" t="s">
        <v>210</v>
      </c>
      <c r="EA85" t="s">
        <v>361</v>
      </c>
      <c r="EB85" t="s">
        <v>212</v>
      </c>
      <c r="EC85" t="s">
        <v>166</v>
      </c>
      <c r="ED85" t="s">
        <v>213</v>
      </c>
      <c r="EE85" s="155" t="s">
        <v>214</v>
      </c>
      <c r="EF85" s="155" t="s">
        <v>214</v>
      </c>
      <c r="EG85">
        <v>1.0271999999999999</v>
      </c>
      <c r="EH85" t="s">
        <v>215</v>
      </c>
      <c r="EI85" t="s">
        <v>215</v>
      </c>
      <c r="EJ85" t="s">
        <v>216</v>
      </c>
      <c r="EK85" t="s">
        <v>215</v>
      </c>
      <c r="EL85" t="s">
        <v>215</v>
      </c>
      <c r="EM85" t="s">
        <v>217</v>
      </c>
      <c r="EN85" s="156" t="s">
        <v>214</v>
      </c>
      <c r="EO85" s="156" t="s">
        <v>214</v>
      </c>
      <c r="EP85" s="156" t="s">
        <v>214</v>
      </c>
      <c r="EQ85" s="156" t="s">
        <v>214</v>
      </c>
      <c r="ET85" t="s">
        <v>218</v>
      </c>
      <c r="EU85" t="s">
        <v>219</v>
      </c>
      <c r="EV85" t="s">
        <v>213</v>
      </c>
      <c r="EW85" t="s">
        <v>166</v>
      </c>
      <c r="EX85" t="s">
        <v>166</v>
      </c>
      <c r="EY85" t="s">
        <v>166</v>
      </c>
      <c r="EZ85" t="s">
        <v>166</v>
      </c>
      <c r="FA85" s="157">
        <v>6.5</v>
      </c>
      <c r="FB85" t="s">
        <v>220</v>
      </c>
      <c r="FC85" s="157">
        <v>1</v>
      </c>
      <c r="FD85" s="157">
        <v>1</v>
      </c>
      <c r="FE85" s="177">
        <v>7.5075403221516703</v>
      </c>
      <c r="FF85" t="s">
        <v>221</v>
      </c>
      <c r="FG85" s="177">
        <v>4.2448970554589849E-2</v>
      </c>
      <c r="FH85" s="177">
        <v>4.6166792967180292E-2</v>
      </c>
      <c r="FI85" s="178">
        <v>2553.9300717443903</v>
      </c>
      <c r="FK85" t="s">
        <v>166</v>
      </c>
      <c r="FL85" s="144">
        <f t="shared" si="79"/>
        <v>2553.9300717443903</v>
      </c>
      <c r="FM85" s="178">
        <v>645.50773324311967</v>
      </c>
      <c r="FN85" s="178">
        <v>520.87406070157022</v>
      </c>
      <c r="FO85" t="s">
        <v>222</v>
      </c>
      <c r="FP85" t="s">
        <v>223</v>
      </c>
      <c r="FQ85" s="144" t="s">
        <v>166</v>
      </c>
      <c r="FR85" s="144" t="s">
        <v>166</v>
      </c>
      <c r="FS85" s="144" t="s">
        <v>166</v>
      </c>
      <c r="FT85" s="144" t="s">
        <v>166</v>
      </c>
      <c r="FU85" s="144" t="s">
        <v>166</v>
      </c>
      <c r="FV85" s="144" t="s">
        <v>166</v>
      </c>
      <c r="FW85" s="144" t="s">
        <v>166</v>
      </c>
      <c r="FX85" s="144" t="s">
        <v>166</v>
      </c>
      <c r="FY85" s="144" t="s">
        <v>166</v>
      </c>
      <c r="FZ85" s="144" t="s">
        <v>166</v>
      </c>
      <c r="GA85" s="144" t="s">
        <v>166</v>
      </c>
      <c r="GB85" s="144" t="s">
        <v>166</v>
      </c>
      <c r="GC85" s="158" t="s">
        <v>362</v>
      </c>
    </row>
    <row r="86" spans="1:185" ht="16">
      <c r="A86" s="140" t="s">
        <v>162</v>
      </c>
      <c r="B86" s="143" t="s">
        <v>163</v>
      </c>
      <c r="C86" s="140" t="s">
        <v>164</v>
      </c>
      <c r="D86" s="140" t="s">
        <v>165</v>
      </c>
      <c r="E86" s="140">
        <v>2020</v>
      </c>
      <c r="F86" t="s">
        <v>184</v>
      </c>
      <c r="G86" s="139">
        <v>49001</v>
      </c>
      <c r="H86" s="147">
        <f t="shared" ref="H86" si="87">0.0083*G86^(0.9482)</f>
        <v>232.45046506460554</v>
      </c>
      <c r="I86" s="147">
        <f t="shared" si="67"/>
        <v>232.45046506460554</v>
      </c>
      <c r="J86" s="144">
        <v>1754.5304882714599</v>
      </c>
      <c r="K86" s="144">
        <v>413.59573172790033</v>
      </c>
      <c r="L86" s="144">
        <v>327.96734816189996</v>
      </c>
      <c r="M86" t="b">
        <v>1</v>
      </c>
      <c r="N86">
        <v>3</v>
      </c>
      <c r="O86" s="140" t="s">
        <v>185</v>
      </c>
      <c r="P86" s="140" t="s">
        <v>166</v>
      </c>
      <c r="Q86" s="140" t="s">
        <v>166</v>
      </c>
      <c r="R86" s="140" t="s">
        <v>166</v>
      </c>
      <c r="S86" s="140" t="b">
        <v>1</v>
      </c>
      <c r="T86" s="140" t="b">
        <v>0</v>
      </c>
      <c r="U86" s="140" t="s">
        <v>166</v>
      </c>
      <c r="V86" s="140" t="b">
        <v>0</v>
      </c>
      <c r="W86" s="140" t="b">
        <v>0</v>
      </c>
      <c r="X86" s="140" t="s">
        <v>580</v>
      </c>
      <c r="Y86" s="148" t="s">
        <v>186</v>
      </c>
      <c r="Z86" t="s">
        <v>184</v>
      </c>
      <c r="AA86" s="149">
        <v>1258</v>
      </c>
      <c r="AB86" s="149" t="s">
        <v>187</v>
      </c>
      <c r="AC86" s="149">
        <v>6</v>
      </c>
      <c r="AD86" s="149">
        <v>5</v>
      </c>
      <c r="AE86">
        <v>28.5</v>
      </c>
      <c r="AF86">
        <v>32</v>
      </c>
      <c r="AG86" s="150">
        <v>49.085000000000001</v>
      </c>
      <c r="AH86" t="s">
        <v>166</v>
      </c>
      <c r="AI86" t="s">
        <v>166</v>
      </c>
      <c r="AJ86" t="s">
        <v>188</v>
      </c>
      <c r="AK86">
        <v>9.4332999999999991</v>
      </c>
      <c r="AL86">
        <v>-54.7333</v>
      </c>
      <c r="AM86">
        <v>0.55371767282485962</v>
      </c>
      <c r="AN86" t="s">
        <v>166</v>
      </c>
      <c r="AO86">
        <v>-3192.2</v>
      </c>
      <c r="AP86">
        <v>-3200</v>
      </c>
      <c r="AQ86" t="s">
        <v>189</v>
      </c>
      <c r="AR86" t="s">
        <v>166</v>
      </c>
      <c r="AS86" s="150">
        <v>49.000999999999998</v>
      </c>
      <c r="AT86" t="s">
        <v>166</v>
      </c>
      <c r="AU86" t="s">
        <v>166</v>
      </c>
      <c r="AV86" t="s">
        <v>166</v>
      </c>
      <c r="AW86" t="s">
        <v>166</v>
      </c>
      <c r="AX86" t="s">
        <v>166</v>
      </c>
      <c r="AY86" t="s">
        <v>190</v>
      </c>
      <c r="AZ86" t="s">
        <v>166</v>
      </c>
      <c r="BA86" t="s">
        <v>166</v>
      </c>
      <c r="BB86" t="s">
        <v>166</v>
      </c>
      <c r="BC86" t="s">
        <v>166</v>
      </c>
      <c r="BD86" t="s">
        <v>166</v>
      </c>
      <c r="BE86" t="s">
        <v>166</v>
      </c>
      <c r="BF86" t="s">
        <v>166</v>
      </c>
      <c r="BG86" s="151" t="s">
        <v>191</v>
      </c>
      <c r="BH86" s="149" t="s">
        <v>192</v>
      </c>
      <c r="BI86" t="s">
        <v>166</v>
      </c>
      <c r="BJ86" s="152" t="s">
        <v>166</v>
      </c>
      <c r="BK86" t="s">
        <v>241</v>
      </c>
      <c r="BL86" t="s">
        <v>194</v>
      </c>
      <c r="BM86" t="s">
        <v>195</v>
      </c>
      <c r="BN86" t="s">
        <v>166</v>
      </c>
      <c r="BO86" t="s">
        <v>166</v>
      </c>
      <c r="BP86" t="s">
        <v>166</v>
      </c>
      <c r="BQ86" s="150">
        <v>14.059999999999999</v>
      </c>
      <c r="BR86" t="s">
        <v>196</v>
      </c>
      <c r="BS86" s="150">
        <v>0.23081397714461105</v>
      </c>
      <c r="BT86">
        <v>0.88</v>
      </c>
      <c r="BU86" t="s">
        <v>197</v>
      </c>
      <c r="BV86" t="s">
        <v>166</v>
      </c>
      <c r="BW86">
        <v>1.748</v>
      </c>
      <c r="BX86" t="s">
        <v>197</v>
      </c>
      <c r="BY86" t="s">
        <v>166</v>
      </c>
      <c r="BZ86" t="s">
        <v>372</v>
      </c>
      <c r="CA86" t="s">
        <v>360</v>
      </c>
      <c r="CB86" s="150">
        <f t="shared" si="78"/>
        <v>14.120799999999999</v>
      </c>
      <c r="CC86" t="s">
        <v>196</v>
      </c>
      <c r="CD86" s="150">
        <v>0.23081397714461105</v>
      </c>
      <c r="CE86" t="s">
        <v>199</v>
      </c>
      <c r="CF86" t="s">
        <v>166</v>
      </c>
      <c r="CG86" t="s">
        <v>200</v>
      </c>
      <c r="CH86" t="s">
        <v>166</v>
      </c>
      <c r="CI86" t="s">
        <v>166</v>
      </c>
      <c r="CJ86" s="139">
        <v>34.637833561656997</v>
      </c>
      <c r="CK86" t="s">
        <v>201</v>
      </c>
      <c r="CL86">
        <v>2</v>
      </c>
      <c r="CM86">
        <v>2</v>
      </c>
      <c r="CN86" t="s">
        <v>166</v>
      </c>
      <c r="CO86" s="139">
        <v>3.8322315614178915</v>
      </c>
      <c r="CP86" t="s">
        <v>166</v>
      </c>
      <c r="CQ86" t="s">
        <v>166</v>
      </c>
      <c r="CR86" t="s">
        <v>166</v>
      </c>
      <c r="CS86" s="153" t="s">
        <v>202</v>
      </c>
      <c r="CT86" t="s">
        <v>203</v>
      </c>
      <c r="CU86">
        <v>2.2000000000000002</v>
      </c>
      <c r="CV86" t="s">
        <v>204</v>
      </c>
      <c r="CW86" t="s">
        <v>166</v>
      </c>
      <c r="CX86" t="s">
        <v>166</v>
      </c>
      <c r="CY86" t="s">
        <v>166</v>
      </c>
      <c r="CZ86" t="s">
        <v>166</v>
      </c>
      <c r="DA86" s="154" t="s">
        <v>166</v>
      </c>
      <c r="DB86" t="s">
        <v>166</v>
      </c>
      <c r="DC86" t="s">
        <v>166</v>
      </c>
      <c r="DD86" t="s">
        <v>166</v>
      </c>
      <c r="DE86" t="s">
        <v>166</v>
      </c>
      <c r="DF86" t="s">
        <v>205</v>
      </c>
      <c r="DG86">
        <v>35</v>
      </c>
      <c r="DH86" t="s">
        <v>201</v>
      </c>
      <c r="DI86">
        <v>1</v>
      </c>
      <c r="DJ86" t="s">
        <v>206</v>
      </c>
      <c r="DK86">
        <v>17</v>
      </c>
      <c r="DL86" t="s">
        <v>166</v>
      </c>
      <c r="DM86" t="s">
        <v>166</v>
      </c>
      <c r="DN86" t="s">
        <v>207</v>
      </c>
      <c r="DO86">
        <v>38</v>
      </c>
      <c r="DP86" t="s">
        <v>208</v>
      </c>
      <c r="DQ86">
        <v>3</v>
      </c>
      <c r="DR86" t="s">
        <v>209</v>
      </c>
      <c r="DS86" t="s">
        <v>166</v>
      </c>
      <c r="DT86" t="s">
        <v>166</v>
      </c>
      <c r="DU86" t="s">
        <v>166</v>
      </c>
      <c r="DV86" t="s">
        <v>166</v>
      </c>
      <c r="DW86">
        <v>432.6</v>
      </c>
      <c r="DX86" t="s">
        <v>166</v>
      </c>
      <c r="DY86" t="s">
        <v>166</v>
      </c>
      <c r="DZ86" t="s">
        <v>210</v>
      </c>
      <c r="EA86" t="s">
        <v>361</v>
      </c>
      <c r="EB86" t="s">
        <v>212</v>
      </c>
      <c r="EC86" t="s">
        <v>166</v>
      </c>
      <c r="ED86" t="s">
        <v>213</v>
      </c>
      <c r="EE86" s="155" t="s">
        <v>214</v>
      </c>
      <c r="EF86" s="155" t="s">
        <v>214</v>
      </c>
      <c r="EG86">
        <v>1.0271999999999999</v>
      </c>
      <c r="EH86" t="s">
        <v>215</v>
      </c>
      <c r="EI86" t="s">
        <v>215</v>
      </c>
      <c r="EJ86" t="s">
        <v>216</v>
      </c>
      <c r="EK86" t="s">
        <v>215</v>
      </c>
      <c r="EL86" t="s">
        <v>215</v>
      </c>
      <c r="EM86" t="s">
        <v>217</v>
      </c>
      <c r="EN86" s="156" t="s">
        <v>214</v>
      </c>
      <c r="EO86" s="156" t="s">
        <v>214</v>
      </c>
      <c r="EP86" s="156" t="s">
        <v>214</v>
      </c>
      <c r="EQ86" s="156" t="s">
        <v>214</v>
      </c>
      <c r="ET86" t="s">
        <v>218</v>
      </c>
      <c r="EU86" t="s">
        <v>219</v>
      </c>
      <c r="EV86" t="s">
        <v>213</v>
      </c>
      <c r="EW86" t="s">
        <v>166</v>
      </c>
      <c r="EX86" t="s">
        <v>166</v>
      </c>
      <c r="EY86" t="s">
        <v>166</v>
      </c>
      <c r="EZ86" t="s">
        <v>166</v>
      </c>
      <c r="FA86" s="157">
        <v>6.5</v>
      </c>
      <c r="FB86" t="s">
        <v>220</v>
      </c>
      <c r="FC86" s="157">
        <v>1</v>
      </c>
      <c r="FD86" s="157">
        <v>1</v>
      </c>
      <c r="FE86" s="177">
        <v>7.5350819898163799</v>
      </c>
      <c r="FF86" t="s">
        <v>221</v>
      </c>
      <c r="FG86" s="177">
        <v>3.87682883492797E-2</v>
      </c>
      <c r="FH86" s="177">
        <v>4.3209272987390079E-2</v>
      </c>
      <c r="FI86" s="178">
        <v>2319.9888830465902</v>
      </c>
      <c r="FK86" t="s">
        <v>166</v>
      </c>
      <c r="FL86" s="144">
        <f t="shared" si="79"/>
        <v>2319.9888830465902</v>
      </c>
      <c r="FM86" s="178">
        <v>568.01785872119945</v>
      </c>
      <c r="FN86" s="178">
        <v>443.65964673751023</v>
      </c>
      <c r="FO86" t="s">
        <v>222</v>
      </c>
      <c r="FP86" t="s">
        <v>223</v>
      </c>
      <c r="FQ86" s="144" t="s">
        <v>166</v>
      </c>
      <c r="FR86" s="144" t="s">
        <v>166</v>
      </c>
      <c r="FS86" s="144" t="s">
        <v>166</v>
      </c>
      <c r="FT86" s="144" t="s">
        <v>166</v>
      </c>
      <c r="FU86" s="144" t="s">
        <v>166</v>
      </c>
      <c r="FV86" s="144" t="s">
        <v>166</v>
      </c>
      <c r="FW86" s="144" t="s">
        <v>166</v>
      </c>
      <c r="FX86" s="144" t="s">
        <v>166</v>
      </c>
      <c r="FY86" s="144" t="s">
        <v>166</v>
      </c>
      <c r="FZ86" s="144" t="s">
        <v>166</v>
      </c>
      <c r="GA86" s="144" t="s">
        <v>166</v>
      </c>
      <c r="GB86" s="144" t="s">
        <v>166</v>
      </c>
      <c r="GC86" s="158" t="s">
        <v>362</v>
      </c>
    </row>
    <row r="87" spans="1:185" ht="16">
      <c r="A87" s="140" t="s">
        <v>162</v>
      </c>
      <c r="B87" s="143" t="s">
        <v>163</v>
      </c>
      <c r="C87" s="140" t="s">
        <v>164</v>
      </c>
      <c r="D87" s="140" t="s">
        <v>165</v>
      </c>
      <c r="E87" s="140">
        <v>2020</v>
      </c>
      <c r="F87" t="s">
        <v>184</v>
      </c>
      <c r="G87" s="139">
        <v>49831</v>
      </c>
      <c r="H87" s="147">
        <f t="shared" ref="H87" si="88">0.0083*G87^(0.9482)</f>
        <v>236.18222822268626</v>
      </c>
      <c r="I87" s="147">
        <f t="shared" si="67"/>
        <v>236.18222822268626</v>
      </c>
      <c r="J87" s="144">
        <v>1226.9821491242501</v>
      </c>
      <c r="K87" s="144">
        <v>266.01542969296997</v>
      </c>
      <c r="L87" s="144">
        <v>211.24337521407006</v>
      </c>
      <c r="M87" t="b">
        <v>1</v>
      </c>
      <c r="N87">
        <v>3</v>
      </c>
      <c r="O87" s="140" t="s">
        <v>185</v>
      </c>
      <c r="P87" s="140" t="s">
        <v>166</v>
      </c>
      <c r="Q87" s="140" t="s">
        <v>166</v>
      </c>
      <c r="R87" s="140" t="s">
        <v>166</v>
      </c>
      <c r="S87" s="140" t="b">
        <v>1</v>
      </c>
      <c r="T87" s="140" t="b">
        <v>0</v>
      </c>
      <c r="U87" s="140" t="s">
        <v>166</v>
      </c>
      <c r="V87" s="140" t="b">
        <v>0</v>
      </c>
      <c r="W87" s="140" t="b">
        <v>0</v>
      </c>
      <c r="X87" s="140" t="s">
        <v>580</v>
      </c>
      <c r="Y87" s="148" t="s">
        <v>186</v>
      </c>
      <c r="Z87" t="s">
        <v>184</v>
      </c>
      <c r="AA87" s="149">
        <v>1258</v>
      </c>
      <c r="AB87" s="149" t="s">
        <v>187</v>
      </c>
      <c r="AC87" s="149">
        <v>7</v>
      </c>
      <c r="AD87" s="149">
        <v>3</v>
      </c>
      <c r="AE87">
        <v>84</v>
      </c>
      <c r="AF87">
        <v>87</v>
      </c>
      <c r="AG87" s="150">
        <v>56.04</v>
      </c>
      <c r="AH87">
        <v>54.05</v>
      </c>
      <c r="AI87" t="s">
        <v>234</v>
      </c>
      <c r="AJ87" t="s">
        <v>188</v>
      </c>
      <c r="AK87">
        <v>9.4332999999999991</v>
      </c>
      <c r="AL87">
        <v>-54.7333</v>
      </c>
      <c r="AM87">
        <v>0.58614999055862427</v>
      </c>
      <c r="AN87" t="s">
        <v>166</v>
      </c>
      <c r="AO87">
        <v>-3192.2</v>
      </c>
      <c r="AP87">
        <v>-3200</v>
      </c>
      <c r="AQ87" t="s">
        <v>189</v>
      </c>
      <c r="AR87" t="s">
        <v>166</v>
      </c>
      <c r="AS87" s="150">
        <v>49.831000000000003</v>
      </c>
      <c r="AT87" t="s">
        <v>166</v>
      </c>
      <c r="AU87" t="s">
        <v>166</v>
      </c>
      <c r="AV87" t="s">
        <v>166</v>
      </c>
      <c r="AW87" t="s">
        <v>166</v>
      </c>
      <c r="AX87" t="s">
        <v>166</v>
      </c>
      <c r="AY87" t="s">
        <v>190</v>
      </c>
      <c r="AZ87" t="s">
        <v>166</v>
      </c>
      <c r="BA87" t="s">
        <v>166</v>
      </c>
      <c r="BB87" t="s">
        <v>166</v>
      </c>
      <c r="BC87" t="s">
        <v>166</v>
      </c>
      <c r="BD87" t="s">
        <v>166</v>
      </c>
      <c r="BE87" t="s">
        <v>166</v>
      </c>
      <c r="BF87" t="s">
        <v>166</v>
      </c>
      <c r="BG87" s="151" t="s">
        <v>242</v>
      </c>
      <c r="BH87" s="149" t="s">
        <v>192</v>
      </c>
      <c r="BI87" t="s">
        <v>166</v>
      </c>
      <c r="BJ87" s="152" t="s">
        <v>166</v>
      </c>
      <c r="BK87" t="s">
        <v>243</v>
      </c>
      <c r="BL87" t="s">
        <v>194</v>
      </c>
      <c r="BM87" t="s">
        <v>195</v>
      </c>
      <c r="BN87" t="s">
        <v>166</v>
      </c>
      <c r="BO87" t="s">
        <v>166</v>
      </c>
      <c r="BP87" t="s">
        <v>166</v>
      </c>
      <c r="BQ87" s="150">
        <v>14.580942494143546</v>
      </c>
      <c r="BR87" t="s">
        <v>196</v>
      </c>
      <c r="BS87" s="150">
        <v>0.23066231309760579</v>
      </c>
      <c r="BT87">
        <v>0.88</v>
      </c>
      <c r="BU87" t="s">
        <v>197</v>
      </c>
      <c r="BV87" t="s">
        <v>166</v>
      </c>
      <c r="BW87">
        <v>1.748</v>
      </c>
      <c r="BX87" t="s">
        <v>197</v>
      </c>
      <c r="BY87" t="s">
        <v>166</v>
      </c>
      <c r="BZ87" t="s">
        <v>373</v>
      </c>
      <c r="CA87" t="s">
        <v>360</v>
      </c>
      <c r="CB87" s="150">
        <f t="shared" si="78"/>
        <v>14.579229394846319</v>
      </c>
      <c r="CC87" t="s">
        <v>196</v>
      </c>
      <c r="CD87" s="150">
        <v>0.23066231309760579</v>
      </c>
      <c r="CE87" t="s">
        <v>199</v>
      </c>
      <c r="CF87" t="s">
        <v>166</v>
      </c>
      <c r="CG87" t="s">
        <v>200</v>
      </c>
      <c r="CH87" t="s">
        <v>166</v>
      </c>
      <c r="CI87" t="s">
        <v>166</v>
      </c>
      <c r="CJ87" s="139">
        <v>34.835657172618873</v>
      </c>
      <c r="CK87" t="s">
        <v>201</v>
      </c>
      <c r="CL87">
        <v>2</v>
      </c>
      <c r="CM87">
        <v>2</v>
      </c>
      <c r="CN87" t="s">
        <v>166</v>
      </c>
      <c r="CO87" s="139">
        <v>3.8752005512839585</v>
      </c>
      <c r="CP87" t="s">
        <v>166</v>
      </c>
      <c r="CQ87" t="s">
        <v>166</v>
      </c>
      <c r="CR87" t="s">
        <v>166</v>
      </c>
      <c r="CS87" s="153" t="s">
        <v>202</v>
      </c>
      <c r="CT87" t="s">
        <v>203</v>
      </c>
      <c r="CU87">
        <v>2.2000000000000002</v>
      </c>
      <c r="CV87" t="s">
        <v>204</v>
      </c>
      <c r="CW87" t="s">
        <v>166</v>
      </c>
      <c r="CX87" t="s">
        <v>166</v>
      </c>
      <c r="CY87" t="s">
        <v>166</v>
      </c>
      <c r="CZ87" t="s">
        <v>166</v>
      </c>
      <c r="DA87" s="154" t="s">
        <v>166</v>
      </c>
      <c r="DB87" t="s">
        <v>166</v>
      </c>
      <c r="DC87" t="s">
        <v>166</v>
      </c>
      <c r="DD87" t="s">
        <v>166</v>
      </c>
      <c r="DE87" t="s">
        <v>166</v>
      </c>
      <c r="DF87" t="s">
        <v>205</v>
      </c>
      <c r="DG87">
        <v>35</v>
      </c>
      <c r="DH87" t="s">
        <v>201</v>
      </c>
      <c r="DI87">
        <v>1</v>
      </c>
      <c r="DJ87" t="s">
        <v>206</v>
      </c>
      <c r="DK87">
        <v>17</v>
      </c>
      <c r="DL87" t="s">
        <v>166</v>
      </c>
      <c r="DM87" t="s">
        <v>166</v>
      </c>
      <c r="DN87" t="s">
        <v>207</v>
      </c>
      <c r="DO87">
        <v>38</v>
      </c>
      <c r="DP87" t="s">
        <v>208</v>
      </c>
      <c r="DQ87">
        <v>3</v>
      </c>
      <c r="DR87" t="s">
        <v>209</v>
      </c>
      <c r="DS87" t="s">
        <v>166</v>
      </c>
      <c r="DT87" t="s">
        <v>166</v>
      </c>
      <c r="DU87" t="s">
        <v>166</v>
      </c>
      <c r="DV87" t="s">
        <v>166</v>
      </c>
      <c r="DW87">
        <v>432.6</v>
      </c>
      <c r="DX87" t="s">
        <v>166</v>
      </c>
      <c r="DY87" t="s">
        <v>166</v>
      </c>
      <c r="DZ87" t="s">
        <v>210</v>
      </c>
      <c r="EA87" t="s">
        <v>361</v>
      </c>
      <c r="EB87" t="s">
        <v>212</v>
      </c>
      <c r="EC87" t="s">
        <v>166</v>
      </c>
      <c r="ED87" t="s">
        <v>213</v>
      </c>
      <c r="EE87" s="155" t="s">
        <v>214</v>
      </c>
      <c r="EF87" s="155" t="s">
        <v>214</v>
      </c>
      <c r="EG87">
        <v>1.0271999999999999</v>
      </c>
      <c r="EH87" t="s">
        <v>215</v>
      </c>
      <c r="EI87" t="s">
        <v>215</v>
      </c>
      <c r="EJ87" t="s">
        <v>216</v>
      </c>
      <c r="EK87" t="s">
        <v>215</v>
      </c>
      <c r="EL87" t="s">
        <v>215</v>
      </c>
      <c r="EM87" t="s">
        <v>217</v>
      </c>
      <c r="EN87" s="156" t="s">
        <v>214</v>
      </c>
      <c r="EO87" s="156" t="s">
        <v>214</v>
      </c>
      <c r="EP87" s="156" t="s">
        <v>214</v>
      </c>
      <c r="EQ87" s="156" t="s">
        <v>214</v>
      </c>
      <c r="ET87" t="s">
        <v>218</v>
      </c>
      <c r="EU87" t="s">
        <v>219</v>
      </c>
      <c r="EV87" t="s">
        <v>213</v>
      </c>
      <c r="EW87" t="s">
        <v>166</v>
      </c>
      <c r="EX87" t="s">
        <v>166</v>
      </c>
      <c r="EY87" t="s">
        <v>166</v>
      </c>
      <c r="EZ87" t="s">
        <v>166</v>
      </c>
      <c r="FA87" s="157">
        <v>6.5</v>
      </c>
      <c r="FB87" t="s">
        <v>220</v>
      </c>
      <c r="FC87" s="157">
        <v>1</v>
      </c>
      <c r="FD87" s="157">
        <v>1</v>
      </c>
      <c r="FE87" s="177">
        <v>7.6276408183692697</v>
      </c>
      <c r="FF87" t="s">
        <v>221</v>
      </c>
      <c r="FG87" s="177">
        <v>3.4391985102010025E-2</v>
      </c>
      <c r="FH87" s="177">
        <v>3.4620883304589789E-2</v>
      </c>
      <c r="FI87" s="178">
        <v>1506.86742742564</v>
      </c>
      <c r="FK87" t="s">
        <v>166</v>
      </c>
      <c r="FL87" s="144">
        <f t="shared" si="79"/>
        <v>1506.86742742564</v>
      </c>
      <c r="FM87" s="178">
        <v>278.64105720277007</v>
      </c>
      <c r="FN87" s="178">
        <v>267.63900211743999</v>
      </c>
      <c r="FO87" t="s">
        <v>222</v>
      </c>
      <c r="FP87" t="s">
        <v>223</v>
      </c>
      <c r="FQ87" s="144" t="s">
        <v>166</v>
      </c>
      <c r="FR87" s="144" t="s">
        <v>166</v>
      </c>
      <c r="FS87" s="144" t="s">
        <v>166</v>
      </c>
      <c r="FT87" s="144" t="s">
        <v>166</v>
      </c>
      <c r="FU87" s="144" t="s">
        <v>166</v>
      </c>
      <c r="FV87" s="144" t="s">
        <v>166</v>
      </c>
      <c r="FW87" s="144" t="s">
        <v>166</v>
      </c>
      <c r="FX87" s="144" t="s">
        <v>166</v>
      </c>
      <c r="FY87" s="144" t="s">
        <v>166</v>
      </c>
      <c r="FZ87" s="144" t="s">
        <v>166</v>
      </c>
      <c r="GA87" s="144" t="s">
        <v>166</v>
      </c>
      <c r="GB87" s="144" t="s">
        <v>166</v>
      </c>
      <c r="GC87" s="158" t="s">
        <v>362</v>
      </c>
    </row>
    <row r="88" spans="1:185" ht="16">
      <c r="A88" s="140" t="s">
        <v>162</v>
      </c>
      <c r="B88" s="143" t="s">
        <v>163</v>
      </c>
      <c r="C88" s="140" t="s">
        <v>164</v>
      </c>
      <c r="D88" s="140" t="s">
        <v>165</v>
      </c>
      <c r="E88" s="140">
        <v>2020</v>
      </c>
      <c r="F88" t="s">
        <v>184</v>
      </c>
      <c r="G88" s="139">
        <v>50705</v>
      </c>
      <c r="H88" s="147">
        <f t="shared" ref="H88" si="89">0.0083*G88^(0.9482)</f>
        <v>240.1083418887205</v>
      </c>
      <c r="I88" s="147">
        <f t="shared" si="67"/>
        <v>240.1083418887205</v>
      </c>
      <c r="J88" s="144">
        <v>1157.47112389621</v>
      </c>
      <c r="K88" s="144">
        <v>221.02061579058</v>
      </c>
      <c r="L88" s="144">
        <v>211.376418891242</v>
      </c>
      <c r="M88" t="b">
        <v>1</v>
      </c>
      <c r="N88">
        <v>3</v>
      </c>
      <c r="O88" s="140" t="s">
        <v>185</v>
      </c>
      <c r="P88" s="140" t="s">
        <v>166</v>
      </c>
      <c r="Q88" s="140" t="s">
        <v>166</v>
      </c>
      <c r="R88" s="140" t="s">
        <v>166</v>
      </c>
      <c r="S88" s="140" t="b">
        <v>1</v>
      </c>
      <c r="T88" s="140" t="b">
        <v>0</v>
      </c>
      <c r="U88" s="140" t="s">
        <v>166</v>
      </c>
      <c r="V88" s="140" t="b">
        <v>0</v>
      </c>
      <c r="W88" s="140" t="b">
        <v>0</v>
      </c>
      <c r="X88" s="140" t="s">
        <v>580</v>
      </c>
      <c r="Y88" s="148" t="s">
        <v>186</v>
      </c>
      <c r="Z88" t="s">
        <v>184</v>
      </c>
      <c r="AA88" s="149">
        <v>1258</v>
      </c>
      <c r="AB88" s="149" t="s">
        <v>233</v>
      </c>
      <c r="AC88" s="149">
        <v>8</v>
      </c>
      <c r="AD88" s="149">
        <v>2</v>
      </c>
      <c r="AE88">
        <v>48</v>
      </c>
      <c r="AF88">
        <v>51.5</v>
      </c>
      <c r="AG88" s="150">
        <v>72.08</v>
      </c>
      <c r="AH88" s="159">
        <v>66.87</v>
      </c>
      <c r="AI88" t="s">
        <v>234</v>
      </c>
      <c r="AJ88" t="s">
        <v>188</v>
      </c>
      <c r="AK88" s="162">
        <v>9.4332999999999991</v>
      </c>
      <c r="AL88" s="162">
        <v>-54.7333</v>
      </c>
      <c r="AM88">
        <v>0.61730623245239258</v>
      </c>
      <c r="AN88" t="s">
        <v>166</v>
      </c>
      <c r="AO88">
        <v>-3192.2</v>
      </c>
      <c r="AP88">
        <v>-3200</v>
      </c>
      <c r="AQ88" t="s">
        <v>189</v>
      </c>
      <c r="AR88" t="s">
        <v>166</v>
      </c>
      <c r="AS88" s="150">
        <v>50.704999999999998</v>
      </c>
      <c r="AT88" t="s">
        <v>166</v>
      </c>
      <c r="AU88" t="s">
        <v>166</v>
      </c>
      <c r="AV88" t="s">
        <v>166</v>
      </c>
      <c r="AW88" t="s">
        <v>166</v>
      </c>
      <c r="AX88" t="s">
        <v>166</v>
      </c>
      <c r="AY88" t="s">
        <v>190</v>
      </c>
      <c r="AZ88" t="s">
        <v>166</v>
      </c>
      <c r="BA88" t="s">
        <v>166</v>
      </c>
      <c r="BB88" t="s">
        <v>166</v>
      </c>
      <c r="BC88" t="s">
        <v>166</v>
      </c>
      <c r="BD88" t="s">
        <v>166</v>
      </c>
      <c r="BE88" t="s">
        <v>166</v>
      </c>
      <c r="BF88" t="s">
        <v>166</v>
      </c>
      <c r="BG88" s="151" t="s">
        <v>242</v>
      </c>
      <c r="BH88" s="149" t="s">
        <v>192</v>
      </c>
      <c r="BI88" t="s">
        <v>166</v>
      </c>
      <c r="BJ88" s="152" t="s">
        <v>166</v>
      </c>
      <c r="BK88" t="s">
        <v>244</v>
      </c>
      <c r="BL88" t="s">
        <v>194</v>
      </c>
      <c r="BM88" t="s">
        <v>195</v>
      </c>
      <c r="BN88" t="s">
        <v>166</v>
      </c>
      <c r="BO88" t="s">
        <v>166</v>
      </c>
      <c r="BP88" t="s">
        <v>166</v>
      </c>
      <c r="BQ88" s="150">
        <v>14.795797174206871</v>
      </c>
      <c r="BR88" t="s">
        <v>196</v>
      </c>
      <c r="BS88" s="150">
        <v>0.22783403464438931</v>
      </c>
      <c r="BT88">
        <v>0.88</v>
      </c>
      <c r="BU88" t="s">
        <v>197</v>
      </c>
      <c r="BV88" t="s">
        <v>166</v>
      </c>
      <c r="BW88">
        <v>1.748</v>
      </c>
      <c r="BX88" t="s">
        <v>197</v>
      </c>
      <c r="BY88" t="s">
        <v>166</v>
      </c>
      <c r="BZ88" t="s">
        <v>374</v>
      </c>
      <c r="CA88" t="s">
        <v>360</v>
      </c>
      <c r="CB88" s="150">
        <f t="shared" si="78"/>
        <v>14.768301513302045</v>
      </c>
      <c r="CC88" t="s">
        <v>196</v>
      </c>
      <c r="CD88" s="150">
        <v>0.22783403464438931</v>
      </c>
      <c r="CE88" t="s">
        <v>199</v>
      </c>
      <c r="CF88" t="s">
        <v>166</v>
      </c>
      <c r="CG88" t="s">
        <v>200</v>
      </c>
      <c r="CH88" t="s">
        <v>166</v>
      </c>
      <c r="CI88" t="s">
        <v>166</v>
      </c>
      <c r="CJ88" s="139">
        <v>38.561968268737836</v>
      </c>
      <c r="CK88" t="s">
        <v>201</v>
      </c>
      <c r="CL88">
        <v>2</v>
      </c>
      <c r="CM88">
        <v>2</v>
      </c>
      <c r="CN88" t="s">
        <v>166</v>
      </c>
      <c r="CO88" s="139">
        <v>4.7808923599312809</v>
      </c>
      <c r="CP88" t="s">
        <v>166</v>
      </c>
      <c r="CQ88" t="s">
        <v>166</v>
      </c>
      <c r="CR88" t="s">
        <v>166</v>
      </c>
      <c r="CS88" s="153" t="s">
        <v>202</v>
      </c>
      <c r="CT88" t="s">
        <v>203</v>
      </c>
      <c r="CU88">
        <v>2.2000000000000002</v>
      </c>
      <c r="CV88" t="s">
        <v>204</v>
      </c>
      <c r="CW88" t="s">
        <v>166</v>
      </c>
      <c r="CX88" t="s">
        <v>166</v>
      </c>
      <c r="CY88" t="s">
        <v>166</v>
      </c>
      <c r="CZ88" t="s">
        <v>166</v>
      </c>
      <c r="DA88" s="154" t="s">
        <v>166</v>
      </c>
      <c r="DB88" t="s">
        <v>166</v>
      </c>
      <c r="DC88" t="s">
        <v>166</v>
      </c>
      <c r="DD88" t="s">
        <v>166</v>
      </c>
      <c r="DE88" t="s">
        <v>166</v>
      </c>
      <c r="DF88" t="s">
        <v>205</v>
      </c>
      <c r="DG88">
        <v>35</v>
      </c>
      <c r="DH88" t="s">
        <v>201</v>
      </c>
      <c r="DI88">
        <v>1</v>
      </c>
      <c r="DJ88" t="s">
        <v>206</v>
      </c>
      <c r="DK88">
        <v>17</v>
      </c>
      <c r="DL88" t="s">
        <v>166</v>
      </c>
      <c r="DM88" t="s">
        <v>166</v>
      </c>
      <c r="DN88" t="s">
        <v>207</v>
      </c>
      <c r="DO88">
        <v>38</v>
      </c>
      <c r="DP88" t="s">
        <v>208</v>
      </c>
      <c r="DQ88">
        <v>3</v>
      </c>
      <c r="DR88" t="s">
        <v>209</v>
      </c>
      <c r="DS88" t="s">
        <v>166</v>
      </c>
      <c r="DT88" t="s">
        <v>166</v>
      </c>
      <c r="DU88" t="s">
        <v>166</v>
      </c>
      <c r="DV88" t="s">
        <v>166</v>
      </c>
      <c r="DW88">
        <v>432.6</v>
      </c>
      <c r="DX88" t="s">
        <v>166</v>
      </c>
      <c r="DY88" t="s">
        <v>166</v>
      </c>
      <c r="DZ88" t="s">
        <v>210</v>
      </c>
      <c r="EA88" t="s">
        <v>361</v>
      </c>
      <c r="EB88" t="s">
        <v>212</v>
      </c>
      <c r="EC88" t="s">
        <v>166</v>
      </c>
      <c r="ED88" t="s">
        <v>213</v>
      </c>
      <c r="EE88" s="155" t="s">
        <v>214</v>
      </c>
      <c r="EF88" s="155" t="s">
        <v>214</v>
      </c>
      <c r="EG88">
        <v>1.0271999999999999</v>
      </c>
      <c r="EH88" t="s">
        <v>215</v>
      </c>
      <c r="EI88" t="s">
        <v>215</v>
      </c>
      <c r="EJ88" t="s">
        <v>216</v>
      </c>
      <c r="EK88" t="s">
        <v>215</v>
      </c>
      <c r="EL88" t="s">
        <v>215</v>
      </c>
      <c r="EM88" t="s">
        <v>217</v>
      </c>
      <c r="EN88" s="156" t="s">
        <v>214</v>
      </c>
      <c r="EO88" s="156" t="s">
        <v>214</v>
      </c>
      <c r="EP88" s="156" t="s">
        <v>214</v>
      </c>
      <c r="EQ88" s="156" t="s">
        <v>214</v>
      </c>
      <c r="ET88" t="s">
        <v>218</v>
      </c>
      <c r="EU88" t="s">
        <v>219</v>
      </c>
      <c r="EV88" t="s">
        <v>213</v>
      </c>
      <c r="EW88" t="s">
        <v>166</v>
      </c>
      <c r="EX88" t="s">
        <v>166</v>
      </c>
      <c r="EY88" t="s">
        <v>166</v>
      </c>
      <c r="EZ88" t="s">
        <v>166</v>
      </c>
      <c r="FA88" s="157">
        <v>6.5</v>
      </c>
      <c r="FB88" t="s">
        <v>220</v>
      </c>
      <c r="FC88" s="157">
        <v>1</v>
      </c>
      <c r="FD88" s="157">
        <v>1</v>
      </c>
      <c r="FE88" s="177">
        <v>7.6213809593244299</v>
      </c>
      <c r="FF88" t="s">
        <v>221</v>
      </c>
      <c r="FG88" s="177">
        <v>3.3654212943069695E-2</v>
      </c>
      <c r="FH88" s="177">
        <v>3.5405651820969553E-2</v>
      </c>
      <c r="FI88" s="178">
        <v>1366.80195718248</v>
      </c>
      <c r="FK88" t="s">
        <v>166</v>
      </c>
      <c r="FL88" s="144">
        <f t="shared" si="79"/>
        <v>1366.80195718248</v>
      </c>
      <c r="FM88" s="178">
        <v>286.55799160340007</v>
      </c>
      <c r="FN88" s="178">
        <v>238.9422636551601</v>
      </c>
      <c r="FO88" t="s">
        <v>222</v>
      </c>
      <c r="FP88" t="s">
        <v>223</v>
      </c>
      <c r="FQ88" s="144" t="s">
        <v>166</v>
      </c>
      <c r="FR88" s="144" t="s">
        <v>166</v>
      </c>
      <c r="FS88" s="144" t="s">
        <v>166</v>
      </c>
      <c r="FT88" s="144" t="s">
        <v>166</v>
      </c>
      <c r="FU88" s="144" t="s">
        <v>166</v>
      </c>
      <c r="FV88" s="144" t="s">
        <v>166</v>
      </c>
      <c r="FW88" s="144" t="s">
        <v>166</v>
      </c>
      <c r="FX88" s="144" t="s">
        <v>166</v>
      </c>
      <c r="FY88" s="144" t="s">
        <v>166</v>
      </c>
      <c r="FZ88" s="144" t="s">
        <v>166</v>
      </c>
      <c r="GA88" s="144" t="s">
        <v>166</v>
      </c>
      <c r="GB88" s="144" t="s">
        <v>166</v>
      </c>
      <c r="GC88" s="158" t="s">
        <v>362</v>
      </c>
    </row>
    <row r="89" spans="1:185" ht="16">
      <c r="A89" s="140" t="s">
        <v>162</v>
      </c>
      <c r="B89" s="143" t="s">
        <v>163</v>
      </c>
      <c r="C89" s="140" t="s">
        <v>164</v>
      </c>
      <c r="D89" s="140" t="s">
        <v>165</v>
      </c>
      <c r="E89" s="140">
        <v>2020</v>
      </c>
      <c r="F89" t="s">
        <v>184</v>
      </c>
      <c r="G89" s="139">
        <v>50856</v>
      </c>
      <c r="H89" s="147">
        <f t="shared" ref="H89" si="90">0.0083*G89^(0.9482)</f>
        <v>240.78629537157894</v>
      </c>
      <c r="I89" s="147">
        <f t="shared" si="67"/>
        <v>240.78629537157894</v>
      </c>
      <c r="J89" s="144">
        <v>1135.37905734027</v>
      </c>
      <c r="K89" s="144">
        <v>235.29055620092004</v>
      </c>
      <c r="L89" s="144">
        <v>187.46978543031003</v>
      </c>
      <c r="M89" t="b">
        <v>1</v>
      </c>
      <c r="N89">
        <v>3</v>
      </c>
      <c r="O89" s="140" t="s">
        <v>185</v>
      </c>
      <c r="P89" s="140" t="s">
        <v>166</v>
      </c>
      <c r="Q89" s="140" t="s">
        <v>166</v>
      </c>
      <c r="R89" s="140" t="s">
        <v>166</v>
      </c>
      <c r="S89" s="140" t="b">
        <v>1</v>
      </c>
      <c r="T89" s="140" t="b">
        <v>0</v>
      </c>
      <c r="U89" s="140" t="s">
        <v>166</v>
      </c>
      <c r="V89" s="140" t="b">
        <v>0</v>
      </c>
      <c r="W89" s="140" t="b">
        <v>0</v>
      </c>
      <c r="X89" s="140" t="s">
        <v>580</v>
      </c>
      <c r="Y89" s="148" t="s">
        <v>186</v>
      </c>
      <c r="Z89" t="s">
        <v>184</v>
      </c>
      <c r="AA89" s="149">
        <v>1258</v>
      </c>
      <c r="AB89" s="149" t="s">
        <v>187</v>
      </c>
      <c r="AC89" s="149">
        <v>9</v>
      </c>
      <c r="AD89" s="149">
        <v>2</v>
      </c>
      <c r="AE89">
        <v>53.5</v>
      </c>
      <c r="AF89">
        <v>57</v>
      </c>
      <c r="AG89" s="150">
        <v>73.935000000000002</v>
      </c>
      <c r="AH89" s="159">
        <v>69.475000000000009</v>
      </c>
      <c r="AI89" t="s">
        <v>234</v>
      </c>
      <c r="AJ89" t="s">
        <v>188</v>
      </c>
      <c r="AK89">
        <v>9.4332999999999991</v>
      </c>
      <c r="AL89">
        <v>-54.7333</v>
      </c>
      <c r="AM89">
        <v>0.22730898857116699</v>
      </c>
      <c r="AN89" t="s">
        <v>166</v>
      </c>
      <c r="AO89">
        <v>-3192.2</v>
      </c>
      <c r="AP89">
        <v>-3200</v>
      </c>
      <c r="AQ89" t="s">
        <v>189</v>
      </c>
      <c r="AR89" t="s">
        <v>166</v>
      </c>
      <c r="AS89" s="150">
        <v>50.856000000000002</v>
      </c>
      <c r="AT89" t="s">
        <v>166</v>
      </c>
      <c r="AU89" t="s">
        <v>166</v>
      </c>
      <c r="AV89" t="s">
        <v>166</v>
      </c>
      <c r="AW89" t="s">
        <v>166</v>
      </c>
      <c r="AX89" t="s">
        <v>166</v>
      </c>
      <c r="AY89" t="s">
        <v>190</v>
      </c>
      <c r="AZ89" t="s">
        <v>166</v>
      </c>
      <c r="BA89" t="s">
        <v>166</v>
      </c>
      <c r="BB89" t="s">
        <v>166</v>
      </c>
      <c r="BC89" t="s">
        <v>166</v>
      </c>
      <c r="BD89" t="s">
        <v>166</v>
      </c>
      <c r="BE89" t="s">
        <v>166</v>
      </c>
      <c r="BF89" t="s">
        <v>166</v>
      </c>
      <c r="BG89" s="151" t="s">
        <v>242</v>
      </c>
      <c r="BH89" s="149" t="s">
        <v>192</v>
      </c>
      <c r="BI89" t="s">
        <v>166</v>
      </c>
      <c r="BJ89" s="152" t="s">
        <v>166</v>
      </c>
      <c r="BK89" t="s">
        <v>245</v>
      </c>
      <c r="BL89" t="s">
        <v>194</v>
      </c>
      <c r="BM89" t="s">
        <v>195</v>
      </c>
      <c r="BN89" t="s">
        <v>166</v>
      </c>
      <c r="BO89" t="s">
        <v>166</v>
      </c>
      <c r="BP89" t="s">
        <v>166</v>
      </c>
      <c r="BQ89" s="150">
        <v>14.765644200464777</v>
      </c>
      <c r="BR89" t="s">
        <v>196</v>
      </c>
      <c r="BS89" s="150">
        <v>0.23386206960743186</v>
      </c>
      <c r="BT89">
        <v>0.88</v>
      </c>
      <c r="BU89" t="s">
        <v>197</v>
      </c>
      <c r="BV89" t="s">
        <v>166</v>
      </c>
      <c r="BW89">
        <v>1.748</v>
      </c>
      <c r="BX89" t="s">
        <v>197</v>
      </c>
      <c r="BY89" t="s">
        <v>166</v>
      </c>
      <c r="BZ89" t="s">
        <v>375</v>
      </c>
      <c r="CA89" t="s">
        <v>360</v>
      </c>
      <c r="CB89" s="150">
        <f t="shared" si="78"/>
        <v>14.741766896409004</v>
      </c>
      <c r="CC89" t="s">
        <v>196</v>
      </c>
      <c r="CD89" s="150">
        <v>0.23386206960743186</v>
      </c>
      <c r="CE89" t="s">
        <v>199</v>
      </c>
      <c r="CF89" t="s">
        <v>166</v>
      </c>
      <c r="CG89" t="s">
        <v>200</v>
      </c>
      <c r="CH89" t="s">
        <v>166</v>
      </c>
      <c r="CI89" t="s">
        <v>166</v>
      </c>
      <c r="CJ89" s="139">
        <v>36.139503112947018</v>
      </c>
      <c r="CK89" t="s">
        <v>201</v>
      </c>
      <c r="CL89">
        <v>2</v>
      </c>
      <c r="CM89">
        <v>2</v>
      </c>
      <c r="CN89" t="s">
        <v>166</v>
      </c>
      <c r="CO89" s="139">
        <v>4.1707146049265029</v>
      </c>
      <c r="CP89" t="s">
        <v>166</v>
      </c>
      <c r="CQ89" t="s">
        <v>166</v>
      </c>
      <c r="CR89" t="s">
        <v>166</v>
      </c>
      <c r="CS89" s="153" t="s">
        <v>202</v>
      </c>
      <c r="CT89" t="s">
        <v>203</v>
      </c>
      <c r="CU89">
        <v>2.2000000000000002</v>
      </c>
      <c r="CV89" t="s">
        <v>204</v>
      </c>
      <c r="CW89" t="s">
        <v>166</v>
      </c>
      <c r="CX89" t="s">
        <v>166</v>
      </c>
      <c r="CY89" t="s">
        <v>166</v>
      </c>
      <c r="CZ89" t="s">
        <v>166</v>
      </c>
      <c r="DA89" s="154" t="s">
        <v>166</v>
      </c>
      <c r="DB89" t="s">
        <v>166</v>
      </c>
      <c r="DC89" t="s">
        <v>166</v>
      </c>
      <c r="DD89" t="s">
        <v>166</v>
      </c>
      <c r="DE89" t="s">
        <v>166</v>
      </c>
      <c r="DF89" t="s">
        <v>205</v>
      </c>
      <c r="DG89">
        <v>35</v>
      </c>
      <c r="DH89" t="s">
        <v>201</v>
      </c>
      <c r="DI89">
        <v>1</v>
      </c>
      <c r="DJ89" t="s">
        <v>206</v>
      </c>
      <c r="DK89">
        <v>17</v>
      </c>
      <c r="DL89" t="s">
        <v>166</v>
      </c>
      <c r="DM89" t="s">
        <v>166</v>
      </c>
      <c r="DN89" t="s">
        <v>207</v>
      </c>
      <c r="DO89">
        <v>38</v>
      </c>
      <c r="DP89" t="s">
        <v>208</v>
      </c>
      <c r="DQ89">
        <v>3</v>
      </c>
      <c r="DR89" t="s">
        <v>209</v>
      </c>
      <c r="DS89" t="s">
        <v>166</v>
      </c>
      <c r="DT89" t="s">
        <v>166</v>
      </c>
      <c r="DU89" t="s">
        <v>166</v>
      </c>
      <c r="DV89" t="s">
        <v>166</v>
      </c>
      <c r="DW89">
        <v>432.6</v>
      </c>
      <c r="DX89" t="s">
        <v>166</v>
      </c>
      <c r="DY89" t="s">
        <v>166</v>
      </c>
      <c r="DZ89" t="s">
        <v>210</v>
      </c>
      <c r="EA89" t="s">
        <v>361</v>
      </c>
      <c r="EB89" t="s">
        <v>212</v>
      </c>
      <c r="EC89" t="s">
        <v>166</v>
      </c>
      <c r="ED89" t="s">
        <v>213</v>
      </c>
      <c r="EE89" s="155" t="s">
        <v>214</v>
      </c>
      <c r="EF89" s="155" t="s">
        <v>214</v>
      </c>
      <c r="EG89">
        <v>1.0271999999999999</v>
      </c>
      <c r="EH89" t="s">
        <v>215</v>
      </c>
      <c r="EI89" t="s">
        <v>215</v>
      </c>
      <c r="EJ89" t="s">
        <v>216</v>
      </c>
      <c r="EK89" t="s">
        <v>215</v>
      </c>
      <c r="EL89" t="s">
        <v>215</v>
      </c>
      <c r="EM89" t="s">
        <v>217</v>
      </c>
      <c r="EN89" s="156" t="s">
        <v>214</v>
      </c>
      <c r="EO89" s="156" t="s">
        <v>214</v>
      </c>
      <c r="EP89" s="156" t="s">
        <v>214</v>
      </c>
      <c r="EQ89" s="156" t="s">
        <v>214</v>
      </c>
      <c r="ET89" t="s">
        <v>218</v>
      </c>
      <c r="EU89" t="s">
        <v>219</v>
      </c>
      <c r="EV89" t="s">
        <v>213</v>
      </c>
      <c r="EW89" t="s">
        <v>166</v>
      </c>
      <c r="EX89" t="s">
        <v>166</v>
      </c>
      <c r="EY89" t="s">
        <v>166</v>
      </c>
      <c r="EZ89" t="s">
        <v>166</v>
      </c>
      <c r="FA89" s="157">
        <v>6.5</v>
      </c>
      <c r="FB89" t="s">
        <v>220</v>
      </c>
      <c r="FC89" s="157">
        <v>1</v>
      </c>
      <c r="FD89" s="157">
        <v>1</v>
      </c>
      <c r="FE89" s="177">
        <v>7.6441185916119201</v>
      </c>
      <c r="FF89" t="s">
        <v>221</v>
      </c>
      <c r="FG89" s="177">
        <v>3.3806878754280234E-2</v>
      </c>
      <c r="FH89" s="177">
        <v>3.9041866045369744E-2</v>
      </c>
      <c r="FI89" s="178">
        <v>1325.6728553861701</v>
      </c>
      <c r="FK89" t="s">
        <v>166</v>
      </c>
      <c r="FL89" s="144">
        <f t="shared" si="79"/>
        <v>1325.6728553861701</v>
      </c>
      <c r="FM89" s="178">
        <v>287.48764395084004</v>
      </c>
      <c r="FN89" s="178">
        <v>222.04694446755002</v>
      </c>
      <c r="FO89" t="s">
        <v>222</v>
      </c>
      <c r="FP89" t="s">
        <v>223</v>
      </c>
      <c r="FQ89" s="144" t="s">
        <v>166</v>
      </c>
      <c r="FR89" s="144" t="s">
        <v>166</v>
      </c>
      <c r="FS89" s="144" t="s">
        <v>166</v>
      </c>
      <c r="FT89" s="144" t="s">
        <v>166</v>
      </c>
      <c r="FU89" s="144" t="s">
        <v>166</v>
      </c>
      <c r="FV89" s="144" t="s">
        <v>166</v>
      </c>
      <c r="FW89" s="144" t="s">
        <v>166</v>
      </c>
      <c r="FX89" s="144" t="s">
        <v>166</v>
      </c>
      <c r="FY89" s="144" t="s">
        <v>166</v>
      </c>
      <c r="FZ89" s="144" t="s">
        <v>166</v>
      </c>
      <c r="GA89" s="144" t="s">
        <v>166</v>
      </c>
      <c r="GB89" s="144" t="s">
        <v>166</v>
      </c>
      <c r="GC89" s="158" t="s">
        <v>362</v>
      </c>
    </row>
    <row r="90" spans="1:185" ht="16">
      <c r="A90" s="140" t="s">
        <v>162</v>
      </c>
      <c r="B90" s="143" t="s">
        <v>163</v>
      </c>
      <c r="C90" s="140" t="s">
        <v>164</v>
      </c>
      <c r="D90" s="140" t="s">
        <v>165</v>
      </c>
      <c r="E90" s="140">
        <v>2020</v>
      </c>
      <c r="F90" t="s">
        <v>184</v>
      </c>
      <c r="G90" s="139">
        <v>51980</v>
      </c>
      <c r="H90" s="147">
        <f t="shared" ref="H90" si="91">0.0083*G90^(0.9482)</f>
        <v>245.82952867537867</v>
      </c>
      <c r="I90" s="147">
        <f t="shared" si="67"/>
        <v>245.82952867537867</v>
      </c>
      <c r="J90" s="144">
        <v>1285.0984415114801</v>
      </c>
      <c r="K90" s="144">
        <v>286.79048823620997</v>
      </c>
      <c r="L90" s="144">
        <v>217.55487179577017</v>
      </c>
      <c r="M90" t="b">
        <v>1</v>
      </c>
      <c r="N90">
        <v>3</v>
      </c>
      <c r="O90" s="140" t="s">
        <v>185</v>
      </c>
      <c r="P90" s="140" t="s">
        <v>166</v>
      </c>
      <c r="Q90" s="140" t="s">
        <v>166</v>
      </c>
      <c r="R90" s="140" t="s">
        <v>166</v>
      </c>
      <c r="S90" s="140" t="b">
        <v>1</v>
      </c>
      <c r="T90" s="140" t="b">
        <v>0</v>
      </c>
      <c r="U90" s="140" t="s">
        <v>166</v>
      </c>
      <c r="V90" s="140" t="b">
        <v>0</v>
      </c>
      <c r="W90" s="140" t="b">
        <v>0</v>
      </c>
      <c r="X90" s="140" t="s">
        <v>580</v>
      </c>
      <c r="Y90" s="148" t="s">
        <v>186</v>
      </c>
      <c r="Z90" t="s">
        <v>184</v>
      </c>
      <c r="AA90" s="149">
        <v>1258</v>
      </c>
      <c r="AB90" s="149" t="s">
        <v>187</v>
      </c>
      <c r="AC90" s="149">
        <v>10</v>
      </c>
      <c r="AD90" s="149">
        <v>4</v>
      </c>
      <c r="AE90">
        <v>46.5</v>
      </c>
      <c r="AF90">
        <v>50</v>
      </c>
      <c r="AG90" s="150">
        <v>86.564999999999998</v>
      </c>
      <c r="AH90" s="159">
        <v>82.344999999999999</v>
      </c>
      <c r="AI90" t="s">
        <v>234</v>
      </c>
      <c r="AJ90" t="s">
        <v>188</v>
      </c>
      <c r="AK90">
        <v>9.4332999999999991</v>
      </c>
      <c r="AL90">
        <v>-54.7333</v>
      </c>
      <c r="AM90">
        <v>0.24503429234027863</v>
      </c>
      <c r="AN90" t="s">
        <v>166</v>
      </c>
      <c r="AO90">
        <v>-3192.2</v>
      </c>
      <c r="AP90">
        <v>-3200</v>
      </c>
      <c r="AQ90" t="s">
        <v>189</v>
      </c>
      <c r="AR90" t="s">
        <v>166</v>
      </c>
      <c r="AS90" s="150">
        <v>51.98</v>
      </c>
      <c r="AT90" t="s">
        <v>166</v>
      </c>
      <c r="AU90" t="s">
        <v>166</v>
      </c>
      <c r="AV90" t="s">
        <v>166</v>
      </c>
      <c r="AW90" t="s">
        <v>166</v>
      </c>
      <c r="AX90" t="s">
        <v>166</v>
      </c>
      <c r="AY90" t="s">
        <v>190</v>
      </c>
      <c r="AZ90" t="s">
        <v>166</v>
      </c>
      <c r="BA90" t="s">
        <v>166</v>
      </c>
      <c r="BB90" t="s">
        <v>166</v>
      </c>
      <c r="BC90" t="s">
        <v>166</v>
      </c>
      <c r="BD90" t="s">
        <v>166</v>
      </c>
      <c r="BE90" t="s">
        <v>166</v>
      </c>
      <c r="BF90" t="s">
        <v>166</v>
      </c>
      <c r="BG90" s="151" t="s">
        <v>242</v>
      </c>
      <c r="BH90" s="149" t="s">
        <v>192</v>
      </c>
      <c r="BI90" t="s">
        <v>166</v>
      </c>
      <c r="BJ90" s="152" t="s">
        <v>166</v>
      </c>
      <c r="BK90" t="s">
        <v>246</v>
      </c>
      <c r="BL90" t="s">
        <v>194</v>
      </c>
      <c r="BM90" t="s">
        <v>195</v>
      </c>
      <c r="BN90" t="s">
        <v>166</v>
      </c>
      <c r="BO90" t="s">
        <v>166</v>
      </c>
      <c r="BP90" t="s">
        <v>166</v>
      </c>
      <c r="BQ90" s="150">
        <v>14.574118308030792</v>
      </c>
      <c r="BR90" t="s">
        <v>196</v>
      </c>
      <c r="BS90" s="150">
        <v>0.25346521858352772</v>
      </c>
      <c r="BT90">
        <v>0.88</v>
      </c>
      <c r="BU90" t="s">
        <v>197</v>
      </c>
      <c r="BV90" t="s">
        <v>166</v>
      </c>
      <c r="BW90">
        <v>1.748</v>
      </c>
      <c r="BX90" t="s">
        <v>197</v>
      </c>
      <c r="BY90" t="s">
        <v>166</v>
      </c>
      <c r="BZ90" t="s">
        <v>376</v>
      </c>
      <c r="CA90" t="s">
        <v>360</v>
      </c>
      <c r="CB90" s="150">
        <f t="shared" si="78"/>
        <v>14.573224111067097</v>
      </c>
      <c r="CC90" t="s">
        <v>196</v>
      </c>
      <c r="CD90" s="150">
        <v>0.25346521858352772</v>
      </c>
      <c r="CE90" t="s">
        <v>199</v>
      </c>
      <c r="CF90" t="s">
        <v>166</v>
      </c>
      <c r="CG90" t="s">
        <v>200</v>
      </c>
      <c r="CH90" t="s">
        <v>166</v>
      </c>
      <c r="CI90" t="s">
        <v>166</v>
      </c>
      <c r="CJ90" s="139">
        <v>37.290923868680721</v>
      </c>
      <c r="CK90" t="s">
        <v>201</v>
      </c>
      <c r="CL90">
        <v>2</v>
      </c>
      <c r="CM90">
        <v>2</v>
      </c>
      <c r="CN90" t="s">
        <v>166</v>
      </c>
      <c r="CO90" s="139">
        <v>4.4503647926421062</v>
      </c>
      <c r="CP90" t="s">
        <v>166</v>
      </c>
      <c r="CQ90" t="s">
        <v>166</v>
      </c>
      <c r="CR90" t="s">
        <v>166</v>
      </c>
      <c r="CS90" s="153" t="s">
        <v>202</v>
      </c>
      <c r="CT90" t="s">
        <v>203</v>
      </c>
      <c r="CU90">
        <v>2.2000000000000002</v>
      </c>
      <c r="CV90" t="s">
        <v>204</v>
      </c>
      <c r="CW90" t="s">
        <v>166</v>
      </c>
      <c r="CX90" t="s">
        <v>166</v>
      </c>
      <c r="CY90" t="s">
        <v>166</v>
      </c>
      <c r="CZ90" t="s">
        <v>166</v>
      </c>
      <c r="DA90" s="154" t="s">
        <v>166</v>
      </c>
      <c r="DB90" t="s">
        <v>166</v>
      </c>
      <c r="DC90" t="s">
        <v>166</v>
      </c>
      <c r="DD90" t="s">
        <v>166</v>
      </c>
      <c r="DE90" t="s">
        <v>166</v>
      </c>
      <c r="DF90" t="s">
        <v>205</v>
      </c>
      <c r="DG90">
        <v>35</v>
      </c>
      <c r="DH90" t="s">
        <v>201</v>
      </c>
      <c r="DI90">
        <v>1</v>
      </c>
      <c r="DJ90" t="s">
        <v>206</v>
      </c>
      <c r="DK90">
        <v>17</v>
      </c>
      <c r="DL90" t="s">
        <v>166</v>
      </c>
      <c r="DM90" t="s">
        <v>166</v>
      </c>
      <c r="DN90" t="s">
        <v>207</v>
      </c>
      <c r="DO90">
        <v>38</v>
      </c>
      <c r="DP90" t="s">
        <v>208</v>
      </c>
      <c r="DQ90">
        <v>3</v>
      </c>
      <c r="DR90" t="s">
        <v>209</v>
      </c>
      <c r="DS90" t="s">
        <v>166</v>
      </c>
      <c r="DT90" t="s">
        <v>166</v>
      </c>
      <c r="DU90" t="s">
        <v>166</v>
      </c>
      <c r="DV90" t="s">
        <v>166</v>
      </c>
      <c r="DW90">
        <v>432.6</v>
      </c>
      <c r="DX90" t="s">
        <v>166</v>
      </c>
      <c r="DY90" t="s">
        <v>166</v>
      </c>
      <c r="DZ90" t="s">
        <v>210</v>
      </c>
      <c r="EA90" t="s">
        <v>361</v>
      </c>
      <c r="EB90" t="s">
        <v>212</v>
      </c>
      <c r="EC90" t="s">
        <v>166</v>
      </c>
      <c r="ED90" t="s">
        <v>213</v>
      </c>
      <c r="EE90" s="155" t="s">
        <v>214</v>
      </c>
      <c r="EF90" s="155" t="s">
        <v>214</v>
      </c>
      <c r="EG90">
        <v>1.0271999999999999</v>
      </c>
      <c r="EH90" t="s">
        <v>215</v>
      </c>
      <c r="EI90" t="s">
        <v>215</v>
      </c>
      <c r="EJ90" t="s">
        <v>216</v>
      </c>
      <c r="EK90" t="s">
        <v>215</v>
      </c>
      <c r="EL90" t="s">
        <v>215</v>
      </c>
      <c r="EM90" t="s">
        <v>217</v>
      </c>
      <c r="EN90" s="156" t="s">
        <v>214</v>
      </c>
      <c r="EO90" s="156" t="s">
        <v>214</v>
      </c>
      <c r="EP90" s="156" t="s">
        <v>214</v>
      </c>
      <c r="EQ90" s="156" t="s">
        <v>214</v>
      </c>
      <c r="ET90" t="s">
        <v>218</v>
      </c>
      <c r="EU90" t="s">
        <v>219</v>
      </c>
      <c r="EV90" t="s">
        <v>213</v>
      </c>
      <c r="EW90" t="s">
        <v>166</v>
      </c>
      <c r="EX90" t="s">
        <v>166</v>
      </c>
      <c r="EY90" t="s">
        <v>166</v>
      </c>
      <c r="EZ90" t="s">
        <v>166</v>
      </c>
      <c r="FA90" s="157">
        <v>6.5</v>
      </c>
      <c r="FB90" t="s">
        <v>220</v>
      </c>
      <c r="FC90" s="157">
        <v>1</v>
      </c>
      <c r="FD90" s="157">
        <v>1</v>
      </c>
      <c r="FE90" s="177">
        <v>7.6003334885015201</v>
      </c>
      <c r="FF90" t="s">
        <v>221</v>
      </c>
      <c r="FG90" s="177">
        <v>3.4980585935850073E-2</v>
      </c>
      <c r="FH90" s="177">
        <v>3.8965635805349841E-2</v>
      </c>
      <c r="FI90" s="178">
        <v>1561.7783033440401</v>
      </c>
      <c r="FK90" t="s">
        <v>166</v>
      </c>
      <c r="FL90" s="144">
        <f t="shared" si="79"/>
        <v>1561.7783033440401</v>
      </c>
      <c r="FM90" s="178">
        <v>362.26209873098014</v>
      </c>
      <c r="FN90" s="178">
        <v>263.6242035534201</v>
      </c>
      <c r="FO90" t="s">
        <v>222</v>
      </c>
      <c r="FP90" t="s">
        <v>223</v>
      </c>
      <c r="FQ90" s="144" t="s">
        <v>166</v>
      </c>
      <c r="FR90" s="144" t="s">
        <v>166</v>
      </c>
      <c r="FS90" s="144" t="s">
        <v>166</v>
      </c>
      <c r="FT90" s="144" t="s">
        <v>166</v>
      </c>
      <c r="FU90" s="144" t="s">
        <v>166</v>
      </c>
      <c r="FV90" s="144" t="s">
        <v>166</v>
      </c>
      <c r="FW90" s="144" t="s">
        <v>166</v>
      </c>
      <c r="FX90" s="144" t="s">
        <v>166</v>
      </c>
      <c r="FY90" s="144" t="s">
        <v>166</v>
      </c>
      <c r="FZ90" s="144" t="s">
        <v>166</v>
      </c>
      <c r="GA90" s="144" t="s">
        <v>166</v>
      </c>
      <c r="GB90" s="144" t="s">
        <v>166</v>
      </c>
      <c r="GC90" s="158" t="s">
        <v>362</v>
      </c>
    </row>
    <row r="91" spans="1:185" ht="16">
      <c r="A91" s="140" t="s">
        <v>162</v>
      </c>
      <c r="B91" s="143" t="s">
        <v>163</v>
      </c>
      <c r="C91" s="140" t="s">
        <v>164</v>
      </c>
      <c r="D91" s="140" t="s">
        <v>165</v>
      </c>
      <c r="E91" s="140">
        <v>2020</v>
      </c>
      <c r="F91" t="s">
        <v>184</v>
      </c>
      <c r="G91" s="139">
        <v>51980</v>
      </c>
      <c r="H91" s="147">
        <f t="shared" ref="H91" si="92">0.0083*G91^(0.9482)</f>
        <v>245.82952867537867</v>
      </c>
      <c r="I91" s="147">
        <f t="shared" si="67"/>
        <v>245.82952867537867</v>
      </c>
      <c r="J91" s="144">
        <v>1011.62153068053</v>
      </c>
      <c r="K91" s="144">
        <v>207.34861449046002</v>
      </c>
      <c r="L91" s="144">
        <v>171.26260772649698</v>
      </c>
      <c r="M91" t="b">
        <v>1</v>
      </c>
      <c r="N91">
        <v>3</v>
      </c>
      <c r="O91" s="140" t="s">
        <v>185</v>
      </c>
      <c r="P91" s="140" t="s">
        <v>166</v>
      </c>
      <c r="Q91" s="140" t="s">
        <v>166</v>
      </c>
      <c r="R91" s="140" t="s">
        <v>166</v>
      </c>
      <c r="S91" s="140" t="b">
        <v>1</v>
      </c>
      <c r="T91" s="140" t="b">
        <v>0</v>
      </c>
      <c r="U91" s="140" t="s">
        <v>166</v>
      </c>
      <c r="V91" s="140" t="b">
        <v>0</v>
      </c>
      <c r="W91" s="140" t="b">
        <v>0</v>
      </c>
      <c r="X91" s="140" t="s">
        <v>580</v>
      </c>
      <c r="Y91" s="148" t="s">
        <v>186</v>
      </c>
      <c r="Z91" t="s">
        <v>184</v>
      </c>
      <c r="AA91" s="149">
        <v>1258</v>
      </c>
      <c r="AB91" s="149" t="s">
        <v>187</v>
      </c>
      <c r="AC91" s="149">
        <v>10</v>
      </c>
      <c r="AD91" s="149">
        <v>4</v>
      </c>
      <c r="AE91">
        <v>46.5</v>
      </c>
      <c r="AF91">
        <v>50</v>
      </c>
      <c r="AG91" s="150">
        <v>86.564999999999998</v>
      </c>
      <c r="AH91" s="159">
        <v>82.344999999999999</v>
      </c>
      <c r="AI91" t="s">
        <v>234</v>
      </c>
      <c r="AJ91" t="s">
        <v>188</v>
      </c>
      <c r="AK91">
        <v>9.4332999999999991</v>
      </c>
      <c r="AL91">
        <v>-54.7333</v>
      </c>
      <c r="AM91">
        <v>0.37697884440422058</v>
      </c>
      <c r="AN91" t="s">
        <v>166</v>
      </c>
      <c r="AO91">
        <v>-3192.2</v>
      </c>
      <c r="AP91">
        <v>-3200</v>
      </c>
      <c r="AQ91" t="s">
        <v>189</v>
      </c>
      <c r="AR91" t="s">
        <v>166</v>
      </c>
      <c r="AS91" s="150">
        <v>51.98</v>
      </c>
      <c r="AT91" t="s">
        <v>166</v>
      </c>
      <c r="AU91" t="s">
        <v>166</v>
      </c>
      <c r="AV91" t="s">
        <v>166</v>
      </c>
      <c r="AW91" t="s">
        <v>166</v>
      </c>
      <c r="AX91" t="s">
        <v>166</v>
      </c>
      <c r="AY91" t="s">
        <v>190</v>
      </c>
      <c r="AZ91" t="s">
        <v>166</v>
      </c>
      <c r="BA91" t="s">
        <v>166</v>
      </c>
      <c r="BB91" t="s">
        <v>166</v>
      </c>
      <c r="BC91" t="s">
        <v>166</v>
      </c>
      <c r="BD91" t="s">
        <v>166</v>
      </c>
      <c r="BE91" t="s">
        <v>166</v>
      </c>
      <c r="BF91" t="s">
        <v>166</v>
      </c>
      <c r="BG91" s="151" t="s">
        <v>242</v>
      </c>
      <c r="BH91" s="149" t="s">
        <v>192</v>
      </c>
      <c r="BI91" t="s">
        <v>166</v>
      </c>
      <c r="BJ91" s="152" t="s">
        <v>166</v>
      </c>
      <c r="BK91" t="s">
        <v>247</v>
      </c>
      <c r="BL91" t="s">
        <v>194</v>
      </c>
      <c r="BM91" t="s">
        <v>195</v>
      </c>
      <c r="BN91" t="s">
        <v>166</v>
      </c>
      <c r="BO91" t="s">
        <v>166</v>
      </c>
      <c r="BP91" t="s">
        <v>166</v>
      </c>
      <c r="BQ91" s="150">
        <v>15.006931389148438</v>
      </c>
      <c r="BR91" t="s">
        <v>196</v>
      </c>
      <c r="BS91" s="150">
        <v>0.23101017453944239</v>
      </c>
      <c r="BT91">
        <v>0.88</v>
      </c>
      <c r="BU91" t="s">
        <v>197</v>
      </c>
      <c r="BV91" t="s">
        <v>166</v>
      </c>
      <c r="BW91">
        <v>1.748</v>
      </c>
      <c r="BX91" t="s">
        <v>197</v>
      </c>
      <c r="BY91" t="s">
        <v>166</v>
      </c>
      <c r="BZ91" t="s">
        <v>377</v>
      </c>
      <c r="CA91" t="s">
        <v>360</v>
      </c>
      <c r="CB91" s="150">
        <f t="shared" si="78"/>
        <v>14.954099622450624</v>
      </c>
      <c r="CC91" t="s">
        <v>196</v>
      </c>
      <c r="CD91" s="150">
        <v>0.23101017453944239</v>
      </c>
      <c r="CE91" t="s">
        <v>199</v>
      </c>
      <c r="CF91" t="s">
        <v>166</v>
      </c>
      <c r="CG91" t="s">
        <v>200</v>
      </c>
      <c r="CH91" t="s">
        <v>166</v>
      </c>
      <c r="CI91" t="s">
        <v>166</v>
      </c>
      <c r="CJ91" s="139">
        <v>38.034991756039773</v>
      </c>
      <c r="CK91" t="s">
        <v>201</v>
      </c>
      <c r="CL91">
        <v>2</v>
      </c>
      <c r="CM91">
        <v>2</v>
      </c>
      <c r="CN91" t="s">
        <v>166</v>
      </c>
      <c r="CO91" s="139">
        <v>4.6409761027960821</v>
      </c>
      <c r="CP91" t="s">
        <v>166</v>
      </c>
      <c r="CQ91" t="s">
        <v>166</v>
      </c>
      <c r="CR91" t="s">
        <v>166</v>
      </c>
      <c r="CS91" s="153" t="s">
        <v>202</v>
      </c>
      <c r="CT91" t="s">
        <v>203</v>
      </c>
      <c r="CU91">
        <v>2.2000000000000002</v>
      </c>
      <c r="CV91" t="s">
        <v>204</v>
      </c>
      <c r="CW91" t="s">
        <v>166</v>
      </c>
      <c r="CX91" t="s">
        <v>166</v>
      </c>
      <c r="CY91" t="s">
        <v>166</v>
      </c>
      <c r="CZ91" t="s">
        <v>166</v>
      </c>
      <c r="DA91" s="154" t="s">
        <v>166</v>
      </c>
      <c r="DB91" t="s">
        <v>166</v>
      </c>
      <c r="DC91" t="s">
        <v>166</v>
      </c>
      <c r="DD91" t="s">
        <v>166</v>
      </c>
      <c r="DE91" t="s">
        <v>166</v>
      </c>
      <c r="DF91" t="s">
        <v>205</v>
      </c>
      <c r="DG91">
        <v>35</v>
      </c>
      <c r="DH91" t="s">
        <v>201</v>
      </c>
      <c r="DI91">
        <v>1</v>
      </c>
      <c r="DJ91" t="s">
        <v>206</v>
      </c>
      <c r="DK91">
        <v>17</v>
      </c>
      <c r="DL91" t="s">
        <v>166</v>
      </c>
      <c r="DM91" t="s">
        <v>166</v>
      </c>
      <c r="DN91" t="s">
        <v>207</v>
      </c>
      <c r="DO91">
        <v>38</v>
      </c>
      <c r="DP91" t="s">
        <v>208</v>
      </c>
      <c r="DQ91">
        <v>3</v>
      </c>
      <c r="DR91" t="s">
        <v>209</v>
      </c>
      <c r="DS91" t="s">
        <v>166</v>
      </c>
      <c r="DT91" t="s">
        <v>166</v>
      </c>
      <c r="DU91" t="s">
        <v>166</v>
      </c>
      <c r="DV91" t="s">
        <v>166</v>
      </c>
      <c r="DW91">
        <v>432.6</v>
      </c>
      <c r="DX91" t="s">
        <v>166</v>
      </c>
      <c r="DY91" t="s">
        <v>166</v>
      </c>
      <c r="DZ91" t="s">
        <v>210</v>
      </c>
      <c r="EA91" t="s">
        <v>361</v>
      </c>
      <c r="EB91" t="s">
        <v>212</v>
      </c>
      <c r="EC91" t="s">
        <v>166</v>
      </c>
      <c r="ED91" t="s">
        <v>213</v>
      </c>
      <c r="EE91" s="155" t="s">
        <v>214</v>
      </c>
      <c r="EF91" s="155" t="s">
        <v>214</v>
      </c>
      <c r="EG91">
        <v>1.0271999999999999</v>
      </c>
      <c r="EH91" t="s">
        <v>215</v>
      </c>
      <c r="EI91" t="s">
        <v>215</v>
      </c>
      <c r="EJ91" t="s">
        <v>216</v>
      </c>
      <c r="EK91" t="s">
        <v>215</v>
      </c>
      <c r="EL91" t="s">
        <v>215</v>
      </c>
      <c r="EM91" t="s">
        <v>217</v>
      </c>
      <c r="EN91" s="156" t="s">
        <v>214</v>
      </c>
      <c r="EO91" s="156" t="s">
        <v>214</v>
      </c>
      <c r="EP91" s="156" t="s">
        <v>214</v>
      </c>
      <c r="EQ91" s="156" t="s">
        <v>214</v>
      </c>
      <c r="ET91" t="s">
        <v>218</v>
      </c>
      <c r="EU91" t="s">
        <v>219</v>
      </c>
      <c r="EV91" t="s">
        <v>213</v>
      </c>
      <c r="EW91" t="s">
        <v>166</v>
      </c>
      <c r="EX91" t="s">
        <v>166</v>
      </c>
      <c r="EY91" t="s">
        <v>166</v>
      </c>
      <c r="EZ91" t="s">
        <v>166</v>
      </c>
      <c r="FA91" s="157">
        <v>6.5</v>
      </c>
      <c r="FB91" t="s">
        <v>220</v>
      </c>
      <c r="FC91" s="157">
        <v>1</v>
      </c>
      <c r="FD91" s="157">
        <v>1</v>
      </c>
      <c r="FE91" s="177">
        <v>7.6587399745275704</v>
      </c>
      <c r="FF91" t="s">
        <v>221</v>
      </c>
      <c r="FG91" s="177">
        <v>3.6282701771469306E-2</v>
      </c>
      <c r="FH91" s="177">
        <v>3.3003625476690779E-2</v>
      </c>
      <c r="FI91" s="178">
        <v>1169.26333885027</v>
      </c>
      <c r="FK91" t="s">
        <v>166</v>
      </c>
      <c r="FL91" s="144">
        <f t="shared" si="79"/>
        <v>1169.26333885027</v>
      </c>
      <c r="FM91" s="178">
        <v>208.76612876359991</v>
      </c>
      <c r="FN91" s="178">
        <v>199.12260189477195</v>
      </c>
      <c r="FO91" t="s">
        <v>222</v>
      </c>
      <c r="FP91" t="s">
        <v>223</v>
      </c>
      <c r="FQ91" s="144" t="s">
        <v>166</v>
      </c>
      <c r="FR91" s="144" t="s">
        <v>166</v>
      </c>
      <c r="FS91" s="144" t="s">
        <v>166</v>
      </c>
      <c r="FT91" s="144" t="s">
        <v>166</v>
      </c>
      <c r="FU91" s="144" t="s">
        <v>166</v>
      </c>
      <c r="FV91" s="144" t="s">
        <v>166</v>
      </c>
      <c r="FW91" s="144" t="s">
        <v>166</v>
      </c>
      <c r="FX91" s="144" t="s">
        <v>166</v>
      </c>
      <c r="FY91" s="144" t="s">
        <v>166</v>
      </c>
      <c r="FZ91" s="144" t="s">
        <v>166</v>
      </c>
      <c r="GA91" s="144" t="s">
        <v>166</v>
      </c>
      <c r="GB91" s="144" t="s">
        <v>166</v>
      </c>
      <c r="GC91" s="158" t="s">
        <v>362</v>
      </c>
    </row>
    <row r="92" spans="1:185" ht="16">
      <c r="A92" s="140" t="s">
        <v>162</v>
      </c>
      <c r="B92" s="143" t="s">
        <v>163</v>
      </c>
      <c r="C92" s="140" t="s">
        <v>164</v>
      </c>
      <c r="D92" s="140" t="s">
        <v>165</v>
      </c>
      <c r="E92" s="140">
        <v>2020</v>
      </c>
      <c r="F92" t="s">
        <v>184</v>
      </c>
      <c r="G92" s="139">
        <v>53628</v>
      </c>
      <c r="H92" s="147">
        <f t="shared" ref="H92" si="93">0.0083*G92^(0.9482)</f>
        <v>253.21370519008789</v>
      </c>
      <c r="I92" s="147">
        <f t="shared" si="67"/>
        <v>253.21370519008789</v>
      </c>
      <c r="J92" s="144">
        <v>1027.7586666966999</v>
      </c>
      <c r="K92" s="144">
        <v>214.70458007625007</v>
      </c>
      <c r="L92" s="144">
        <v>179.05441232748092</v>
      </c>
      <c r="M92" t="b">
        <v>1</v>
      </c>
      <c r="N92">
        <v>3</v>
      </c>
      <c r="O92" s="140" t="s">
        <v>185</v>
      </c>
      <c r="P92" s="140" t="s">
        <v>166</v>
      </c>
      <c r="Q92" s="140" t="s">
        <v>166</v>
      </c>
      <c r="R92" s="140" t="s">
        <v>166</v>
      </c>
      <c r="S92" s="140" t="b">
        <v>1</v>
      </c>
      <c r="T92" s="140" t="b">
        <v>0</v>
      </c>
      <c r="U92" s="140" t="s">
        <v>166</v>
      </c>
      <c r="V92" s="140" t="b">
        <v>0</v>
      </c>
      <c r="W92" s="140" t="b">
        <v>0</v>
      </c>
      <c r="X92" s="140" t="s">
        <v>580</v>
      </c>
      <c r="Y92" s="148" t="s">
        <v>186</v>
      </c>
      <c r="Z92" t="s">
        <v>184</v>
      </c>
      <c r="AA92" s="149">
        <v>1258</v>
      </c>
      <c r="AB92" s="149" t="s">
        <v>233</v>
      </c>
      <c r="AC92" s="149">
        <v>13</v>
      </c>
      <c r="AD92" s="149">
        <v>2</v>
      </c>
      <c r="AE92">
        <v>53.5</v>
      </c>
      <c r="AF92">
        <v>57</v>
      </c>
      <c r="AG92" s="150">
        <v>120.235</v>
      </c>
      <c r="AH92" s="159">
        <v>113.685</v>
      </c>
      <c r="AI92" t="s">
        <v>234</v>
      </c>
      <c r="AJ92" t="s">
        <v>188</v>
      </c>
      <c r="AK92" s="162">
        <v>9.4332999999999991</v>
      </c>
      <c r="AL92" s="162">
        <v>-54.7333</v>
      </c>
      <c r="AM92">
        <v>0.37697884440422058</v>
      </c>
      <c r="AN92" t="s">
        <v>166</v>
      </c>
      <c r="AO92">
        <v>-3192.2</v>
      </c>
      <c r="AP92">
        <v>-3200</v>
      </c>
      <c r="AQ92" t="s">
        <v>189</v>
      </c>
      <c r="AR92" t="s">
        <v>166</v>
      </c>
      <c r="AS92" s="150">
        <v>53.628</v>
      </c>
      <c r="AT92" t="s">
        <v>166</v>
      </c>
      <c r="AU92" t="s">
        <v>166</v>
      </c>
      <c r="AV92" t="s">
        <v>166</v>
      </c>
      <c r="AW92" t="s">
        <v>166</v>
      </c>
      <c r="AX92" t="s">
        <v>166</v>
      </c>
      <c r="AY92" t="s">
        <v>190</v>
      </c>
      <c r="AZ92" t="s">
        <v>166</v>
      </c>
      <c r="BA92" t="s">
        <v>166</v>
      </c>
      <c r="BB92" t="s">
        <v>166</v>
      </c>
      <c r="BC92" t="s">
        <v>166</v>
      </c>
      <c r="BD92" t="s">
        <v>166</v>
      </c>
      <c r="BE92" t="s">
        <v>166</v>
      </c>
      <c r="BF92" t="s">
        <v>166</v>
      </c>
      <c r="BG92" s="151" t="s">
        <v>248</v>
      </c>
      <c r="BH92" s="149" t="s">
        <v>192</v>
      </c>
      <c r="BI92" t="s">
        <v>166</v>
      </c>
      <c r="BJ92" s="152" t="s">
        <v>166</v>
      </c>
      <c r="BK92" t="s">
        <v>249</v>
      </c>
      <c r="BL92" t="s">
        <v>194</v>
      </c>
      <c r="BM92" t="s">
        <v>195</v>
      </c>
      <c r="BN92" t="s">
        <v>166</v>
      </c>
      <c r="BO92" t="s">
        <v>166</v>
      </c>
      <c r="BP92" t="s">
        <v>166</v>
      </c>
      <c r="BQ92" s="150">
        <v>14.939121111735343</v>
      </c>
      <c r="BR92" t="s">
        <v>196</v>
      </c>
      <c r="BS92" s="150">
        <v>0.25887199124426125</v>
      </c>
      <c r="BT92">
        <v>0.88</v>
      </c>
      <c r="BU92" t="s">
        <v>197</v>
      </c>
      <c r="BV92" t="s">
        <v>166</v>
      </c>
      <c r="BW92">
        <v>1.748</v>
      </c>
      <c r="BX92" t="s">
        <v>197</v>
      </c>
      <c r="BY92" t="s">
        <v>166</v>
      </c>
      <c r="BZ92" t="s">
        <v>378</v>
      </c>
      <c r="CA92" t="s">
        <v>360</v>
      </c>
      <c r="CB92" s="150">
        <f t="shared" si="78"/>
        <v>14.894426578327101</v>
      </c>
      <c r="CC92" t="s">
        <v>196</v>
      </c>
      <c r="CD92" s="150">
        <v>0.25887199124426125</v>
      </c>
      <c r="CE92" t="s">
        <v>199</v>
      </c>
      <c r="CF92" t="s">
        <v>166</v>
      </c>
      <c r="CG92" t="s">
        <v>200</v>
      </c>
      <c r="CH92" t="s">
        <v>166</v>
      </c>
      <c r="CI92" t="s">
        <v>166</v>
      </c>
      <c r="CJ92" s="139">
        <v>36.520365665295884</v>
      </c>
      <c r="CK92" t="s">
        <v>201</v>
      </c>
      <c r="CL92">
        <v>2</v>
      </c>
      <c r="CM92">
        <v>2</v>
      </c>
      <c r="CN92" t="s">
        <v>166</v>
      </c>
      <c r="CO92" s="139">
        <v>4.2612149796888144</v>
      </c>
      <c r="CP92" t="s">
        <v>166</v>
      </c>
      <c r="CQ92" t="s">
        <v>166</v>
      </c>
      <c r="CR92" t="s">
        <v>166</v>
      </c>
      <c r="CS92" s="153" t="s">
        <v>202</v>
      </c>
      <c r="CT92" t="s">
        <v>203</v>
      </c>
      <c r="CU92">
        <v>2.2000000000000002</v>
      </c>
      <c r="CV92" t="s">
        <v>204</v>
      </c>
      <c r="CW92" t="s">
        <v>166</v>
      </c>
      <c r="CX92" t="s">
        <v>166</v>
      </c>
      <c r="CY92" t="s">
        <v>166</v>
      </c>
      <c r="CZ92" t="s">
        <v>166</v>
      </c>
      <c r="DA92" s="154" t="s">
        <v>166</v>
      </c>
      <c r="DB92" t="s">
        <v>166</v>
      </c>
      <c r="DC92" t="s">
        <v>166</v>
      </c>
      <c r="DD92" t="s">
        <v>166</v>
      </c>
      <c r="DE92" t="s">
        <v>166</v>
      </c>
      <c r="DF92" t="s">
        <v>205</v>
      </c>
      <c r="DG92">
        <v>35</v>
      </c>
      <c r="DH92" t="s">
        <v>201</v>
      </c>
      <c r="DI92">
        <v>1</v>
      </c>
      <c r="DJ92" t="s">
        <v>206</v>
      </c>
      <c r="DK92">
        <v>17</v>
      </c>
      <c r="DL92" t="s">
        <v>166</v>
      </c>
      <c r="DM92" t="s">
        <v>166</v>
      </c>
      <c r="DN92" t="s">
        <v>207</v>
      </c>
      <c r="DO92">
        <v>38</v>
      </c>
      <c r="DP92" t="s">
        <v>208</v>
      </c>
      <c r="DQ92">
        <v>3</v>
      </c>
      <c r="DR92" t="s">
        <v>209</v>
      </c>
      <c r="DS92" t="s">
        <v>166</v>
      </c>
      <c r="DT92" t="s">
        <v>166</v>
      </c>
      <c r="DU92" t="s">
        <v>166</v>
      </c>
      <c r="DV92" t="s">
        <v>166</v>
      </c>
      <c r="DW92">
        <v>432.6</v>
      </c>
      <c r="DX92" t="s">
        <v>166</v>
      </c>
      <c r="DY92" t="s">
        <v>166</v>
      </c>
      <c r="DZ92" t="s">
        <v>210</v>
      </c>
      <c r="EA92" t="s">
        <v>361</v>
      </c>
      <c r="EB92" t="s">
        <v>212</v>
      </c>
      <c r="EC92" t="s">
        <v>166</v>
      </c>
      <c r="ED92" t="s">
        <v>213</v>
      </c>
      <c r="EE92" s="155" t="s">
        <v>214</v>
      </c>
      <c r="EF92" s="155" t="s">
        <v>214</v>
      </c>
      <c r="EG92">
        <v>1.0271999999999999</v>
      </c>
      <c r="EH92" t="s">
        <v>215</v>
      </c>
      <c r="EI92" t="s">
        <v>215</v>
      </c>
      <c r="EJ92" t="s">
        <v>216</v>
      </c>
      <c r="EK92" t="s">
        <v>215</v>
      </c>
      <c r="EL92" t="s">
        <v>215</v>
      </c>
      <c r="EM92" t="s">
        <v>217</v>
      </c>
      <c r="EN92" s="156" t="s">
        <v>214</v>
      </c>
      <c r="EO92" s="156" t="s">
        <v>214</v>
      </c>
      <c r="EP92" s="156" t="s">
        <v>214</v>
      </c>
      <c r="EQ92" s="156" t="s">
        <v>214</v>
      </c>
      <c r="ET92" t="s">
        <v>218</v>
      </c>
      <c r="EU92" t="s">
        <v>219</v>
      </c>
      <c r="EV92" t="s">
        <v>213</v>
      </c>
      <c r="EW92" t="s">
        <v>166</v>
      </c>
      <c r="EX92" t="s">
        <v>166</v>
      </c>
      <c r="EY92" t="s">
        <v>166</v>
      </c>
      <c r="EZ92" t="s">
        <v>166</v>
      </c>
      <c r="FA92" s="157">
        <v>6.5</v>
      </c>
      <c r="FB92" t="s">
        <v>220</v>
      </c>
      <c r="FC92" s="157">
        <v>1</v>
      </c>
      <c r="FD92" s="157">
        <v>1</v>
      </c>
      <c r="FE92" s="177">
        <v>7.66695423429187</v>
      </c>
      <c r="FF92" t="s">
        <v>221</v>
      </c>
      <c r="FG92" s="177">
        <v>3.3900585701039709E-2</v>
      </c>
      <c r="FH92" s="177">
        <v>3.6927087142549553E-2</v>
      </c>
      <c r="FI92" s="178">
        <v>1176.85051183873</v>
      </c>
      <c r="FK92" t="s">
        <v>166</v>
      </c>
      <c r="FL92" s="144">
        <f t="shared" si="79"/>
        <v>1176.85051183873</v>
      </c>
      <c r="FM92" s="178">
        <v>240.14167513754001</v>
      </c>
      <c r="FN92" s="178">
        <v>205.92889861456399</v>
      </c>
      <c r="FO92" t="s">
        <v>222</v>
      </c>
      <c r="FP92" t="s">
        <v>223</v>
      </c>
      <c r="FQ92" s="144" t="s">
        <v>166</v>
      </c>
      <c r="FR92" s="144" t="s">
        <v>166</v>
      </c>
      <c r="FS92" s="144" t="s">
        <v>166</v>
      </c>
      <c r="FT92" s="144" t="s">
        <v>166</v>
      </c>
      <c r="FU92" s="144" t="s">
        <v>166</v>
      </c>
      <c r="FV92" s="144" t="s">
        <v>166</v>
      </c>
      <c r="FW92" s="144" t="s">
        <v>166</v>
      </c>
      <c r="FX92" s="144" t="s">
        <v>166</v>
      </c>
      <c r="FY92" s="144" t="s">
        <v>166</v>
      </c>
      <c r="FZ92" s="144" t="s">
        <v>166</v>
      </c>
      <c r="GA92" s="144" t="s">
        <v>166</v>
      </c>
      <c r="GB92" s="144" t="s">
        <v>166</v>
      </c>
      <c r="GC92" s="158" t="s">
        <v>362</v>
      </c>
    </row>
    <row r="93" spans="1:185" ht="16">
      <c r="A93" s="140" t="s">
        <v>162</v>
      </c>
      <c r="B93" s="143" t="s">
        <v>163</v>
      </c>
      <c r="C93" s="140" t="s">
        <v>164</v>
      </c>
      <c r="D93" s="140" t="s">
        <v>165</v>
      </c>
      <c r="E93" s="140">
        <v>2020</v>
      </c>
      <c r="F93" t="s">
        <v>184</v>
      </c>
      <c r="G93" s="139">
        <v>54678</v>
      </c>
      <c r="H93" s="147">
        <f t="shared" ref="H93" si="94">0.0083*G93^(0.9482)</f>
        <v>257.9122791399073</v>
      </c>
      <c r="I93" s="147">
        <f t="shared" si="67"/>
        <v>257.9122791399073</v>
      </c>
      <c r="J93" s="144">
        <v>647.83244615184901</v>
      </c>
      <c r="K93" s="144">
        <v>122.70046584686202</v>
      </c>
      <c r="L93" s="144">
        <v>97.488763650404962</v>
      </c>
      <c r="M93" t="b">
        <v>1</v>
      </c>
      <c r="N93">
        <v>3</v>
      </c>
      <c r="O93" s="140" t="s">
        <v>185</v>
      </c>
      <c r="P93" s="140" t="s">
        <v>166</v>
      </c>
      <c r="Q93" s="140" t="s">
        <v>166</v>
      </c>
      <c r="R93" s="140" t="s">
        <v>166</v>
      </c>
      <c r="S93" s="140" t="b">
        <v>1</v>
      </c>
      <c r="T93" s="140" t="b">
        <v>0</v>
      </c>
      <c r="U93" s="140" t="s">
        <v>166</v>
      </c>
      <c r="V93" s="140" t="b">
        <v>0</v>
      </c>
      <c r="W93" s="140" t="b">
        <v>0</v>
      </c>
      <c r="X93" s="140" t="s">
        <v>580</v>
      </c>
      <c r="Y93" s="148" t="s">
        <v>186</v>
      </c>
      <c r="Z93" t="s">
        <v>184</v>
      </c>
      <c r="AA93" s="149">
        <v>1258</v>
      </c>
      <c r="AB93" s="149" t="s">
        <v>250</v>
      </c>
      <c r="AC93" s="149">
        <v>4</v>
      </c>
      <c r="AD93" s="149">
        <v>6</v>
      </c>
      <c r="AE93">
        <v>24</v>
      </c>
      <c r="AF93">
        <v>31.5</v>
      </c>
      <c r="AG93" s="150">
        <v>156.3775</v>
      </c>
      <c r="AH93" t="s">
        <v>166</v>
      </c>
      <c r="AI93" t="s">
        <v>166</v>
      </c>
      <c r="AJ93" t="s">
        <v>188</v>
      </c>
      <c r="AK93" s="162">
        <v>9.4332999999999991</v>
      </c>
      <c r="AL93">
        <v>-54.732799999999997</v>
      </c>
      <c r="AM93">
        <v>0.57043468952178955</v>
      </c>
      <c r="AN93" t="s">
        <v>166</v>
      </c>
      <c r="AO93">
        <v>-3192.2</v>
      </c>
      <c r="AP93">
        <v>-3200</v>
      </c>
      <c r="AQ93" t="s">
        <v>189</v>
      </c>
      <c r="AR93" t="s">
        <v>166</v>
      </c>
      <c r="AS93" s="150">
        <v>54.677999999999997</v>
      </c>
      <c r="AT93" t="s">
        <v>166</v>
      </c>
      <c r="AU93" t="s">
        <v>166</v>
      </c>
      <c r="AV93" t="s">
        <v>166</v>
      </c>
      <c r="AW93" t="s">
        <v>166</v>
      </c>
      <c r="AX93" t="s">
        <v>166</v>
      </c>
      <c r="AY93" t="s">
        <v>190</v>
      </c>
      <c r="AZ93" t="s">
        <v>166</v>
      </c>
      <c r="BA93" t="s">
        <v>166</v>
      </c>
      <c r="BB93" t="s">
        <v>166</v>
      </c>
      <c r="BC93" t="s">
        <v>166</v>
      </c>
      <c r="BD93" t="s">
        <v>166</v>
      </c>
      <c r="BE93" t="s">
        <v>166</v>
      </c>
      <c r="BF93" t="s">
        <v>166</v>
      </c>
      <c r="BG93" s="151" t="s">
        <v>248</v>
      </c>
      <c r="BH93" s="149" t="s">
        <v>192</v>
      </c>
      <c r="BI93" t="s">
        <v>166</v>
      </c>
      <c r="BJ93" s="152" t="s">
        <v>166</v>
      </c>
      <c r="BK93" t="s">
        <v>251</v>
      </c>
      <c r="BL93" t="s">
        <v>194</v>
      </c>
      <c r="BM93" t="s">
        <v>195</v>
      </c>
      <c r="BN93" t="s">
        <v>166</v>
      </c>
      <c r="BO93" t="s">
        <v>166</v>
      </c>
      <c r="BP93" t="s">
        <v>166</v>
      </c>
      <c r="BQ93" s="150">
        <v>15.622569639909711</v>
      </c>
      <c r="BR93" t="s">
        <v>196</v>
      </c>
      <c r="BS93" s="150">
        <v>0.2281519435779657</v>
      </c>
      <c r="BT93">
        <v>0.88</v>
      </c>
      <c r="BU93" t="s">
        <v>197</v>
      </c>
      <c r="BV93" t="s">
        <v>166</v>
      </c>
      <c r="BW93">
        <v>1.748</v>
      </c>
      <c r="BX93" t="s">
        <v>197</v>
      </c>
      <c r="BY93" t="s">
        <v>166</v>
      </c>
      <c r="BZ93" t="s">
        <v>379</v>
      </c>
      <c r="CA93" t="s">
        <v>360</v>
      </c>
      <c r="CB93" s="150">
        <f t="shared" si="78"/>
        <v>15.495861283120545</v>
      </c>
      <c r="CC93" t="s">
        <v>196</v>
      </c>
      <c r="CD93" s="150">
        <v>0.2281519435779657</v>
      </c>
      <c r="CE93" t="s">
        <v>199</v>
      </c>
      <c r="CF93" t="s">
        <v>166</v>
      </c>
      <c r="CG93" t="s">
        <v>200</v>
      </c>
      <c r="CH93" t="s">
        <v>166</v>
      </c>
      <c r="CI93" t="s">
        <v>166</v>
      </c>
      <c r="CJ93" s="139">
        <v>32.385830139997189</v>
      </c>
      <c r="CK93" t="s">
        <v>201</v>
      </c>
      <c r="CL93">
        <v>2</v>
      </c>
      <c r="CM93">
        <v>2</v>
      </c>
      <c r="CN93" t="s">
        <v>166</v>
      </c>
      <c r="CO93" s="139">
        <v>3.3754051641943992</v>
      </c>
      <c r="CP93" t="s">
        <v>166</v>
      </c>
      <c r="CQ93" t="s">
        <v>166</v>
      </c>
      <c r="CR93" t="s">
        <v>166</v>
      </c>
      <c r="CS93" s="153" t="s">
        <v>202</v>
      </c>
      <c r="CT93" t="s">
        <v>203</v>
      </c>
      <c r="CU93">
        <v>2.2000000000000002</v>
      </c>
      <c r="CV93" t="s">
        <v>204</v>
      </c>
      <c r="CW93" t="s">
        <v>166</v>
      </c>
      <c r="CX93" t="s">
        <v>166</v>
      </c>
      <c r="CY93" t="s">
        <v>166</v>
      </c>
      <c r="CZ93" t="s">
        <v>166</v>
      </c>
      <c r="DA93" s="154" t="s">
        <v>166</v>
      </c>
      <c r="DB93" t="s">
        <v>166</v>
      </c>
      <c r="DC93" t="s">
        <v>166</v>
      </c>
      <c r="DD93" t="s">
        <v>166</v>
      </c>
      <c r="DE93" t="s">
        <v>166</v>
      </c>
      <c r="DF93" t="s">
        <v>205</v>
      </c>
      <c r="DG93">
        <v>35</v>
      </c>
      <c r="DH93" t="s">
        <v>201</v>
      </c>
      <c r="DI93">
        <v>1</v>
      </c>
      <c r="DJ93" t="s">
        <v>206</v>
      </c>
      <c r="DK93">
        <v>17</v>
      </c>
      <c r="DL93" t="s">
        <v>166</v>
      </c>
      <c r="DM93" t="s">
        <v>166</v>
      </c>
      <c r="DN93" t="s">
        <v>207</v>
      </c>
      <c r="DO93">
        <v>38</v>
      </c>
      <c r="DP93" t="s">
        <v>208</v>
      </c>
      <c r="DQ93">
        <v>3</v>
      </c>
      <c r="DR93" t="s">
        <v>209</v>
      </c>
      <c r="DS93" t="s">
        <v>166</v>
      </c>
      <c r="DT93" t="s">
        <v>166</v>
      </c>
      <c r="DU93" t="s">
        <v>166</v>
      </c>
      <c r="DV93" t="s">
        <v>166</v>
      </c>
      <c r="DW93">
        <v>432.6</v>
      </c>
      <c r="DX93" t="s">
        <v>166</v>
      </c>
      <c r="DY93" t="s">
        <v>166</v>
      </c>
      <c r="DZ93" t="s">
        <v>210</v>
      </c>
      <c r="EA93" t="s">
        <v>361</v>
      </c>
      <c r="EB93" t="s">
        <v>212</v>
      </c>
      <c r="EC93" t="s">
        <v>166</v>
      </c>
      <c r="ED93" t="s">
        <v>213</v>
      </c>
      <c r="EE93" s="155" t="s">
        <v>214</v>
      </c>
      <c r="EF93" s="155" t="s">
        <v>214</v>
      </c>
      <c r="EG93">
        <v>1.0271999999999999</v>
      </c>
      <c r="EH93" t="s">
        <v>215</v>
      </c>
      <c r="EI93" t="s">
        <v>215</v>
      </c>
      <c r="EJ93" t="s">
        <v>216</v>
      </c>
      <c r="EK93" t="s">
        <v>215</v>
      </c>
      <c r="EL93" t="s">
        <v>215</v>
      </c>
      <c r="EM93" t="s">
        <v>217</v>
      </c>
      <c r="EN93" s="156" t="s">
        <v>214</v>
      </c>
      <c r="EO93" s="156" t="s">
        <v>214</v>
      </c>
      <c r="EP93" s="156" t="s">
        <v>214</v>
      </c>
      <c r="EQ93" s="156" t="s">
        <v>214</v>
      </c>
      <c r="ET93" t="s">
        <v>218</v>
      </c>
      <c r="EU93" t="s">
        <v>219</v>
      </c>
      <c r="EV93" t="s">
        <v>213</v>
      </c>
      <c r="EW93" t="s">
        <v>166</v>
      </c>
      <c r="EX93" t="s">
        <v>166</v>
      </c>
      <c r="EY93" t="s">
        <v>166</v>
      </c>
      <c r="EZ93" t="s">
        <v>166</v>
      </c>
      <c r="FA93" s="157">
        <v>6.5</v>
      </c>
      <c r="FB93" t="s">
        <v>220</v>
      </c>
      <c r="FC93" s="157">
        <v>1</v>
      </c>
      <c r="FD93" s="157">
        <v>1</v>
      </c>
      <c r="FE93" s="177">
        <v>7.8089381758032603</v>
      </c>
      <c r="FF93" t="s">
        <v>221</v>
      </c>
      <c r="FG93" s="177">
        <v>2.9543057238629267E-2</v>
      </c>
      <c r="FH93" s="177">
        <v>3.2259746915860532E-2</v>
      </c>
      <c r="FI93" s="178">
        <v>702.79206061641605</v>
      </c>
      <c r="FK93" t="s">
        <v>166</v>
      </c>
      <c r="FL93" s="144">
        <f t="shared" si="79"/>
        <v>702.79206061641605</v>
      </c>
      <c r="FM93" s="178">
        <v>132.49289036996788</v>
      </c>
      <c r="FN93" s="178">
        <v>112.0819524988151</v>
      </c>
      <c r="FO93" t="s">
        <v>222</v>
      </c>
      <c r="FP93" t="s">
        <v>223</v>
      </c>
      <c r="FQ93" s="144" t="s">
        <v>166</v>
      </c>
      <c r="FR93" s="144" t="s">
        <v>166</v>
      </c>
      <c r="FS93" s="144" t="s">
        <v>166</v>
      </c>
      <c r="FT93" s="144" t="s">
        <v>166</v>
      </c>
      <c r="FU93" s="144" t="s">
        <v>166</v>
      </c>
      <c r="FV93" s="144" t="s">
        <v>166</v>
      </c>
      <c r="FW93" s="144" t="s">
        <v>166</v>
      </c>
      <c r="FX93" s="144" t="s">
        <v>166</v>
      </c>
      <c r="FY93" s="144" t="s">
        <v>166</v>
      </c>
      <c r="FZ93" s="144" t="s">
        <v>166</v>
      </c>
      <c r="GA93" s="144" t="s">
        <v>166</v>
      </c>
      <c r="GB93" s="144" t="s">
        <v>166</v>
      </c>
      <c r="GC93" s="158" t="s">
        <v>362</v>
      </c>
    </row>
    <row r="94" spans="1:185" ht="16">
      <c r="A94" s="140" t="s">
        <v>162</v>
      </c>
      <c r="B94" s="143" t="s">
        <v>163</v>
      </c>
      <c r="C94" s="140" t="s">
        <v>164</v>
      </c>
      <c r="D94" s="140" t="s">
        <v>165</v>
      </c>
      <c r="E94" s="140">
        <v>2020</v>
      </c>
      <c r="F94" t="s">
        <v>184</v>
      </c>
      <c r="G94" s="139">
        <v>55541</v>
      </c>
      <c r="H94" s="147">
        <f t="shared" ref="H94" si="95">0.0083*G94^(0.9482)</f>
        <v>261.77055743366628</v>
      </c>
      <c r="I94" s="147">
        <f t="shared" si="67"/>
        <v>261.77055743366628</v>
      </c>
      <c r="J94" s="144">
        <v>796.67056478419204</v>
      </c>
      <c r="K94" s="144">
        <v>163.03534970835699</v>
      </c>
      <c r="L94" s="144">
        <v>127.04337742777102</v>
      </c>
      <c r="M94" t="b">
        <v>1</v>
      </c>
      <c r="N94">
        <v>3</v>
      </c>
      <c r="O94" s="140" t="s">
        <v>185</v>
      </c>
      <c r="P94" s="140" t="s">
        <v>166</v>
      </c>
      <c r="Q94" s="140" t="s">
        <v>166</v>
      </c>
      <c r="R94" s="140" t="s">
        <v>166</v>
      </c>
      <c r="S94" s="140" t="b">
        <v>1</v>
      </c>
      <c r="T94" s="140" t="b">
        <v>0</v>
      </c>
      <c r="U94" s="140" t="s">
        <v>166</v>
      </c>
      <c r="V94" s="140" t="b">
        <v>0</v>
      </c>
      <c r="W94" s="140" t="b">
        <v>0</v>
      </c>
      <c r="X94" s="140" t="s">
        <v>580</v>
      </c>
      <c r="Y94" s="148" t="s">
        <v>186</v>
      </c>
      <c r="Z94" t="s">
        <v>184</v>
      </c>
      <c r="AA94" s="149">
        <v>1258</v>
      </c>
      <c r="AB94" s="149" t="s">
        <v>187</v>
      </c>
      <c r="AC94" s="149">
        <v>18</v>
      </c>
      <c r="AD94" s="149">
        <v>2</v>
      </c>
      <c r="AE94">
        <v>28</v>
      </c>
      <c r="AF94">
        <v>39.5</v>
      </c>
      <c r="AG94" s="150">
        <v>160.53749999999999</v>
      </c>
      <c r="AH94" t="s">
        <v>166</v>
      </c>
      <c r="AI94" t="s">
        <v>166</v>
      </c>
      <c r="AJ94" t="s">
        <v>188</v>
      </c>
      <c r="AK94">
        <v>9.4332999999999991</v>
      </c>
      <c r="AL94">
        <v>-54.7333</v>
      </c>
      <c r="AM94">
        <v>0.69369280338287354</v>
      </c>
      <c r="AN94" t="s">
        <v>166</v>
      </c>
      <c r="AO94">
        <v>-3192.2</v>
      </c>
      <c r="AP94">
        <v>-3200</v>
      </c>
      <c r="AQ94" t="s">
        <v>189</v>
      </c>
      <c r="AR94" t="s">
        <v>166</v>
      </c>
      <c r="AS94" s="150">
        <v>55.540999999999997</v>
      </c>
      <c r="AT94" t="s">
        <v>166</v>
      </c>
      <c r="AU94" t="s">
        <v>166</v>
      </c>
      <c r="AV94" t="s">
        <v>166</v>
      </c>
      <c r="AW94" t="s">
        <v>166</v>
      </c>
      <c r="AX94" t="s">
        <v>166</v>
      </c>
      <c r="AY94" t="s">
        <v>190</v>
      </c>
      <c r="AZ94" t="s">
        <v>166</v>
      </c>
      <c r="BA94" t="s">
        <v>166</v>
      </c>
      <c r="BB94" t="s">
        <v>166</v>
      </c>
      <c r="BC94" t="s">
        <v>166</v>
      </c>
      <c r="BD94" t="s">
        <v>166</v>
      </c>
      <c r="BE94" t="s">
        <v>166</v>
      </c>
      <c r="BF94" t="s">
        <v>166</v>
      </c>
      <c r="BG94" s="151" t="s">
        <v>248</v>
      </c>
      <c r="BH94" s="149" t="s">
        <v>192</v>
      </c>
      <c r="BI94" t="s">
        <v>166</v>
      </c>
      <c r="BJ94" s="152" t="s">
        <v>166</v>
      </c>
      <c r="BK94" t="s">
        <v>252</v>
      </c>
      <c r="BL94" t="s">
        <v>194</v>
      </c>
      <c r="BM94" t="s">
        <v>195</v>
      </c>
      <c r="BN94" t="s">
        <v>166</v>
      </c>
      <c r="BO94" t="s">
        <v>166</v>
      </c>
      <c r="BP94" t="s">
        <v>166</v>
      </c>
      <c r="BQ94" s="150">
        <v>15.286788954520292</v>
      </c>
      <c r="BR94" t="s">
        <v>196</v>
      </c>
      <c r="BS94" s="150">
        <v>0.22056540906947375</v>
      </c>
      <c r="BT94">
        <v>0.88</v>
      </c>
      <c r="BU94" t="s">
        <v>197</v>
      </c>
      <c r="BV94" t="s">
        <v>166</v>
      </c>
      <c r="BW94">
        <v>1.748</v>
      </c>
      <c r="BX94" t="s">
        <v>197</v>
      </c>
      <c r="BY94" t="s">
        <v>166</v>
      </c>
      <c r="BZ94" t="s">
        <v>380</v>
      </c>
      <c r="CA94" t="s">
        <v>360</v>
      </c>
      <c r="CB94" s="150">
        <f t="shared" si="78"/>
        <v>15.200374279977856</v>
      </c>
      <c r="CC94" t="s">
        <v>196</v>
      </c>
      <c r="CD94" s="150">
        <v>0.22056540906947375</v>
      </c>
      <c r="CE94" t="s">
        <v>199</v>
      </c>
      <c r="CF94" t="s">
        <v>166</v>
      </c>
      <c r="CG94" t="s">
        <v>200</v>
      </c>
      <c r="CH94" t="s">
        <v>166</v>
      </c>
      <c r="CI94" t="s">
        <v>166</v>
      </c>
      <c r="CJ94" s="139">
        <v>34.088115409616272</v>
      </c>
      <c r="CK94" t="s">
        <v>201</v>
      </c>
      <c r="CL94">
        <v>2</v>
      </c>
      <c r="CM94">
        <v>2</v>
      </c>
      <c r="CN94" t="s">
        <v>166</v>
      </c>
      <c r="CO94" s="139">
        <v>3.7153131674021016</v>
      </c>
      <c r="CP94" t="s">
        <v>166</v>
      </c>
      <c r="CQ94" t="s">
        <v>166</v>
      </c>
      <c r="CR94" t="s">
        <v>166</v>
      </c>
      <c r="CS94" s="153" t="s">
        <v>202</v>
      </c>
      <c r="CT94" t="s">
        <v>203</v>
      </c>
      <c r="CU94">
        <v>2.2000000000000002</v>
      </c>
      <c r="CV94" t="s">
        <v>204</v>
      </c>
      <c r="CW94" t="s">
        <v>166</v>
      </c>
      <c r="CX94" t="s">
        <v>166</v>
      </c>
      <c r="CY94" t="s">
        <v>166</v>
      </c>
      <c r="CZ94" t="s">
        <v>166</v>
      </c>
      <c r="DA94" s="154" t="s">
        <v>166</v>
      </c>
      <c r="DB94" t="s">
        <v>166</v>
      </c>
      <c r="DC94" t="s">
        <v>166</v>
      </c>
      <c r="DD94" t="s">
        <v>166</v>
      </c>
      <c r="DE94" t="s">
        <v>166</v>
      </c>
      <c r="DF94" t="s">
        <v>205</v>
      </c>
      <c r="DG94">
        <v>35</v>
      </c>
      <c r="DH94" t="s">
        <v>201</v>
      </c>
      <c r="DI94">
        <v>1</v>
      </c>
      <c r="DJ94" t="s">
        <v>206</v>
      </c>
      <c r="DK94">
        <v>17</v>
      </c>
      <c r="DL94" t="s">
        <v>166</v>
      </c>
      <c r="DM94" t="s">
        <v>166</v>
      </c>
      <c r="DN94" t="s">
        <v>207</v>
      </c>
      <c r="DO94">
        <v>38</v>
      </c>
      <c r="DP94" t="s">
        <v>208</v>
      </c>
      <c r="DQ94">
        <v>3</v>
      </c>
      <c r="DR94" t="s">
        <v>209</v>
      </c>
      <c r="DS94" t="s">
        <v>166</v>
      </c>
      <c r="DT94" t="s">
        <v>166</v>
      </c>
      <c r="DU94" t="s">
        <v>166</v>
      </c>
      <c r="DV94" t="s">
        <v>166</v>
      </c>
      <c r="DW94">
        <v>432.6</v>
      </c>
      <c r="DX94" t="s">
        <v>166</v>
      </c>
      <c r="DY94" t="s">
        <v>166</v>
      </c>
      <c r="DZ94" t="s">
        <v>210</v>
      </c>
      <c r="EA94" t="s">
        <v>361</v>
      </c>
      <c r="EB94" t="s">
        <v>212</v>
      </c>
      <c r="EC94" t="s">
        <v>166</v>
      </c>
      <c r="ED94" t="s">
        <v>213</v>
      </c>
      <c r="EE94" s="155" t="s">
        <v>214</v>
      </c>
      <c r="EF94" s="155" t="s">
        <v>214</v>
      </c>
      <c r="EG94">
        <v>1.0271999999999999</v>
      </c>
      <c r="EH94" t="s">
        <v>215</v>
      </c>
      <c r="EI94" t="s">
        <v>215</v>
      </c>
      <c r="EJ94" t="s">
        <v>216</v>
      </c>
      <c r="EK94" t="s">
        <v>215</v>
      </c>
      <c r="EL94" t="s">
        <v>215</v>
      </c>
      <c r="EM94" t="s">
        <v>217</v>
      </c>
      <c r="EN94" s="156" t="s">
        <v>214</v>
      </c>
      <c r="EO94" s="156" t="s">
        <v>214</v>
      </c>
      <c r="EP94" s="156" t="s">
        <v>214</v>
      </c>
      <c r="EQ94" s="156" t="s">
        <v>214</v>
      </c>
      <c r="ET94" t="s">
        <v>218</v>
      </c>
      <c r="EU94" t="s">
        <v>219</v>
      </c>
      <c r="EV94" t="s">
        <v>213</v>
      </c>
      <c r="EW94" t="s">
        <v>166</v>
      </c>
      <c r="EX94" t="s">
        <v>166</v>
      </c>
      <c r="EY94" t="s">
        <v>166</v>
      </c>
      <c r="EZ94" t="s">
        <v>166</v>
      </c>
      <c r="FA94" s="157">
        <v>6.5</v>
      </c>
      <c r="FB94" t="s">
        <v>220</v>
      </c>
      <c r="FC94" s="157">
        <v>1</v>
      </c>
      <c r="FD94" s="157">
        <v>1</v>
      </c>
      <c r="FE94" s="177">
        <v>7.7439503409824404</v>
      </c>
      <c r="FF94" t="s">
        <v>221</v>
      </c>
      <c r="FG94" s="177">
        <v>3.1772841531289231E-2</v>
      </c>
      <c r="FH94" s="177">
        <v>3.0050164371860255E-2</v>
      </c>
      <c r="FI94" s="178">
        <v>897.63001732060206</v>
      </c>
      <c r="FK94" t="s">
        <v>166</v>
      </c>
      <c r="FL94" s="144">
        <f t="shared" si="79"/>
        <v>897.63001732060206</v>
      </c>
      <c r="FM94" s="178">
        <v>159.60344863563796</v>
      </c>
      <c r="FN94" s="178">
        <v>141.85621211156104</v>
      </c>
      <c r="FO94" t="s">
        <v>222</v>
      </c>
      <c r="FP94" t="s">
        <v>223</v>
      </c>
      <c r="FQ94" s="144" t="s">
        <v>166</v>
      </c>
      <c r="FR94" s="144" t="s">
        <v>166</v>
      </c>
      <c r="FS94" s="144" t="s">
        <v>166</v>
      </c>
      <c r="FT94" s="144" t="s">
        <v>166</v>
      </c>
      <c r="FU94" s="144" t="s">
        <v>166</v>
      </c>
      <c r="FV94" s="144" t="s">
        <v>166</v>
      </c>
      <c r="FW94" s="144" t="s">
        <v>166</v>
      </c>
      <c r="FX94" s="144" t="s">
        <v>166</v>
      </c>
      <c r="FY94" s="144" t="s">
        <v>166</v>
      </c>
      <c r="FZ94" s="144" t="s">
        <v>166</v>
      </c>
      <c r="GA94" s="144" t="s">
        <v>166</v>
      </c>
      <c r="GB94" s="144" t="s">
        <v>166</v>
      </c>
      <c r="GC94" s="158" t="s">
        <v>362</v>
      </c>
    </row>
    <row r="95" spans="1:185" ht="16">
      <c r="A95" s="140" t="s">
        <v>162</v>
      </c>
      <c r="B95" s="143" t="s">
        <v>163</v>
      </c>
      <c r="C95" s="140" t="s">
        <v>164</v>
      </c>
      <c r="D95" s="140" t="s">
        <v>165</v>
      </c>
      <c r="E95" s="140">
        <v>2020</v>
      </c>
      <c r="F95" t="s">
        <v>184</v>
      </c>
      <c r="G95" s="139">
        <v>35607.546149164918</v>
      </c>
      <c r="H95" s="147">
        <f t="shared" ref="H95" si="96">0.0083*G95^(0.9482)</f>
        <v>171.73161740963536</v>
      </c>
      <c r="I95" s="147">
        <f t="shared" si="67"/>
        <v>171.73161740963536</v>
      </c>
      <c r="J95" s="144">
        <v>910.30280328803701</v>
      </c>
      <c r="K95" s="144">
        <v>180.67093475319302</v>
      </c>
      <c r="L95" s="144">
        <v>160.45747400424898</v>
      </c>
      <c r="M95" t="b">
        <v>1</v>
      </c>
      <c r="N95">
        <v>3</v>
      </c>
      <c r="O95" s="140" t="s">
        <v>185</v>
      </c>
      <c r="P95" s="140" t="s">
        <v>166</v>
      </c>
      <c r="Q95" s="140" t="s">
        <v>166</v>
      </c>
      <c r="R95" s="140" t="s">
        <v>166</v>
      </c>
      <c r="S95" s="140" t="b">
        <v>1</v>
      </c>
      <c r="T95" s="140" t="b">
        <v>0</v>
      </c>
      <c r="U95" s="140" t="s">
        <v>166</v>
      </c>
      <c r="V95" s="140" t="b">
        <v>0</v>
      </c>
      <c r="W95" s="140" t="b">
        <v>0</v>
      </c>
      <c r="X95" s="140" t="s">
        <v>580</v>
      </c>
      <c r="Y95" s="148" t="s">
        <v>186</v>
      </c>
      <c r="Z95" t="s">
        <v>184</v>
      </c>
      <c r="AA95" s="149">
        <v>865</v>
      </c>
      <c r="AB95" s="149" t="s">
        <v>233</v>
      </c>
      <c r="AC95" s="149">
        <v>3</v>
      </c>
      <c r="AD95" s="149">
        <v>1</v>
      </c>
      <c r="AE95">
        <v>0</v>
      </c>
      <c r="AF95">
        <v>14</v>
      </c>
      <c r="AG95" s="150">
        <v>18</v>
      </c>
      <c r="AH95" t="s">
        <v>166</v>
      </c>
      <c r="AI95" t="s">
        <v>166</v>
      </c>
      <c r="AJ95" t="s">
        <v>253</v>
      </c>
      <c r="AK95">
        <v>18.440300000000001</v>
      </c>
      <c r="AL95">
        <v>-179.5558</v>
      </c>
      <c r="AM95" s="163">
        <v>0.79499882459640503</v>
      </c>
      <c r="AN95" t="s">
        <v>166</v>
      </c>
      <c r="AO95">
        <v>-1530</v>
      </c>
      <c r="AP95">
        <v>-1400</v>
      </c>
      <c r="AQ95" t="s">
        <v>254</v>
      </c>
      <c r="AR95" t="s">
        <v>166</v>
      </c>
      <c r="AS95" s="150">
        <v>35.607546149164918</v>
      </c>
      <c r="AT95" t="s">
        <v>166</v>
      </c>
      <c r="AU95" t="s">
        <v>166</v>
      </c>
      <c r="AV95" t="s">
        <v>166</v>
      </c>
      <c r="AW95" t="s">
        <v>255</v>
      </c>
      <c r="AX95" t="s">
        <v>256</v>
      </c>
      <c r="AY95" t="s">
        <v>166</v>
      </c>
      <c r="AZ95" t="s">
        <v>166</v>
      </c>
      <c r="BA95" t="s">
        <v>166</v>
      </c>
      <c r="BB95" t="s">
        <v>166</v>
      </c>
      <c r="BC95" t="s">
        <v>166</v>
      </c>
      <c r="BD95" t="s">
        <v>166</v>
      </c>
      <c r="BE95" t="s">
        <v>166</v>
      </c>
      <c r="BF95" t="s">
        <v>166</v>
      </c>
      <c r="BG95" s="151" t="s">
        <v>257</v>
      </c>
      <c r="BH95" s="149" t="s">
        <v>192</v>
      </c>
      <c r="BI95" t="s">
        <v>166</v>
      </c>
      <c r="BJ95" s="152" t="s">
        <v>166</v>
      </c>
      <c r="BK95" t="s">
        <v>258</v>
      </c>
      <c r="BL95" t="s">
        <v>194</v>
      </c>
      <c r="BM95" t="s">
        <v>195</v>
      </c>
      <c r="BN95" t="s">
        <v>166</v>
      </c>
      <c r="BO95" t="s">
        <v>166</v>
      </c>
      <c r="BP95" t="s">
        <v>166</v>
      </c>
      <c r="BQ95" s="150">
        <v>15.044679592014312</v>
      </c>
      <c r="BR95" t="s">
        <v>196</v>
      </c>
      <c r="BS95" s="150">
        <v>0.22298735060157576</v>
      </c>
      <c r="BT95">
        <v>0.88</v>
      </c>
      <c r="BU95" t="s">
        <v>197</v>
      </c>
      <c r="BV95" t="s">
        <v>166</v>
      </c>
      <c r="BW95">
        <v>1.748</v>
      </c>
      <c r="BX95" t="s">
        <v>197</v>
      </c>
      <c r="BY95" t="s">
        <v>166</v>
      </c>
      <c r="BZ95" t="s">
        <v>381</v>
      </c>
      <c r="CA95" t="s">
        <v>360</v>
      </c>
      <c r="CB95" s="150">
        <f t="shared" si="78"/>
        <v>14.987318040972594</v>
      </c>
      <c r="CC95" t="s">
        <v>196</v>
      </c>
      <c r="CD95" s="150">
        <v>0.22298735060157576</v>
      </c>
      <c r="CE95" t="s">
        <v>259</v>
      </c>
      <c r="CF95" t="s">
        <v>260</v>
      </c>
      <c r="CG95" t="s">
        <v>200</v>
      </c>
      <c r="CH95" t="s">
        <v>166</v>
      </c>
      <c r="CI95" t="s">
        <v>166</v>
      </c>
      <c r="CJ95" s="139">
        <v>33.599803334065449</v>
      </c>
      <c r="CK95" t="s">
        <v>201</v>
      </c>
      <c r="CL95">
        <v>2</v>
      </c>
      <c r="CM95">
        <v>2</v>
      </c>
      <c r="CN95" t="s">
        <v>166</v>
      </c>
      <c r="CO95" s="139">
        <v>3.6144501832139335</v>
      </c>
      <c r="CP95" t="s">
        <v>166</v>
      </c>
      <c r="CQ95" t="s">
        <v>166</v>
      </c>
      <c r="CR95" t="s">
        <v>166</v>
      </c>
      <c r="CS95" s="153" t="s">
        <v>202</v>
      </c>
      <c r="CT95" t="s">
        <v>203</v>
      </c>
      <c r="CU95">
        <v>2.2000000000000002</v>
      </c>
      <c r="CV95" t="s">
        <v>204</v>
      </c>
      <c r="CW95" t="s">
        <v>166</v>
      </c>
      <c r="CX95" t="s">
        <v>166</v>
      </c>
      <c r="CY95" t="s">
        <v>166</v>
      </c>
      <c r="CZ95" t="s">
        <v>166</v>
      </c>
      <c r="DA95" s="154" t="s">
        <v>166</v>
      </c>
      <c r="DB95" t="s">
        <v>166</v>
      </c>
      <c r="DC95" t="s">
        <v>166</v>
      </c>
      <c r="DD95" t="s">
        <v>166</v>
      </c>
      <c r="DE95" t="s">
        <v>166</v>
      </c>
      <c r="DF95" t="s">
        <v>205</v>
      </c>
      <c r="DG95">
        <v>35</v>
      </c>
      <c r="DH95" t="s">
        <v>201</v>
      </c>
      <c r="DI95">
        <v>1</v>
      </c>
      <c r="DJ95" t="s">
        <v>206</v>
      </c>
      <c r="DK95">
        <v>17</v>
      </c>
      <c r="DL95" t="s">
        <v>166</v>
      </c>
      <c r="DM95" t="s">
        <v>166</v>
      </c>
      <c r="DN95" t="s">
        <v>207</v>
      </c>
      <c r="DO95">
        <v>38</v>
      </c>
      <c r="DP95" t="s">
        <v>208</v>
      </c>
      <c r="DQ95">
        <v>3</v>
      </c>
      <c r="DR95" t="s">
        <v>209</v>
      </c>
      <c r="DS95" t="s">
        <v>166</v>
      </c>
      <c r="DT95" t="s">
        <v>166</v>
      </c>
      <c r="DU95" t="s">
        <v>166</v>
      </c>
      <c r="DV95" t="s">
        <v>166</v>
      </c>
      <c r="DW95">
        <v>432.6</v>
      </c>
      <c r="DX95" t="s">
        <v>166</v>
      </c>
      <c r="DY95" t="s">
        <v>166</v>
      </c>
      <c r="DZ95" t="s">
        <v>210</v>
      </c>
      <c r="EA95" t="s">
        <v>361</v>
      </c>
      <c r="EB95" t="s">
        <v>212</v>
      </c>
      <c r="EC95" t="s">
        <v>166</v>
      </c>
      <c r="ED95" t="s">
        <v>213</v>
      </c>
      <c r="EE95" s="155" t="s">
        <v>214</v>
      </c>
      <c r="EF95" s="155" t="s">
        <v>214</v>
      </c>
      <c r="EG95">
        <v>1.0271999999999999</v>
      </c>
      <c r="EH95" t="s">
        <v>215</v>
      </c>
      <c r="EI95" t="s">
        <v>215</v>
      </c>
      <c r="EJ95" t="s">
        <v>216</v>
      </c>
      <c r="EK95" t="s">
        <v>215</v>
      </c>
      <c r="EL95" t="s">
        <v>215</v>
      </c>
      <c r="EM95" t="s">
        <v>217</v>
      </c>
      <c r="EN95" s="156" t="s">
        <v>214</v>
      </c>
      <c r="EO95" s="156" t="s">
        <v>214</v>
      </c>
      <c r="EP95" s="156" t="s">
        <v>214</v>
      </c>
      <c r="EQ95" s="156" t="s">
        <v>214</v>
      </c>
      <c r="ET95" t="s">
        <v>218</v>
      </c>
      <c r="EU95" t="s">
        <v>219</v>
      </c>
      <c r="EV95" t="s">
        <v>213</v>
      </c>
      <c r="EW95" t="s">
        <v>166</v>
      </c>
      <c r="EX95" t="s">
        <v>166</v>
      </c>
      <c r="EY95" t="s">
        <v>166</v>
      </c>
      <c r="EZ95" t="s">
        <v>166</v>
      </c>
      <c r="FA95" s="157">
        <v>6.5</v>
      </c>
      <c r="FB95" t="s">
        <v>220</v>
      </c>
      <c r="FC95" s="157">
        <v>1</v>
      </c>
      <c r="FD95" s="157">
        <v>1</v>
      </c>
      <c r="FE95" s="177">
        <v>7.7163050021036801</v>
      </c>
      <c r="FF95" t="s">
        <v>221</v>
      </c>
      <c r="FG95" s="177">
        <v>3.0661468291439675E-2</v>
      </c>
      <c r="FH95" s="177">
        <v>3.2138114070660251E-2</v>
      </c>
      <c r="FI95" s="178">
        <v>1041.1249563389601</v>
      </c>
      <c r="FK95" t="s">
        <v>166</v>
      </c>
      <c r="FL95" s="144">
        <f t="shared" si="79"/>
        <v>1041.1249563389601</v>
      </c>
      <c r="FM95" s="178">
        <v>189.95525903959992</v>
      </c>
      <c r="FN95" s="178">
        <v>158.46708450209121</v>
      </c>
      <c r="FO95" t="s">
        <v>222</v>
      </c>
      <c r="FP95" t="s">
        <v>223</v>
      </c>
      <c r="FQ95" s="144" t="s">
        <v>166</v>
      </c>
      <c r="FR95" s="144" t="s">
        <v>166</v>
      </c>
      <c r="FS95" s="144" t="s">
        <v>166</v>
      </c>
      <c r="FT95" s="144" t="s">
        <v>166</v>
      </c>
      <c r="FU95" s="144" t="s">
        <v>166</v>
      </c>
      <c r="FV95" s="144" t="s">
        <v>166</v>
      </c>
      <c r="FW95" s="144" t="s">
        <v>166</v>
      </c>
      <c r="FX95" s="144" t="s">
        <v>166</v>
      </c>
      <c r="FY95" s="144" t="s">
        <v>166</v>
      </c>
      <c r="FZ95" s="144" t="s">
        <v>166</v>
      </c>
      <c r="GA95" s="144" t="s">
        <v>166</v>
      </c>
      <c r="GB95" s="144" t="s">
        <v>166</v>
      </c>
      <c r="GC95" s="158" t="s">
        <v>382</v>
      </c>
    </row>
    <row r="96" spans="1:185" ht="16">
      <c r="A96" s="140" t="s">
        <v>162</v>
      </c>
      <c r="B96" s="143" t="s">
        <v>163</v>
      </c>
      <c r="C96" s="140" t="s">
        <v>164</v>
      </c>
      <c r="D96" s="140" t="s">
        <v>165</v>
      </c>
      <c r="E96" s="140">
        <v>2020</v>
      </c>
      <c r="F96" t="s">
        <v>184</v>
      </c>
      <c r="G96" s="139">
        <v>36396.420763179842</v>
      </c>
      <c r="H96" s="147">
        <f t="shared" ref="H96" si="97">0.0083*G96^(0.9482)</f>
        <v>175.33714471131941</v>
      </c>
      <c r="I96" s="147">
        <f t="shared" si="67"/>
        <v>175.33714471131941</v>
      </c>
      <c r="J96" s="144">
        <v>871.97461896363495</v>
      </c>
      <c r="K96" s="144">
        <v>199.34882259868516</v>
      </c>
      <c r="L96" s="144">
        <v>157.48284668911992</v>
      </c>
      <c r="M96" t="b">
        <v>1</v>
      </c>
      <c r="N96">
        <v>3</v>
      </c>
      <c r="O96" s="140" t="s">
        <v>185</v>
      </c>
      <c r="P96" s="140" t="s">
        <v>166</v>
      </c>
      <c r="Q96" s="140" t="s">
        <v>166</v>
      </c>
      <c r="R96" s="140" t="s">
        <v>166</v>
      </c>
      <c r="S96" s="140" t="b">
        <v>1</v>
      </c>
      <c r="T96" s="140" t="b">
        <v>0</v>
      </c>
      <c r="U96" s="140" t="s">
        <v>166</v>
      </c>
      <c r="V96" s="140" t="b">
        <v>0</v>
      </c>
      <c r="W96" s="140" t="b">
        <v>0</v>
      </c>
      <c r="X96" s="140" t="s">
        <v>580</v>
      </c>
      <c r="Y96" s="148" t="s">
        <v>186</v>
      </c>
      <c r="Z96" t="s">
        <v>184</v>
      </c>
      <c r="AA96" s="149">
        <v>865</v>
      </c>
      <c r="AB96" s="149" t="s">
        <v>233</v>
      </c>
      <c r="AC96" s="149">
        <v>3</v>
      </c>
      <c r="AD96" s="149">
        <v>3</v>
      </c>
      <c r="AE96" t="s">
        <v>166</v>
      </c>
      <c r="AF96" t="s">
        <v>166</v>
      </c>
      <c r="AG96" s="150">
        <v>21.5</v>
      </c>
      <c r="AH96" t="s">
        <v>166</v>
      </c>
      <c r="AI96" t="s">
        <v>166</v>
      </c>
      <c r="AJ96" t="s">
        <v>253</v>
      </c>
      <c r="AK96">
        <v>18.440300000000001</v>
      </c>
      <c r="AL96">
        <v>-179.5558</v>
      </c>
      <c r="AM96" s="163">
        <v>12.092122077941895</v>
      </c>
      <c r="AN96" t="s">
        <v>166</v>
      </c>
      <c r="AO96">
        <v>-1530</v>
      </c>
      <c r="AP96">
        <v>-1400</v>
      </c>
      <c r="AQ96" t="s">
        <v>254</v>
      </c>
      <c r="AR96" t="s">
        <v>166</v>
      </c>
      <c r="AS96" s="150">
        <v>36.39642076317984</v>
      </c>
      <c r="AT96" t="s">
        <v>166</v>
      </c>
      <c r="AU96" t="s">
        <v>166</v>
      </c>
      <c r="AV96" t="s">
        <v>166</v>
      </c>
      <c r="AW96" t="s">
        <v>255</v>
      </c>
      <c r="AX96" t="s">
        <v>256</v>
      </c>
      <c r="AY96" t="s">
        <v>166</v>
      </c>
      <c r="AZ96" t="s">
        <v>166</v>
      </c>
      <c r="BA96" t="s">
        <v>166</v>
      </c>
      <c r="BB96" t="s">
        <v>166</v>
      </c>
      <c r="BC96" t="s">
        <v>166</v>
      </c>
      <c r="BD96" t="s">
        <v>166</v>
      </c>
      <c r="BE96" t="s">
        <v>166</v>
      </c>
      <c r="BF96" t="s">
        <v>166</v>
      </c>
      <c r="BG96" s="151" t="s">
        <v>257</v>
      </c>
      <c r="BH96" s="149" t="s">
        <v>192</v>
      </c>
      <c r="BI96" t="s">
        <v>166</v>
      </c>
      <c r="BJ96" s="152" t="s">
        <v>166</v>
      </c>
      <c r="BK96" t="s">
        <v>262</v>
      </c>
      <c r="BL96" t="s">
        <v>194</v>
      </c>
      <c r="BM96" t="s">
        <v>195</v>
      </c>
      <c r="BN96" t="s">
        <v>166</v>
      </c>
      <c r="BO96" t="s">
        <v>166</v>
      </c>
      <c r="BP96" t="s">
        <v>166</v>
      </c>
      <c r="BQ96" s="150">
        <v>15.067111292056882</v>
      </c>
      <c r="BR96" t="s">
        <v>196</v>
      </c>
      <c r="BS96" s="150">
        <v>0.29804313495418239</v>
      </c>
      <c r="BT96">
        <v>0.88</v>
      </c>
      <c r="BU96" t="s">
        <v>197</v>
      </c>
      <c r="BV96" t="s">
        <v>166</v>
      </c>
      <c r="BW96">
        <v>1.748</v>
      </c>
      <c r="BX96" t="s">
        <v>197</v>
      </c>
      <c r="BY96" t="s">
        <v>166</v>
      </c>
      <c r="BZ96" t="s">
        <v>383</v>
      </c>
      <c r="CA96" t="s">
        <v>360</v>
      </c>
      <c r="CB96" s="150">
        <f t="shared" si="78"/>
        <v>15.007057937010057</v>
      </c>
      <c r="CC96" t="s">
        <v>196</v>
      </c>
      <c r="CD96" s="150">
        <v>0.29804313495418239</v>
      </c>
      <c r="CE96" t="s">
        <v>259</v>
      </c>
      <c r="CF96" t="s">
        <v>260</v>
      </c>
      <c r="CG96" t="s">
        <v>200</v>
      </c>
      <c r="CH96" t="s">
        <v>166</v>
      </c>
      <c r="CI96" t="s">
        <v>166</v>
      </c>
      <c r="CJ96" s="139">
        <v>31.666517766234676</v>
      </c>
      <c r="CK96" t="s">
        <v>201</v>
      </c>
      <c r="CL96">
        <v>2</v>
      </c>
      <c r="CM96">
        <v>2</v>
      </c>
      <c r="CN96" t="s">
        <v>166</v>
      </c>
      <c r="CO96" s="139">
        <v>3.2412920887599972</v>
      </c>
      <c r="CP96" t="s">
        <v>166</v>
      </c>
      <c r="CQ96" t="s">
        <v>166</v>
      </c>
      <c r="CR96" t="s">
        <v>166</v>
      </c>
      <c r="CS96" s="153" t="s">
        <v>202</v>
      </c>
      <c r="CT96" t="s">
        <v>203</v>
      </c>
      <c r="CU96">
        <v>2.2000000000000002</v>
      </c>
      <c r="CV96" t="s">
        <v>204</v>
      </c>
      <c r="CW96" t="s">
        <v>166</v>
      </c>
      <c r="CX96" t="s">
        <v>166</v>
      </c>
      <c r="CY96" t="s">
        <v>166</v>
      </c>
      <c r="CZ96" t="s">
        <v>166</v>
      </c>
      <c r="DA96" s="154" t="s">
        <v>166</v>
      </c>
      <c r="DB96" t="s">
        <v>166</v>
      </c>
      <c r="DC96" t="s">
        <v>166</v>
      </c>
      <c r="DD96" t="s">
        <v>166</v>
      </c>
      <c r="DE96" t="s">
        <v>166</v>
      </c>
      <c r="DF96" t="s">
        <v>205</v>
      </c>
      <c r="DG96">
        <v>35</v>
      </c>
      <c r="DH96" t="s">
        <v>201</v>
      </c>
      <c r="DI96">
        <v>1</v>
      </c>
      <c r="DJ96" t="s">
        <v>206</v>
      </c>
      <c r="DK96">
        <v>17</v>
      </c>
      <c r="DL96" t="s">
        <v>166</v>
      </c>
      <c r="DM96" t="s">
        <v>166</v>
      </c>
      <c r="DN96" t="s">
        <v>207</v>
      </c>
      <c r="DO96">
        <v>38</v>
      </c>
      <c r="DP96" t="s">
        <v>208</v>
      </c>
      <c r="DQ96">
        <v>3</v>
      </c>
      <c r="DR96" t="s">
        <v>209</v>
      </c>
      <c r="DS96" t="s">
        <v>166</v>
      </c>
      <c r="DT96" t="s">
        <v>166</v>
      </c>
      <c r="DU96" t="s">
        <v>166</v>
      </c>
      <c r="DV96" t="s">
        <v>166</v>
      </c>
      <c r="DW96">
        <v>432.6</v>
      </c>
      <c r="DX96" t="s">
        <v>166</v>
      </c>
      <c r="DY96" t="s">
        <v>166</v>
      </c>
      <c r="DZ96" t="s">
        <v>210</v>
      </c>
      <c r="EA96" t="s">
        <v>361</v>
      </c>
      <c r="EB96" t="s">
        <v>212</v>
      </c>
      <c r="EC96" t="s">
        <v>166</v>
      </c>
      <c r="ED96" t="s">
        <v>213</v>
      </c>
      <c r="EE96" s="155" t="s">
        <v>214</v>
      </c>
      <c r="EF96" s="155" t="s">
        <v>214</v>
      </c>
      <c r="EG96">
        <v>1.0271999999999999</v>
      </c>
      <c r="EH96" t="s">
        <v>215</v>
      </c>
      <c r="EI96" t="s">
        <v>215</v>
      </c>
      <c r="EJ96" t="s">
        <v>216</v>
      </c>
      <c r="EK96" t="s">
        <v>215</v>
      </c>
      <c r="EL96" t="s">
        <v>215</v>
      </c>
      <c r="EM96" t="s">
        <v>217</v>
      </c>
      <c r="EN96" s="156" t="s">
        <v>214</v>
      </c>
      <c r="EO96" s="156" t="s">
        <v>214</v>
      </c>
      <c r="EP96" s="156" t="s">
        <v>214</v>
      </c>
      <c r="EQ96" s="156" t="s">
        <v>214</v>
      </c>
      <c r="ET96" t="s">
        <v>218</v>
      </c>
      <c r="EU96" t="s">
        <v>219</v>
      </c>
      <c r="EV96" t="s">
        <v>213</v>
      </c>
      <c r="EW96" t="s">
        <v>166</v>
      </c>
      <c r="EX96" t="s">
        <v>166</v>
      </c>
      <c r="EY96" t="s">
        <v>166</v>
      </c>
      <c r="EZ96" t="s">
        <v>166</v>
      </c>
      <c r="FA96" s="157">
        <v>6.5</v>
      </c>
      <c r="FB96" t="s">
        <v>220</v>
      </c>
      <c r="FC96" s="157">
        <v>1</v>
      </c>
      <c r="FD96" s="157">
        <v>1</v>
      </c>
      <c r="FE96" s="177">
        <v>7.7411278899559299</v>
      </c>
      <c r="FF96" t="s">
        <v>221</v>
      </c>
      <c r="FG96" s="177">
        <v>3.71932544034701E-2</v>
      </c>
      <c r="FH96" s="177">
        <v>4.0299592472799795E-2</v>
      </c>
      <c r="FI96" s="178">
        <v>984.92084182506107</v>
      </c>
      <c r="FK96" t="s">
        <v>166</v>
      </c>
      <c r="FL96" s="144">
        <f t="shared" si="79"/>
        <v>984.92084182506107</v>
      </c>
      <c r="FM96" s="178">
        <v>231.24854447281893</v>
      </c>
      <c r="FN96" s="178">
        <v>175.94559118143707</v>
      </c>
      <c r="FO96" t="s">
        <v>222</v>
      </c>
      <c r="FP96" t="s">
        <v>223</v>
      </c>
      <c r="FQ96" s="144" t="s">
        <v>166</v>
      </c>
      <c r="FR96" s="144" t="s">
        <v>166</v>
      </c>
      <c r="FS96" s="144" t="s">
        <v>166</v>
      </c>
      <c r="FT96" s="144" t="s">
        <v>166</v>
      </c>
      <c r="FU96" s="144" t="s">
        <v>166</v>
      </c>
      <c r="FV96" s="144" t="s">
        <v>166</v>
      </c>
      <c r="FW96" s="144" t="s">
        <v>166</v>
      </c>
      <c r="FX96" s="144" t="s">
        <v>166</v>
      </c>
      <c r="FY96" s="144" t="s">
        <v>166</v>
      </c>
      <c r="FZ96" s="144" t="s">
        <v>166</v>
      </c>
      <c r="GA96" s="144" t="s">
        <v>166</v>
      </c>
      <c r="GB96" s="144" t="s">
        <v>166</v>
      </c>
      <c r="GC96" s="158" t="s">
        <v>382</v>
      </c>
    </row>
    <row r="97" spans="1:185" ht="16">
      <c r="A97" s="140" t="s">
        <v>162</v>
      </c>
      <c r="B97" s="143" t="s">
        <v>163</v>
      </c>
      <c r="C97" s="140" t="s">
        <v>164</v>
      </c>
      <c r="D97" s="140" t="s">
        <v>165</v>
      </c>
      <c r="E97" s="140">
        <v>2020</v>
      </c>
      <c r="F97" t="s">
        <v>184</v>
      </c>
      <c r="G97" s="139">
        <v>36963.283521536279</v>
      </c>
      <c r="H97" s="147">
        <f t="shared" ref="H97" si="98">0.0083*G97^(0.9482)</f>
        <v>177.92547000341463</v>
      </c>
      <c r="I97" s="147">
        <f t="shared" si="67"/>
        <v>177.92547000341463</v>
      </c>
      <c r="J97" s="144">
        <v>883.00408334850692</v>
      </c>
      <c r="K97" s="144">
        <v>190.95053260251314</v>
      </c>
      <c r="L97" s="144">
        <v>138.91568667466595</v>
      </c>
      <c r="M97" t="b">
        <v>1</v>
      </c>
      <c r="N97">
        <v>3</v>
      </c>
      <c r="O97" s="140" t="s">
        <v>185</v>
      </c>
      <c r="P97" s="140" t="s">
        <v>166</v>
      </c>
      <c r="Q97" s="140" t="s">
        <v>166</v>
      </c>
      <c r="R97" s="140" t="s">
        <v>166</v>
      </c>
      <c r="S97" s="140" t="b">
        <v>1</v>
      </c>
      <c r="T97" s="140" t="b">
        <v>0</v>
      </c>
      <c r="U97" s="140" t="s">
        <v>166</v>
      </c>
      <c r="V97" s="140" t="b">
        <v>0</v>
      </c>
      <c r="W97" s="140" t="b">
        <v>0</v>
      </c>
      <c r="X97" s="140" t="s">
        <v>580</v>
      </c>
      <c r="Y97" s="148" t="s">
        <v>186</v>
      </c>
      <c r="Z97" t="s">
        <v>184</v>
      </c>
      <c r="AA97" s="149">
        <v>865</v>
      </c>
      <c r="AB97" s="149" t="s">
        <v>233</v>
      </c>
      <c r="AC97" s="149">
        <v>3</v>
      </c>
      <c r="AD97" s="149">
        <v>5</v>
      </c>
      <c r="AE97" t="s">
        <v>166</v>
      </c>
      <c r="AF97" t="s">
        <v>166</v>
      </c>
      <c r="AG97" s="150">
        <v>24.015000000000001</v>
      </c>
      <c r="AH97" t="s">
        <v>166</v>
      </c>
      <c r="AI97" t="s">
        <v>166</v>
      </c>
      <c r="AJ97" t="s">
        <v>253</v>
      </c>
      <c r="AK97">
        <v>18.440300000000001</v>
      </c>
      <c r="AL97">
        <v>-179.5558</v>
      </c>
      <c r="AM97" s="163">
        <v>11.968067169189453</v>
      </c>
      <c r="AN97" t="s">
        <v>166</v>
      </c>
      <c r="AO97">
        <v>-1530</v>
      </c>
      <c r="AP97">
        <v>-1400</v>
      </c>
      <c r="AQ97" t="s">
        <v>254</v>
      </c>
      <c r="AR97" t="s">
        <v>166</v>
      </c>
      <c r="AS97" s="150">
        <v>36.963283521536276</v>
      </c>
      <c r="AT97" t="s">
        <v>166</v>
      </c>
      <c r="AU97" t="s">
        <v>166</v>
      </c>
      <c r="AV97" t="s">
        <v>166</v>
      </c>
      <c r="AW97" t="s">
        <v>255</v>
      </c>
      <c r="AX97" t="s">
        <v>256</v>
      </c>
      <c r="AY97" t="s">
        <v>166</v>
      </c>
      <c r="AZ97" t="s">
        <v>166</v>
      </c>
      <c r="BA97" t="s">
        <v>166</v>
      </c>
      <c r="BB97" t="s">
        <v>166</v>
      </c>
      <c r="BC97" t="s">
        <v>166</v>
      </c>
      <c r="BD97" t="s">
        <v>166</v>
      </c>
      <c r="BE97" t="s">
        <v>166</v>
      </c>
      <c r="BF97" t="s">
        <v>166</v>
      </c>
      <c r="BG97" s="151" t="s">
        <v>257</v>
      </c>
      <c r="BH97" s="149" t="s">
        <v>263</v>
      </c>
      <c r="BI97" t="s">
        <v>166</v>
      </c>
      <c r="BJ97" s="152" t="s">
        <v>166</v>
      </c>
      <c r="BK97" t="s">
        <v>264</v>
      </c>
      <c r="BL97" t="s">
        <v>194</v>
      </c>
      <c r="BM97" t="s">
        <v>195</v>
      </c>
      <c r="BN97" t="s">
        <v>166</v>
      </c>
      <c r="BO97" t="s">
        <v>166</v>
      </c>
      <c r="BP97" t="s">
        <v>166</v>
      </c>
      <c r="BQ97" s="150">
        <v>15.063129719946092</v>
      </c>
      <c r="BR97" t="s">
        <v>196</v>
      </c>
      <c r="BS97" s="150">
        <v>0.26169735458371496</v>
      </c>
      <c r="BT97">
        <v>0.88</v>
      </c>
      <c r="BU97" t="s">
        <v>197</v>
      </c>
      <c r="BV97" t="s">
        <v>166</v>
      </c>
      <c r="BW97">
        <v>1.748</v>
      </c>
      <c r="BX97" t="s">
        <v>197</v>
      </c>
      <c r="BY97" t="s">
        <v>166</v>
      </c>
      <c r="BZ97" t="s">
        <v>384</v>
      </c>
      <c r="CA97" t="s">
        <v>360</v>
      </c>
      <c r="CB97" s="150">
        <f t="shared" si="78"/>
        <v>15.00355415355256</v>
      </c>
      <c r="CC97" t="s">
        <v>196</v>
      </c>
      <c r="CD97" s="150">
        <v>0.26169735458371496</v>
      </c>
      <c r="CE97" t="s">
        <v>259</v>
      </c>
      <c r="CF97" t="s">
        <v>260</v>
      </c>
      <c r="CG97" t="s">
        <v>200</v>
      </c>
      <c r="CH97" t="s">
        <v>166</v>
      </c>
      <c r="CI97" t="s">
        <v>166</v>
      </c>
      <c r="CJ97" s="139">
        <v>32.915618211148391</v>
      </c>
      <c r="CK97" t="s">
        <v>201</v>
      </c>
      <c r="CL97">
        <v>2</v>
      </c>
      <c r="CM97">
        <v>2</v>
      </c>
      <c r="CN97" t="s">
        <v>166</v>
      </c>
      <c r="CO97" s="139">
        <v>3.4777180314664893</v>
      </c>
      <c r="CP97" t="s">
        <v>166</v>
      </c>
      <c r="CQ97" t="s">
        <v>166</v>
      </c>
      <c r="CR97" t="s">
        <v>166</v>
      </c>
      <c r="CS97" s="153" t="s">
        <v>202</v>
      </c>
      <c r="CT97" t="s">
        <v>203</v>
      </c>
      <c r="CU97">
        <v>2.2000000000000002</v>
      </c>
      <c r="CV97" t="s">
        <v>204</v>
      </c>
      <c r="CW97" t="s">
        <v>166</v>
      </c>
      <c r="CX97" t="s">
        <v>166</v>
      </c>
      <c r="CY97" t="s">
        <v>166</v>
      </c>
      <c r="CZ97" t="s">
        <v>166</v>
      </c>
      <c r="DA97" s="154" t="s">
        <v>166</v>
      </c>
      <c r="DB97" t="s">
        <v>166</v>
      </c>
      <c r="DC97" t="s">
        <v>166</v>
      </c>
      <c r="DD97" t="s">
        <v>166</v>
      </c>
      <c r="DE97" t="s">
        <v>166</v>
      </c>
      <c r="DF97" t="s">
        <v>205</v>
      </c>
      <c r="DG97">
        <v>35</v>
      </c>
      <c r="DH97" t="s">
        <v>201</v>
      </c>
      <c r="DI97">
        <v>1</v>
      </c>
      <c r="DJ97" t="s">
        <v>206</v>
      </c>
      <c r="DK97">
        <v>17</v>
      </c>
      <c r="DL97" t="s">
        <v>166</v>
      </c>
      <c r="DM97" t="s">
        <v>166</v>
      </c>
      <c r="DN97" t="s">
        <v>207</v>
      </c>
      <c r="DO97">
        <v>38</v>
      </c>
      <c r="DP97" t="s">
        <v>208</v>
      </c>
      <c r="DQ97">
        <v>3</v>
      </c>
      <c r="DR97" t="s">
        <v>209</v>
      </c>
      <c r="DS97" t="s">
        <v>166</v>
      </c>
      <c r="DT97" t="s">
        <v>166</v>
      </c>
      <c r="DU97" t="s">
        <v>166</v>
      </c>
      <c r="DV97" t="s">
        <v>166</v>
      </c>
      <c r="DW97">
        <v>432.6</v>
      </c>
      <c r="DX97" t="s">
        <v>166</v>
      </c>
      <c r="DY97" t="s">
        <v>166</v>
      </c>
      <c r="DZ97" t="s">
        <v>210</v>
      </c>
      <c r="EA97" t="s">
        <v>361</v>
      </c>
      <c r="EB97" t="s">
        <v>212</v>
      </c>
      <c r="EC97" t="s">
        <v>166</v>
      </c>
      <c r="ED97" t="s">
        <v>213</v>
      </c>
      <c r="EE97" s="155" t="s">
        <v>214</v>
      </c>
      <c r="EF97" s="155" t="s">
        <v>214</v>
      </c>
      <c r="EG97">
        <v>1.0271999999999999</v>
      </c>
      <c r="EH97" t="s">
        <v>215</v>
      </c>
      <c r="EI97" t="s">
        <v>215</v>
      </c>
      <c r="EJ97" t="s">
        <v>216</v>
      </c>
      <c r="EK97" t="s">
        <v>215</v>
      </c>
      <c r="EL97" t="s">
        <v>215</v>
      </c>
      <c r="EM97" t="s">
        <v>217</v>
      </c>
      <c r="EN97" s="156" t="s">
        <v>214</v>
      </c>
      <c r="EO97" s="156" t="s">
        <v>214</v>
      </c>
      <c r="EP97" s="156" t="s">
        <v>214</v>
      </c>
      <c r="EQ97" s="156" t="s">
        <v>214</v>
      </c>
      <c r="ET97" t="s">
        <v>218</v>
      </c>
      <c r="EU97" t="s">
        <v>219</v>
      </c>
      <c r="EV97" t="s">
        <v>213</v>
      </c>
      <c r="EW97" t="s">
        <v>166</v>
      </c>
      <c r="EX97" t="s">
        <v>166</v>
      </c>
      <c r="EY97" t="s">
        <v>166</v>
      </c>
      <c r="EZ97" t="s">
        <v>166</v>
      </c>
      <c r="FA97" s="157">
        <v>6.5</v>
      </c>
      <c r="FB97" t="s">
        <v>220</v>
      </c>
      <c r="FC97" s="157">
        <v>1</v>
      </c>
      <c r="FD97" s="157">
        <v>1</v>
      </c>
      <c r="FE97" s="177">
        <v>7.7261357877611303</v>
      </c>
      <c r="FF97" t="s">
        <v>221</v>
      </c>
      <c r="FG97" s="177">
        <v>3.3429861759189272E-2</v>
      </c>
      <c r="FH97" s="177">
        <v>3.3381462442540588E-2</v>
      </c>
      <c r="FI97" s="178">
        <v>1007.1507753105201</v>
      </c>
      <c r="FK97" t="s">
        <v>166</v>
      </c>
      <c r="FL97" s="144">
        <f t="shared" si="79"/>
        <v>1007.1507753105201</v>
      </c>
      <c r="FM97" s="178">
        <v>188.71146026380995</v>
      </c>
      <c r="FN97" s="178">
        <v>177.47861843662008</v>
      </c>
      <c r="FO97" t="s">
        <v>222</v>
      </c>
      <c r="FP97" t="s">
        <v>223</v>
      </c>
      <c r="FQ97" s="144" t="s">
        <v>166</v>
      </c>
      <c r="FR97" s="144" t="s">
        <v>166</v>
      </c>
      <c r="FS97" s="144" t="s">
        <v>166</v>
      </c>
      <c r="FT97" s="144" t="s">
        <v>166</v>
      </c>
      <c r="FU97" s="144" t="s">
        <v>166</v>
      </c>
      <c r="FV97" s="144" t="s">
        <v>166</v>
      </c>
      <c r="FW97" s="144" t="s">
        <v>166</v>
      </c>
      <c r="FX97" s="144" t="s">
        <v>166</v>
      </c>
      <c r="FY97" s="144" t="s">
        <v>166</v>
      </c>
      <c r="FZ97" s="144" t="s">
        <v>166</v>
      </c>
      <c r="GA97" s="144" t="s">
        <v>166</v>
      </c>
      <c r="GB97" s="144" t="s">
        <v>166</v>
      </c>
      <c r="GC97" s="158" t="s">
        <v>382</v>
      </c>
    </row>
    <row r="98" spans="1:185" ht="16">
      <c r="A98" s="140" t="s">
        <v>162</v>
      </c>
      <c r="B98" s="143" t="s">
        <v>163</v>
      </c>
      <c r="C98" s="140" t="s">
        <v>164</v>
      </c>
      <c r="D98" s="140" t="s">
        <v>165</v>
      </c>
      <c r="E98" s="140">
        <v>2020</v>
      </c>
      <c r="F98" t="s">
        <v>184</v>
      </c>
      <c r="G98" s="139">
        <v>36963.283521536279</v>
      </c>
      <c r="H98" s="147">
        <f t="shared" ref="H98" si="99">0.0083*G98^(0.9482)</f>
        <v>177.92547000341463</v>
      </c>
      <c r="I98" s="147">
        <f t="shared" si="67"/>
        <v>177.92547000341463</v>
      </c>
      <c r="J98" s="144">
        <v>830.59834251235395</v>
      </c>
      <c r="K98" s="144">
        <v>167.98339020022297</v>
      </c>
      <c r="L98" s="144">
        <v>146.53528290331894</v>
      </c>
      <c r="M98" t="b">
        <v>1</v>
      </c>
      <c r="N98">
        <v>3</v>
      </c>
      <c r="O98" s="140" t="s">
        <v>185</v>
      </c>
      <c r="P98" s="140" t="s">
        <v>166</v>
      </c>
      <c r="Q98" s="140" t="s">
        <v>166</v>
      </c>
      <c r="R98" s="140" t="s">
        <v>166</v>
      </c>
      <c r="S98" s="140" t="b">
        <v>1</v>
      </c>
      <c r="T98" s="140" t="b">
        <v>0</v>
      </c>
      <c r="U98" s="140" t="s">
        <v>166</v>
      </c>
      <c r="V98" s="140" t="b">
        <v>0</v>
      </c>
      <c r="W98" s="140" t="b">
        <v>0</v>
      </c>
      <c r="X98" s="140" t="s">
        <v>580</v>
      </c>
      <c r="Y98" s="148" t="s">
        <v>186</v>
      </c>
      <c r="Z98" t="s">
        <v>184</v>
      </c>
      <c r="AA98" s="149">
        <v>865</v>
      </c>
      <c r="AB98" s="149" t="s">
        <v>233</v>
      </c>
      <c r="AC98" s="149">
        <v>3</v>
      </c>
      <c r="AD98" s="149">
        <v>5</v>
      </c>
      <c r="AE98" t="s">
        <v>166</v>
      </c>
      <c r="AF98" t="s">
        <v>166</v>
      </c>
      <c r="AG98" s="150">
        <v>24.015000000000001</v>
      </c>
      <c r="AH98" t="s">
        <v>166</v>
      </c>
      <c r="AI98" t="s">
        <v>166</v>
      </c>
      <c r="AJ98" t="s">
        <v>253</v>
      </c>
      <c r="AK98">
        <v>18.440300000000001</v>
      </c>
      <c r="AL98">
        <v>-179.5558</v>
      </c>
      <c r="AM98" s="163">
        <v>11.968067169189453</v>
      </c>
      <c r="AN98" t="s">
        <v>166</v>
      </c>
      <c r="AO98">
        <v>-1530</v>
      </c>
      <c r="AP98">
        <v>-1400</v>
      </c>
      <c r="AQ98" t="s">
        <v>254</v>
      </c>
      <c r="AR98" t="s">
        <v>166</v>
      </c>
      <c r="AS98" s="150">
        <v>36.963283521536276</v>
      </c>
      <c r="AT98" t="s">
        <v>166</v>
      </c>
      <c r="AU98" t="s">
        <v>166</v>
      </c>
      <c r="AV98" t="s">
        <v>166</v>
      </c>
      <c r="AW98" t="s">
        <v>255</v>
      </c>
      <c r="AX98" t="s">
        <v>256</v>
      </c>
      <c r="AY98" t="s">
        <v>166</v>
      </c>
      <c r="AZ98" t="s">
        <v>166</v>
      </c>
      <c r="BA98" t="s">
        <v>166</v>
      </c>
      <c r="BB98" t="s">
        <v>166</v>
      </c>
      <c r="BC98" t="s">
        <v>166</v>
      </c>
      <c r="BD98" t="s">
        <v>166</v>
      </c>
      <c r="BE98" t="s">
        <v>166</v>
      </c>
      <c r="BF98" t="s">
        <v>166</v>
      </c>
      <c r="BG98" s="151" t="s">
        <v>257</v>
      </c>
      <c r="BH98" s="149" t="s">
        <v>192</v>
      </c>
      <c r="BI98" t="s">
        <v>166</v>
      </c>
      <c r="BJ98" s="152" t="s">
        <v>166</v>
      </c>
      <c r="BK98" t="s">
        <v>265</v>
      </c>
      <c r="BL98" t="s">
        <v>194</v>
      </c>
      <c r="BM98" t="s">
        <v>195</v>
      </c>
      <c r="BN98" t="s">
        <v>166</v>
      </c>
      <c r="BO98" t="s">
        <v>166</v>
      </c>
      <c r="BP98" t="s">
        <v>166</v>
      </c>
      <c r="BQ98" s="150">
        <v>15.186008255654563</v>
      </c>
      <c r="BR98" t="s">
        <v>196</v>
      </c>
      <c r="BS98" s="150">
        <v>0.25684127871499324</v>
      </c>
      <c r="BT98">
        <v>0.88</v>
      </c>
      <c r="BU98" t="s">
        <v>197</v>
      </c>
      <c r="BV98" t="s">
        <v>166</v>
      </c>
      <c r="BW98">
        <v>1.748</v>
      </c>
      <c r="BX98" t="s">
        <v>197</v>
      </c>
      <c r="BY98" t="s">
        <v>166</v>
      </c>
      <c r="BZ98" t="s">
        <v>385</v>
      </c>
      <c r="CA98" t="s">
        <v>360</v>
      </c>
      <c r="CB98" s="150">
        <f t="shared" si="78"/>
        <v>15.111687264976016</v>
      </c>
      <c r="CC98" t="s">
        <v>196</v>
      </c>
      <c r="CD98" s="150">
        <v>0.25684127871499324</v>
      </c>
      <c r="CE98" t="s">
        <v>259</v>
      </c>
      <c r="CF98" t="s">
        <v>260</v>
      </c>
      <c r="CG98" t="s">
        <v>200</v>
      </c>
      <c r="CH98" t="s">
        <v>166</v>
      </c>
      <c r="CI98" t="s">
        <v>166</v>
      </c>
      <c r="CJ98" s="139">
        <v>32.932580933034025</v>
      </c>
      <c r="CK98" t="s">
        <v>201</v>
      </c>
      <c r="CL98">
        <v>2</v>
      </c>
      <c r="CM98">
        <v>2</v>
      </c>
      <c r="CN98" t="s">
        <v>166</v>
      </c>
      <c r="CO98" s="139">
        <v>3.4810446219678304</v>
      </c>
      <c r="CP98" t="s">
        <v>166</v>
      </c>
      <c r="CQ98" t="s">
        <v>166</v>
      </c>
      <c r="CR98" t="s">
        <v>166</v>
      </c>
      <c r="CS98" s="153" t="s">
        <v>202</v>
      </c>
      <c r="CT98" t="s">
        <v>203</v>
      </c>
      <c r="CU98">
        <v>2.2000000000000002</v>
      </c>
      <c r="CV98" t="s">
        <v>204</v>
      </c>
      <c r="CW98" t="s">
        <v>166</v>
      </c>
      <c r="CX98" t="s">
        <v>166</v>
      </c>
      <c r="CY98" t="s">
        <v>166</v>
      </c>
      <c r="CZ98" t="s">
        <v>166</v>
      </c>
      <c r="DA98" s="154" t="s">
        <v>166</v>
      </c>
      <c r="DB98" t="s">
        <v>166</v>
      </c>
      <c r="DC98" t="s">
        <v>166</v>
      </c>
      <c r="DD98" t="s">
        <v>166</v>
      </c>
      <c r="DE98" t="s">
        <v>166</v>
      </c>
      <c r="DF98" t="s">
        <v>205</v>
      </c>
      <c r="DG98">
        <v>35</v>
      </c>
      <c r="DH98" t="s">
        <v>201</v>
      </c>
      <c r="DI98">
        <v>1</v>
      </c>
      <c r="DJ98" t="s">
        <v>206</v>
      </c>
      <c r="DK98">
        <v>17</v>
      </c>
      <c r="DL98" t="s">
        <v>166</v>
      </c>
      <c r="DM98" t="s">
        <v>166</v>
      </c>
      <c r="DN98" t="s">
        <v>207</v>
      </c>
      <c r="DO98">
        <v>38</v>
      </c>
      <c r="DP98" t="s">
        <v>208</v>
      </c>
      <c r="DQ98">
        <v>3</v>
      </c>
      <c r="DR98" t="s">
        <v>209</v>
      </c>
      <c r="DS98" t="s">
        <v>166</v>
      </c>
      <c r="DT98" t="s">
        <v>166</v>
      </c>
      <c r="DU98" t="s">
        <v>166</v>
      </c>
      <c r="DV98" t="s">
        <v>166</v>
      </c>
      <c r="DW98">
        <v>432.6</v>
      </c>
      <c r="DX98" t="s">
        <v>166</v>
      </c>
      <c r="DY98" t="s">
        <v>166</v>
      </c>
      <c r="DZ98" t="s">
        <v>210</v>
      </c>
      <c r="EA98" t="s">
        <v>361</v>
      </c>
      <c r="EB98" t="s">
        <v>212</v>
      </c>
      <c r="EC98" t="s">
        <v>166</v>
      </c>
      <c r="ED98" t="s">
        <v>213</v>
      </c>
      <c r="EE98" s="155" t="s">
        <v>214</v>
      </c>
      <c r="EF98" s="155" t="s">
        <v>214</v>
      </c>
      <c r="EG98">
        <v>1.0271999999999999</v>
      </c>
      <c r="EH98" t="s">
        <v>215</v>
      </c>
      <c r="EI98" t="s">
        <v>215</v>
      </c>
      <c r="EJ98" t="s">
        <v>216</v>
      </c>
      <c r="EK98" t="s">
        <v>215</v>
      </c>
      <c r="EL98" t="s">
        <v>215</v>
      </c>
      <c r="EM98" t="s">
        <v>217</v>
      </c>
      <c r="EN98" s="156" t="s">
        <v>214</v>
      </c>
      <c r="EO98" s="156" t="s">
        <v>214</v>
      </c>
      <c r="EP98" s="156" t="s">
        <v>214</v>
      </c>
      <c r="EQ98" s="156" t="s">
        <v>214</v>
      </c>
      <c r="ET98" t="s">
        <v>218</v>
      </c>
      <c r="EU98" t="s">
        <v>219</v>
      </c>
      <c r="EV98" t="s">
        <v>213</v>
      </c>
      <c r="EW98" t="s">
        <v>166</v>
      </c>
      <c r="EX98" t="s">
        <v>166</v>
      </c>
      <c r="EY98" t="s">
        <v>166</v>
      </c>
      <c r="EZ98" t="s">
        <v>166</v>
      </c>
      <c r="FA98" s="157">
        <v>6.5</v>
      </c>
      <c r="FB98" t="s">
        <v>220</v>
      </c>
      <c r="FC98" s="157">
        <v>1</v>
      </c>
      <c r="FD98" s="157">
        <v>1</v>
      </c>
      <c r="FE98" s="177">
        <v>7.7428255414693599</v>
      </c>
      <c r="FF98" t="s">
        <v>221</v>
      </c>
      <c r="FG98" s="177">
        <v>3.2900974817330564E-2</v>
      </c>
      <c r="FH98" s="177">
        <v>3.3905273356950261E-2</v>
      </c>
      <c r="FI98" s="178">
        <v>947.81198090104704</v>
      </c>
      <c r="FK98" t="s">
        <v>166</v>
      </c>
      <c r="FL98" s="144">
        <f t="shared" si="79"/>
        <v>947.81198090104704</v>
      </c>
      <c r="FM98" s="178">
        <v>170.96623259369312</v>
      </c>
      <c r="FN98" s="178">
        <v>176.66559306075908</v>
      </c>
      <c r="FO98" t="s">
        <v>222</v>
      </c>
      <c r="FP98" t="s">
        <v>223</v>
      </c>
      <c r="FQ98" s="144" t="s">
        <v>166</v>
      </c>
      <c r="FR98" s="144" t="s">
        <v>166</v>
      </c>
      <c r="FS98" s="144" t="s">
        <v>166</v>
      </c>
      <c r="FT98" s="144" t="s">
        <v>166</v>
      </c>
      <c r="FU98" s="144" t="s">
        <v>166</v>
      </c>
      <c r="FV98" s="144" t="s">
        <v>166</v>
      </c>
      <c r="FW98" s="144" t="s">
        <v>166</v>
      </c>
      <c r="FX98" s="144" t="s">
        <v>166</v>
      </c>
      <c r="FY98" s="144" t="s">
        <v>166</v>
      </c>
      <c r="FZ98" s="144" t="s">
        <v>166</v>
      </c>
      <c r="GA98" s="144" t="s">
        <v>166</v>
      </c>
      <c r="GB98" s="144" t="s">
        <v>166</v>
      </c>
      <c r="GC98" s="158" t="s">
        <v>382</v>
      </c>
    </row>
    <row r="99" spans="1:185" ht="16">
      <c r="A99" s="140" t="s">
        <v>162</v>
      </c>
      <c r="B99" s="143" t="s">
        <v>163</v>
      </c>
      <c r="C99" s="140" t="s">
        <v>164</v>
      </c>
      <c r="D99" s="140" t="s">
        <v>165</v>
      </c>
      <c r="E99" s="140">
        <v>2020</v>
      </c>
      <c r="F99" t="s">
        <v>184</v>
      </c>
      <c r="G99" s="139">
        <v>37636.080870917576</v>
      </c>
      <c r="H99" s="147">
        <f t="shared" ref="H99" si="100">0.0083*G99^(0.9482)</f>
        <v>180.99483340322359</v>
      </c>
      <c r="I99" s="147">
        <f t="shared" si="67"/>
        <v>180.99483340322359</v>
      </c>
      <c r="J99" s="144">
        <v>814.00923849256708</v>
      </c>
      <c r="K99" s="144">
        <v>334.08949010085291</v>
      </c>
      <c r="L99" s="144">
        <v>203.9056035425441</v>
      </c>
      <c r="M99" t="b">
        <v>1</v>
      </c>
      <c r="N99">
        <v>3</v>
      </c>
      <c r="O99" s="140" t="s">
        <v>185</v>
      </c>
      <c r="P99" s="140" t="s">
        <v>166</v>
      </c>
      <c r="Q99" s="140" t="s">
        <v>166</v>
      </c>
      <c r="R99" s="140" t="s">
        <v>166</v>
      </c>
      <c r="S99" s="140" t="b">
        <v>1</v>
      </c>
      <c r="T99" s="140" t="b">
        <v>0</v>
      </c>
      <c r="U99" s="140" t="s">
        <v>166</v>
      </c>
      <c r="V99" s="140" t="b">
        <v>0</v>
      </c>
      <c r="W99" s="140" t="b">
        <v>0</v>
      </c>
      <c r="X99" s="140" t="s">
        <v>580</v>
      </c>
      <c r="Y99" s="148" t="s">
        <v>186</v>
      </c>
      <c r="Z99" t="s">
        <v>184</v>
      </c>
      <c r="AA99" s="149">
        <v>865</v>
      </c>
      <c r="AB99" s="149" t="s">
        <v>233</v>
      </c>
      <c r="AC99" s="149">
        <v>3</v>
      </c>
      <c r="AD99" s="149">
        <v>7</v>
      </c>
      <c r="AE99">
        <v>0</v>
      </c>
      <c r="AF99">
        <v>9</v>
      </c>
      <c r="AG99" s="150">
        <v>27</v>
      </c>
      <c r="AH99" t="s">
        <v>166</v>
      </c>
      <c r="AI99" t="s">
        <v>166</v>
      </c>
      <c r="AJ99" t="s">
        <v>253</v>
      </c>
      <c r="AK99">
        <v>18.440300000000001</v>
      </c>
      <c r="AL99">
        <v>-179.5558</v>
      </c>
      <c r="AM99" s="163">
        <v>11.820829391479492</v>
      </c>
      <c r="AN99" t="s">
        <v>166</v>
      </c>
      <c r="AO99">
        <v>-1530</v>
      </c>
      <c r="AP99">
        <v>-1400</v>
      </c>
      <c r="AQ99" t="s">
        <v>254</v>
      </c>
      <c r="AR99" t="s">
        <v>166</v>
      </c>
      <c r="AS99" s="150">
        <v>37.636080870917574</v>
      </c>
      <c r="AT99" t="s">
        <v>166</v>
      </c>
      <c r="AU99" t="s">
        <v>166</v>
      </c>
      <c r="AV99" t="s">
        <v>166</v>
      </c>
      <c r="AW99" t="s">
        <v>255</v>
      </c>
      <c r="AX99" t="s">
        <v>256</v>
      </c>
      <c r="AY99" t="s">
        <v>166</v>
      </c>
      <c r="AZ99" t="s">
        <v>166</v>
      </c>
      <c r="BA99" t="s">
        <v>166</v>
      </c>
      <c r="BB99" t="s">
        <v>166</v>
      </c>
      <c r="BC99" t="s">
        <v>166</v>
      </c>
      <c r="BD99" t="s">
        <v>166</v>
      </c>
      <c r="BE99" t="s">
        <v>166</v>
      </c>
      <c r="BF99" t="s">
        <v>166</v>
      </c>
      <c r="BG99" s="151" t="s">
        <v>257</v>
      </c>
      <c r="BH99" s="149" t="s">
        <v>263</v>
      </c>
      <c r="BI99" t="s">
        <v>166</v>
      </c>
      <c r="BJ99" s="152" t="s">
        <v>166</v>
      </c>
      <c r="BK99" t="s">
        <v>266</v>
      </c>
      <c r="BL99" t="s">
        <v>194</v>
      </c>
      <c r="BM99" t="s">
        <v>195</v>
      </c>
      <c r="BN99" t="s">
        <v>166</v>
      </c>
      <c r="BO99" t="s">
        <v>166</v>
      </c>
      <c r="BP99" t="s">
        <v>166</v>
      </c>
      <c r="BQ99" s="150">
        <v>15.180685146645871</v>
      </c>
      <c r="BR99" t="s">
        <v>196</v>
      </c>
      <c r="BS99" s="150">
        <v>0.5659322798177705</v>
      </c>
      <c r="BT99">
        <v>0.88</v>
      </c>
      <c r="BU99" t="s">
        <v>197</v>
      </c>
      <c r="BV99" t="s">
        <v>166</v>
      </c>
      <c r="BW99">
        <v>1.748</v>
      </c>
      <c r="BX99" t="s">
        <v>197</v>
      </c>
      <c r="BY99" t="s">
        <v>166</v>
      </c>
      <c r="BZ99" t="s">
        <v>386</v>
      </c>
      <c r="CA99" t="s">
        <v>360</v>
      </c>
      <c r="CB99" s="150">
        <f t="shared" si="78"/>
        <v>15.107002929048367</v>
      </c>
      <c r="CC99" t="s">
        <v>196</v>
      </c>
      <c r="CD99" s="150">
        <v>0.5659322798177705</v>
      </c>
      <c r="CE99" t="s">
        <v>259</v>
      </c>
      <c r="CF99" t="s">
        <v>260</v>
      </c>
      <c r="CG99" t="s">
        <v>200</v>
      </c>
      <c r="CH99" t="s">
        <v>166</v>
      </c>
      <c r="CI99" t="s">
        <v>166</v>
      </c>
      <c r="CJ99" s="139">
        <v>33.028928619983446</v>
      </c>
      <c r="CK99" t="s">
        <v>201</v>
      </c>
      <c r="CL99">
        <v>2</v>
      </c>
      <c r="CM99">
        <v>2</v>
      </c>
      <c r="CN99" t="s">
        <v>166</v>
      </c>
      <c r="CO99" s="139">
        <v>3.5</v>
      </c>
      <c r="CP99" t="s">
        <v>166</v>
      </c>
      <c r="CQ99" t="s">
        <v>166</v>
      </c>
      <c r="CR99" t="s">
        <v>166</v>
      </c>
      <c r="CS99" s="153" t="s">
        <v>202</v>
      </c>
      <c r="CT99" t="s">
        <v>203</v>
      </c>
      <c r="CU99">
        <v>2.2000000000000002</v>
      </c>
      <c r="CV99" t="s">
        <v>204</v>
      </c>
      <c r="CW99" t="s">
        <v>166</v>
      </c>
      <c r="CX99" t="s">
        <v>166</v>
      </c>
      <c r="CY99" t="s">
        <v>166</v>
      </c>
      <c r="CZ99" t="s">
        <v>166</v>
      </c>
      <c r="DA99" s="154" t="s">
        <v>166</v>
      </c>
      <c r="DB99" t="s">
        <v>166</v>
      </c>
      <c r="DC99" t="s">
        <v>166</v>
      </c>
      <c r="DD99" t="s">
        <v>166</v>
      </c>
      <c r="DE99" t="s">
        <v>166</v>
      </c>
      <c r="DF99" t="s">
        <v>205</v>
      </c>
      <c r="DG99">
        <v>35</v>
      </c>
      <c r="DH99" t="s">
        <v>201</v>
      </c>
      <c r="DI99">
        <v>1</v>
      </c>
      <c r="DJ99" t="s">
        <v>206</v>
      </c>
      <c r="DK99">
        <v>17</v>
      </c>
      <c r="DL99" t="s">
        <v>166</v>
      </c>
      <c r="DM99" t="s">
        <v>166</v>
      </c>
      <c r="DN99" t="s">
        <v>207</v>
      </c>
      <c r="DO99">
        <v>38</v>
      </c>
      <c r="DP99" t="s">
        <v>208</v>
      </c>
      <c r="DQ99">
        <v>3</v>
      </c>
      <c r="DR99" t="s">
        <v>209</v>
      </c>
      <c r="DS99" t="s">
        <v>166</v>
      </c>
      <c r="DT99" t="s">
        <v>166</v>
      </c>
      <c r="DU99" t="s">
        <v>166</v>
      </c>
      <c r="DV99" t="s">
        <v>166</v>
      </c>
      <c r="DW99">
        <v>432.6</v>
      </c>
      <c r="DX99" t="s">
        <v>166</v>
      </c>
      <c r="DY99" t="s">
        <v>166</v>
      </c>
      <c r="DZ99" t="s">
        <v>210</v>
      </c>
      <c r="EA99" t="s">
        <v>361</v>
      </c>
      <c r="EB99" t="s">
        <v>212</v>
      </c>
      <c r="EC99" t="s">
        <v>166</v>
      </c>
      <c r="ED99" t="s">
        <v>213</v>
      </c>
      <c r="EE99" s="155" t="s">
        <v>214</v>
      </c>
      <c r="EF99" s="155" t="s">
        <v>214</v>
      </c>
      <c r="EG99">
        <v>1.0271999999999999</v>
      </c>
      <c r="EH99" t="s">
        <v>215</v>
      </c>
      <c r="EI99" t="s">
        <v>215</v>
      </c>
      <c r="EJ99" t="s">
        <v>216</v>
      </c>
      <c r="EK99" t="s">
        <v>215</v>
      </c>
      <c r="EL99" t="s">
        <v>215</v>
      </c>
      <c r="EM99" t="s">
        <v>217</v>
      </c>
      <c r="EN99" s="156" t="s">
        <v>214</v>
      </c>
      <c r="EO99" s="156" t="s">
        <v>214</v>
      </c>
      <c r="EP99" s="156" t="s">
        <v>214</v>
      </c>
      <c r="EQ99" s="156" t="s">
        <v>214</v>
      </c>
      <c r="ET99" t="s">
        <v>218</v>
      </c>
      <c r="EU99" t="s">
        <v>219</v>
      </c>
      <c r="EV99" t="s">
        <v>213</v>
      </c>
      <c r="EW99" t="s">
        <v>166</v>
      </c>
      <c r="EX99" t="s">
        <v>166</v>
      </c>
      <c r="EY99" t="s">
        <v>166</v>
      </c>
      <c r="EZ99" t="s">
        <v>166</v>
      </c>
      <c r="FA99" s="157">
        <v>6.5</v>
      </c>
      <c r="FB99" t="s">
        <v>220</v>
      </c>
      <c r="FC99" s="157">
        <v>1</v>
      </c>
      <c r="FD99" s="157">
        <v>1</v>
      </c>
      <c r="FE99" s="177">
        <v>7.7433435353578197</v>
      </c>
      <c r="FF99" t="s">
        <v>221</v>
      </c>
      <c r="FG99" s="177">
        <v>5.6598128810410486E-2</v>
      </c>
      <c r="FH99" s="177">
        <v>6.5544614747749641E-2</v>
      </c>
      <c r="FI99" s="178">
        <v>935.463849510861</v>
      </c>
      <c r="FK99" t="s">
        <v>166</v>
      </c>
      <c r="FL99" s="144">
        <f t="shared" si="79"/>
        <v>935.463849510861</v>
      </c>
      <c r="FM99" s="178">
        <v>355.74061767700903</v>
      </c>
      <c r="FN99" s="178">
        <v>232.66990964405602</v>
      </c>
      <c r="FO99" t="s">
        <v>222</v>
      </c>
      <c r="FP99" t="s">
        <v>223</v>
      </c>
      <c r="FQ99" s="144" t="s">
        <v>166</v>
      </c>
      <c r="FR99" s="144" t="s">
        <v>166</v>
      </c>
      <c r="FS99" s="144" t="s">
        <v>166</v>
      </c>
      <c r="FT99" s="144" t="s">
        <v>166</v>
      </c>
      <c r="FU99" s="144" t="s">
        <v>166</v>
      </c>
      <c r="FV99" s="144" t="s">
        <v>166</v>
      </c>
      <c r="FW99" s="144" t="s">
        <v>166</v>
      </c>
      <c r="FX99" s="144" t="s">
        <v>166</v>
      </c>
      <c r="FY99" s="144" t="s">
        <v>166</v>
      </c>
      <c r="FZ99" s="144" t="s">
        <v>166</v>
      </c>
      <c r="GA99" s="144" t="s">
        <v>166</v>
      </c>
      <c r="GB99" s="144" t="s">
        <v>166</v>
      </c>
      <c r="GC99" s="158" t="s">
        <v>382</v>
      </c>
    </row>
    <row r="100" spans="1:185" ht="16">
      <c r="A100" s="140" t="s">
        <v>162</v>
      </c>
      <c r="B100" s="143" t="s">
        <v>163</v>
      </c>
      <c r="C100" s="140" t="s">
        <v>164</v>
      </c>
      <c r="D100" s="140" t="s">
        <v>165</v>
      </c>
      <c r="E100" s="140">
        <v>2020</v>
      </c>
      <c r="F100" t="s">
        <v>184</v>
      </c>
      <c r="G100" s="139">
        <v>38109.405639326527</v>
      </c>
      <c r="H100" s="147">
        <f t="shared" ref="H100" si="101">0.0083*G100^(0.9482)</f>
        <v>183.15247895393838</v>
      </c>
      <c r="I100" s="147">
        <f t="shared" si="67"/>
        <v>183.15247895393838</v>
      </c>
      <c r="J100" s="144">
        <v>898.79664636703501</v>
      </c>
      <c r="K100" s="144">
        <v>209.27541823071488</v>
      </c>
      <c r="L100" s="144">
        <v>160.36323966522696</v>
      </c>
      <c r="M100" t="b">
        <v>1</v>
      </c>
      <c r="N100">
        <v>3</v>
      </c>
      <c r="O100" s="140" t="s">
        <v>185</v>
      </c>
      <c r="P100" s="140" t="s">
        <v>166</v>
      </c>
      <c r="Q100" s="140" t="s">
        <v>166</v>
      </c>
      <c r="R100" s="140" t="s">
        <v>166</v>
      </c>
      <c r="S100" s="140" t="b">
        <v>1</v>
      </c>
      <c r="T100" s="140" t="b">
        <v>0</v>
      </c>
      <c r="U100" s="140" t="s">
        <v>166</v>
      </c>
      <c r="V100" s="140" t="b">
        <v>0</v>
      </c>
      <c r="W100" s="140" t="b">
        <v>0</v>
      </c>
      <c r="X100" s="140" t="s">
        <v>580</v>
      </c>
      <c r="Y100" s="148" t="s">
        <v>186</v>
      </c>
      <c r="Z100" t="s">
        <v>184</v>
      </c>
      <c r="AA100" s="149">
        <v>865</v>
      </c>
      <c r="AB100" s="149" t="s">
        <v>233</v>
      </c>
      <c r="AC100" s="149">
        <v>4</v>
      </c>
      <c r="AD100" s="149">
        <v>2</v>
      </c>
      <c r="AE100">
        <v>10</v>
      </c>
      <c r="AF100">
        <v>17</v>
      </c>
      <c r="AG100" s="150">
        <v>29.1</v>
      </c>
      <c r="AH100" t="s">
        <v>166</v>
      </c>
      <c r="AI100" t="s">
        <v>166</v>
      </c>
      <c r="AJ100" t="s">
        <v>253</v>
      </c>
      <c r="AK100">
        <v>18.440300000000001</v>
      </c>
      <c r="AL100">
        <v>-179.5558</v>
      </c>
      <c r="AM100" s="163">
        <v>11.717245101928711</v>
      </c>
      <c r="AN100" t="s">
        <v>166</v>
      </c>
      <c r="AO100">
        <v>-1530</v>
      </c>
      <c r="AP100">
        <v>-1400</v>
      </c>
      <c r="AQ100" t="s">
        <v>254</v>
      </c>
      <c r="AR100" t="s">
        <v>166</v>
      </c>
      <c r="AS100" s="150">
        <v>38.109405639326525</v>
      </c>
      <c r="AT100" t="s">
        <v>166</v>
      </c>
      <c r="AU100" t="s">
        <v>166</v>
      </c>
      <c r="AV100" t="s">
        <v>166</v>
      </c>
      <c r="AW100" t="s">
        <v>255</v>
      </c>
      <c r="AX100" t="s">
        <v>256</v>
      </c>
      <c r="AY100" t="s">
        <v>166</v>
      </c>
      <c r="AZ100" t="s">
        <v>166</v>
      </c>
      <c r="BA100" t="s">
        <v>166</v>
      </c>
      <c r="BB100" t="s">
        <v>166</v>
      </c>
      <c r="BC100" t="s">
        <v>166</v>
      </c>
      <c r="BD100" t="s">
        <v>166</v>
      </c>
      <c r="BE100" t="s">
        <v>166</v>
      </c>
      <c r="BF100" t="s">
        <v>166</v>
      </c>
      <c r="BG100" s="151" t="s">
        <v>267</v>
      </c>
      <c r="BH100" s="149" t="s">
        <v>192</v>
      </c>
      <c r="BI100" t="s">
        <v>166</v>
      </c>
      <c r="BJ100" s="152" t="s">
        <v>166</v>
      </c>
      <c r="BK100" t="s">
        <v>268</v>
      </c>
      <c r="BL100" t="s">
        <v>194</v>
      </c>
      <c r="BM100" t="s">
        <v>195</v>
      </c>
      <c r="BN100" t="s">
        <v>166</v>
      </c>
      <c r="BO100" t="s">
        <v>166</v>
      </c>
      <c r="BP100" t="s">
        <v>166</v>
      </c>
      <c r="BQ100" s="150">
        <v>15.139701232224079</v>
      </c>
      <c r="BR100" t="s">
        <v>196</v>
      </c>
      <c r="BS100" s="150">
        <v>0.29520585698974949</v>
      </c>
      <c r="BT100">
        <v>0.88</v>
      </c>
      <c r="BU100" t="s">
        <v>197</v>
      </c>
      <c r="BV100" t="s">
        <v>166</v>
      </c>
      <c r="BW100">
        <v>1.748</v>
      </c>
      <c r="BX100" t="s">
        <v>197</v>
      </c>
      <c r="BY100" t="s">
        <v>166</v>
      </c>
      <c r="BZ100" t="s">
        <v>387</v>
      </c>
      <c r="CA100" t="s">
        <v>360</v>
      </c>
      <c r="CB100" s="150">
        <f t="shared" si="78"/>
        <v>15.070937084357189</v>
      </c>
      <c r="CC100" t="s">
        <v>196</v>
      </c>
      <c r="CD100" s="150">
        <v>0.29520585698974949</v>
      </c>
      <c r="CE100" t="s">
        <v>199</v>
      </c>
      <c r="CF100" t="s">
        <v>166</v>
      </c>
      <c r="CG100" t="s">
        <v>200</v>
      </c>
      <c r="CH100" t="s">
        <v>166</v>
      </c>
      <c r="CI100" t="s">
        <v>166</v>
      </c>
      <c r="CJ100" s="139">
        <v>35.836110601654262</v>
      </c>
      <c r="CK100" t="s">
        <v>201</v>
      </c>
      <c r="CL100">
        <v>2</v>
      </c>
      <c r="CM100">
        <v>2</v>
      </c>
      <c r="CN100" t="s">
        <v>166</v>
      </c>
      <c r="CO100" s="139">
        <v>4.0999999999999996</v>
      </c>
      <c r="CP100" t="s">
        <v>166</v>
      </c>
      <c r="CQ100" t="s">
        <v>166</v>
      </c>
      <c r="CR100" t="s">
        <v>166</v>
      </c>
      <c r="CS100" s="153" t="s">
        <v>202</v>
      </c>
      <c r="CT100" t="s">
        <v>203</v>
      </c>
      <c r="CU100">
        <v>2.2000000000000002</v>
      </c>
      <c r="CV100" t="s">
        <v>204</v>
      </c>
      <c r="CW100" t="s">
        <v>166</v>
      </c>
      <c r="CX100" t="s">
        <v>166</v>
      </c>
      <c r="CY100" t="s">
        <v>166</v>
      </c>
      <c r="CZ100" t="s">
        <v>166</v>
      </c>
      <c r="DA100" s="154" t="s">
        <v>166</v>
      </c>
      <c r="DB100" t="s">
        <v>166</v>
      </c>
      <c r="DC100" t="s">
        <v>166</v>
      </c>
      <c r="DD100" t="s">
        <v>166</v>
      </c>
      <c r="DE100" t="s">
        <v>166</v>
      </c>
      <c r="DF100" t="s">
        <v>205</v>
      </c>
      <c r="DG100">
        <v>35</v>
      </c>
      <c r="DH100" t="s">
        <v>201</v>
      </c>
      <c r="DI100">
        <v>1</v>
      </c>
      <c r="DJ100" t="s">
        <v>206</v>
      </c>
      <c r="DK100">
        <v>17</v>
      </c>
      <c r="DL100" t="s">
        <v>166</v>
      </c>
      <c r="DM100" t="s">
        <v>166</v>
      </c>
      <c r="DN100" t="s">
        <v>207</v>
      </c>
      <c r="DO100">
        <v>38</v>
      </c>
      <c r="DP100" t="s">
        <v>208</v>
      </c>
      <c r="DQ100">
        <v>3</v>
      </c>
      <c r="DR100" t="s">
        <v>209</v>
      </c>
      <c r="DS100" t="s">
        <v>166</v>
      </c>
      <c r="DT100" t="s">
        <v>166</v>
      </c>
      <c r="DU100" t="s">
        <v>166</v>
      </c>
      <c r="DV100" t="s">
        <v>166</v>
      </c>
      <c r="DW100">
        <v>432.6</v>
      </c>
      <c r="DX100" t="s">
        <v>166</v>
      </c>
      <c r="DY100" t="s">
        <v>166</v>
      </c>
      <c r="DZ100" t="s">
        <v>210</v>
      </c>
      <c r="EA100" t="s">
        <v>361</v>
      </c>
      <c r="EB100" t="s">
        <v>212</v>
      </c>
      <c r="EC100" t="s">
        <v>166</v>
      </c>
      <c r="ED100" t="s">
        <v>213</v>
      </c>
      <c r="EE100" s="155" t="s">
        <v>214</v>
      </c>
      <c r="EF100" s="155" t="s">
        <v>214</v>
      </c>
      <c r="EG100">
        <v>1.0271999999999999</v>
      </c>
      <c r="EH100" t="s">
        <v>215</v>
      </c>
      <c r="EI100" t="s">
        <v>215</v>
      </c>
      <c r="EJ100" t="s">
        <v>216</v>
      </c>
      <c r="EK100" t="s">
        <v>215</v>
      </c>
      <c r="EL100" t="s">
        <v>215</v>
      </c>
      <c r="EM100" t="s">
        <v>217</v>
      </c>
      <c r="EN100" s="156" t="s">
        <v>214</v>
      </c>
      <c r="EO100" s="156" t="s">
        <v>214</v>
      </c>
      <c r="EP100" s="156" t="s">
        <v>214</v>
      </c>
      <c r="EQ100" s="156" t="s">
        <v>214</v>
      </c>
      <c r="ET100" t="s">
        <v>218</v>
      </c>
      <c r="EU100" t="s">
        <v>219</v>
      </c>
      <c r="EV100" t="s">
        <v>213</v>
      </c>
      <c r="EW100" t="s">
        <v>166</v>
      </c>
      <c r="EX100" t="s">
        <v>166</v>
      </c>
      <c r="EY100" t="s">
        <v>166</v>
      </c>
      <c r="EZ100" t="s">
        <v>166</v>
      </c>
      <c r="FA100" s="157">
        <v>6.5</v>
      </c>
      <c r="FB100" t="s">
        <v>220</v>
      </c>
      <c r="FC100" s="157">
        <v>1</v>
      </c>
      <c r="FD100" s="157">
        <v>1</v>
      </c>
      <c r="FE100" s="177">
        <v>7.7039583657961099</v>
      </c>
      <c r="FF100" t="s">
        <v>221</v>
      </c>
      <c r="FG100" s="177">
        <v>3.7390336020879822E-2</v>
      </c>
      <c r="FH100" s="177">
        <v>3.9167138904609544E-2</v>
      </c>
      <c r="FI100" s="178">
        <v>1021.77320237301</v>
      </c>
      <c r="FK100" t="s">
        <v>166</v>
      </c>
      <c r="FL100" s="144">
        <f t="shared" si="79"/>
        <v>1021.77320237301</v>
      </c>
      <c r="FM100" s="178">
        <v>223.18378608468993</v>
      </c>
      <c r="FN100" s="178">
        <v>195.67974442072693</v>
      </c>
      <c r="FO100" t="s">
        <v>222</v>
      </c>
      <c r="FP100" t="s">
        <v>223</v>
      </c>
      <c r="FQ100" s="144" t="s">
        <v>166</v>
      </c>
      <c r="FR100" s="144" t="s">
        <v>166</v>
      </c>
      <c r="FS100" s="144" t="s">
        <v>166</v>
      </c>
      <c r="FT100" s="144" t="s">
        <v>166</v>
      </c>
      <c r="FU100" s="144" t="s">
        <v>166</v>
      </c>
      <c r="FV100" s="144" t="s">
        <v>166</v>
      </c>
      <c r="FW100" s="144" t="s">
        <v>166</v>
      </c>
      <c r="FX100" s="144" t="s">
        <v>166</v>
      </c>
      <c r="FY100" s="144" t="s">
        <v>166</v>
      </c>
      <c r="FZ100" s="144" t="s">
        <v>166</v>
      </c>
      <c r="GA100" s="144" t="s">
        <v>166</v>
      </c>
      <c r="GB100" s="144" t="s">
        <v>166</v>
      </c>
      <c r="GC100" s="158" t="s">
        <v>362</v>
      </c>
    </row>
    <row r="101" spans="1:185" ht="16">
      <c r="A101" s="140" t="s">
        <v>162</v>
      </c>
      <c r="B101" s="143" t="s">
        <v>163</v>
      </c>
      <c r="C101" s="140" t="s">
        <v>164</v>
      </c>
      <c r="D101" s="140" t="s">
        <v>165</v>
      </c>
      <c r="E101" s="140">
        <v>2020</v>
      </c>
      <c r="F101" t="s">
        <v>184</v>
      </c>
      <c r="G101" s="139">
        <v>38781.076024973518</v>
      </c>
      <c r="H101" s="147">
        <f t="shared" ref="H101" si="102">0.0083*G101^(0.9482)</f>
        <v>186.21190316195211</v>
      </c>
      <c r="I101" s="147">
        <f t="shared" si="67"/>
        <v>186.21190316195211</v>
      </c>
      <c r="J101" s="144">
        <v>893.23335022550896</v>
      </c>
      <c r="K101" s="144">
        <v>156.40132994540113</v>
      </c>
      <c r="L101" s="144">
        <v>157.318079388461</v>
      </c>
      <c r="M101" t="b">
        <v>1</v>
      </c>
      <c r="N101">
        <v>3</v>
      </c>
      <c r="O101" s="140" t="s">
        <v>185</v>
      </c>
      <c r="P101" s="140" t="s">
        <v>166</v>
      </c>
      <c r="Q101" s="140" t="s">
        <v>166</v>
      </c>
      <c r="R101" s="140" t="s">
        <v>166</v>
      </c>
      <c r="S101" s="140" t="b">
        <v>1</v>
      </c>
      <c r="T101" s="140" t="b">
        <v>0</v>
      </c>
      <c r="U101" s="140" t="s">
        <v>166</v>
      </c>
      <c r="V101" s="140" t="b">
        <v>0</v>
      </c>
      <c r="W101" s="140" t="b">
        <v>0</v>
      </c>
      <c r="X101" s="140" t="s">
        <v>580</v>
      </c>
      <c r="Y101" s="148" t="s">
        <v>186</v>
      </c>
      <c r="Z101" t="s">
        <v>184</v>
      </c>
      <c r="AA101" s="149">
        <v>865</v>
      </c>
      <c r="AB101" s="149" t="s">
        <v>233</v>
      </c>
      <c r="AC101" s="149">
        <v>4</v>
      </c>
      <c r="AD101" s="149">
        <v>4</v>
      </c>
      <c r="AE101">
        <v>8</v>
      </c>
      <c r="AF101">
        <v>15</v>
      </c>
      <c r="AG101" s="150">
        <v>32.08</v>
      </c>
      <c r="AH101" t="s">
        <v>166</v>
      </c>
      <c r="AI101" t="s">
        <v>166</v>
      </c>
      <c r="AJ101" t="s">
        <v>253</v>
      </c>
      <c r="AK101">
        <v>18.440300000000001</v>
      </c>
      <c r="AL101">
        <v>-179.5558</v>
      </c>
      <c r="AM101" s="163">
        <v>11.570254325866699</v>
      </c>
      <c r="AN101" t="s">
        <v>166</v>
      </c>
      <c r="AO101">
        <v>-1530</v>
      </c>
      <c r="AP101">
        <v>-1400</v>
      </c>
      <c r="AQ101" t="s">
        <v>254</v>
      </c>
      <c r="AR101" t="s">
        <v>166</v>
      </c>
      <c r="AS101" s="150">
        <v>38.781076024973515</v>
      </c>
      <c r="AT101" t="s">
        <v>166</v>
      </c>
      <c r="AU101" t="s">
        <v>166</v>
      </c>
      <c r="AV101" t="s">
        <v>166</v>
      </c>
      <c r="AW101" t="s">
        <v>255</v>
      </c>
      <c r="AX101" t="s">
        <v>256</v>
      </c>
      <c r="AY101" t="s">
        <v>166</v>
      </c>
      <c r="AZ101" t="s">
        <v>166</v>
      </c>
      <c r="BA101" t="s">
        <v>166</v>
      </c>
      <c r="BB101" t="s">
        <v>166</v>
      </c>
      <c r="BC101" t="s">
        <v>166</v>
      </c>
      <c r="BD101" t="s">
        <v>166</v>
      </c>
      <c r="BE101" t="s">
        <v>166</v>
      </c>
      <c r="BF101" t="s">
        <v>166</v>
      </c>
      <c r="BG101" s="151" t="s">
        <v>267</v>
      </c>
      <c r="BH101" s="149" t="s">
        <v>192</v>
      </c>
      <c r="BI101" t="s">
        <v>166</v>
      </c>
      <c r="BJ101" s="152" t="s">
        <v>166</v>
      </c>
      <c r="BK101" t="s">
        <v>269</v>
      </c>
      <c r="BL101" t="s">
        <v>194</v>
      </c>
      <c r="BM101" t="s">
        <v>195</v>
      </c>
      <c r="BN101" t="s">
        <v>166</v>
      </c>
      <c r="BO101" t="s">
        <v>166</v>
      </c>
      <c r="BP101" t="s">
        <v>166</v>
      </c>
      <c r="BQ101" s="150">
        <v>15.160373951082828</v>
      </c>
      <c r="BR101" t="s">
        <v>196</v>
      </c>
      <c r="BS101" s="150">
        <v>0.19045774304333907</v>
      </c>
      <c r="BT101">
        <v>0.88</v>
      </c>
      <c r="BU101" t="s">
        <v>197</v>
      </c>
      <c r="BV101" t="s">
        <v>166</v>
      </c>
      <c r="BW101">
        <v>1.748</v>
      </c>
      <c r="BX101" t="s">
        <v>197</v>
      </c>
      <c r="BY101" t="s">
        <v>166</v>
      </c>
      <c r="BZ101" t="s">
        <v>388</v>
      </c>
      <c r="CA101" t="s">
        <v>360</v>
      </c>
      <c r="CB101" s="150">
        <f t="shared" si="78"/>
        <v>15.089129076952888</v>
      </c>
      <c r="CC101" t="s">
        <v>196</v>
      </c>
      <c r="CD101" s="150">
        <v>0.19045774304333907</v>
      </c>
      <c r="CE101" t="s">
        <v>199</v>
      </c>
      <c r="CF101" t="s">
        <v>166</v>
      </c>
      <c r="CG101" t="s">
        <v>200</v>
      </c>
      <c r="CH101" t="s">
        <v>166</v>
      </c>
      <c r="CI101" t="s">
        <v>166</v>
      </c>
      <c r="CJ101" s="139">
        <v>35.965456163762688</v>
      </c>
      <c r="CK101" t="s">
        <v>201</v>
      </c>
      <c r="CL101">
        <v>2</v>
      </c>
      <c r="CM101">
        <v>2</v>
      </c>
      <c r="CN101" t="s">
        <v>166</v>
      </c>
      <c r="CO101" s="139">
        <v>4.13</v>
      </c>
      <c r="CP101" t="s">
        <v>166</v>
      </c>
      <c r="CQ101" t="s">
        <v>166</v>
      </c>
      <c r="CR101" t="s">
        <v>166</v>
      </c>
      <c r="CS101" s="153" t="s">
        <v>202</v>
      </c>
      <c r="CT101" t="s">
        <v>203</v>
      </c>
      <c r="CU101">
        <v>2.2000000000000002</v>
      </c>
      <c r="CV101" t="s">
        <v>204</v>
      </c>
      <c r="CW101" t="s">
        <v>166</v>
      </c>
      <c r="CX101" t="s">
        <v>166</v>
      </c>
      <c r="CY101" t="s">
        <v>166</v>
      </c>
      <c r="CZ101" t="s">
        <v>166</v>
      </c>
      <c r="DA101" s="154" t="s">
        <v>166</v>
      </c>
      <c r="DB101" t="s">
        <v>166</v>
      </c>
      <c r="DC101" t="s">
        <v>166</v>
      </c>
      <c r="DD101" t="s">
        <v>166</v>
      </c>
      <c r="DE101" t="s">
        <v>166</v>
      </c>
      <c r="DF101" t="s">
        <v>205</v>
      </c>
      <c r="DG101">
        <v>35</v>
      </c>
      <c r="DH101" t="s">
        <v>201</v>
      </c>
      <c r="DI101">
        <v>1</v>
      </c>
      <c r="DJ101" t="s">
        <v>206</v>
      </c>
      <c r="DK101">
        <v>17</v>
      </c>
      <c r="DL101" t="s">
        <v>166</v>
      </c>
      <c r="DM101" t="s">
        <v>166</v>
      </c>
      <c r="DN101" t="s">
        <v>207</v>
      </c>
      <c r="DO101">
        <v>38</v>
      </c>
      <c r="DP101" t="s">
        <v>208</v>
      </c>
      <c r="DQ101">
        <v>3</v>
      </c>
      <c r="DR101" t="s">
        <v>209</v>
      </c>
      <c r="DS101" t="s">
        <v>166</v>
      </c>
      <c r="DT101" t="s">
        <v>166</v>
      </c>
      <c r="DU101" t="s">
        <v>166</v>
      </c>
      <c r="DV101" t="s">
        <v>166</v>
      </c>
      <c r="DW101">
        <v>432.6</v>
      </c>
      <c r="DX101" t="s">
        <v>166</v>
      </c>
      <c r="DY101" t="s">
        <v>166</v>
      </c>
      <c r="DZ101" t="s">
        <v>210</v>
      </c>
      <c r="EA101" t="s">
        <v>361</v>
      </c>
      <c r="EB101" t="s">
        <v>212</v>
      </c>
      <c r="EC101" t="s">
        <v>166</v>
      </c>
      <c r="ED101" t="s">
        <v>213</v>
      </c>
      <c r="EE101" s="155" t="s">
        <v>214</v>
      </c>
      <c r="EF101" s="155" t="s">
        <v>214</v>
      </c>
      <c r="EG101">
        <v>1.0271999999999999</v>
      </c>
      <c r="EH101" t="s">
        <v>215</v>
      </c>
      <c r="EI101" t="s">
        <v>215</v>
      </c>
      <c r="EJ101" t="s">
        <v>216</v>
      </c>
      <c r="EK101" t="s">
        <v>215</v>
      </c>
      <c r="EL101" t="s">
        <v>215</v>
      </c>
      <c r="EM101" t="s">
        <v>217</v>
      </c>
      <c r="EN101" s="156" t="s">
        <v>214</v>
      </c>
      <c r="EO101" s="156" t="s">
        <v>214</v>
      </c>
      <c r="EP101" s="156" t="s">
        <v>214</v>
      </c>
      <c r="EQ101" s="156" t="s">
        <v>214</v>
      </c>
      <c r="ET101" t="s">
        <v>218</v>
      </c>
      <c r="EU101" t="s">
        <v>219</v>
      </c>
      <c r="EV101" t="s">
        <v>213</v>
      </c>
      <c r="EW101" t="s">
        <v>166</v>
      </c>
      <c r="EX101" t="s">
        <v>166</v>
      </c>
      <c r="EY101" t="s">
        <v>166</v>
      </c>
      <c r="EZ101" t="s">
        <v>166</v>
      </c>
      <c r="FA101" s="157">
        <v>6.5</v>
      </c>
      <c r="FB101" t="s">
        <v>220</v>
      </c>
      <c r="FC101" s="157">
        <v>1</v>
      </c>
      <c r="FD101" s="157">
        <v>1</v>
      </c>
      <c r="FE101" s="177">
        <v>7.7060420246884096</v>
      </c>
      <c r="FF101" t="s">
        <v>221</v>
      </c>
      <c r="FG101" s="177">
        <v>2.9231734542520371E-2</v>
      </c>
      <c r="FH101" s="177">
        <v>2.8846628196829371E-2</v>
      </c>
      <c r="FI101" s="178">
        <v>1004.6357410382601</v>
      </c>
      <c r="FK101" t="s">
        <v>166</v>
      </c>
      <c r="FL101" s="144">
        <f t="shared" si="79"/>
        <v>1004.6357410382601</v>
      </c>
      <c r="FM101" s="178">
        <v>177.90962455717988</v>
      </c>
      <c r="FN101" s="178">
        <v>162.57854430333316</v>
      </c>
      <c r="FO101" t="s">
        <v>222</v>
      </c>
      <c r="FP101" t="s">
        <v>223</v>
      </c>
      <c r="FQ101" s="144" t="s">
        <v>166</v>
      </c>
      <c r="FR101" s="144" t="s">
        <v>166</v>
      </c>
      <c r="FS101" s="144" t="s">
        <v>166</v>
      </c>
      <c r="FT101" s="144" t="s">
        <v>166</v>
      </c>
      <c r="FU101" s="144" t="s">
        <v>166</v>
      </c>
      <c r="FV101" s="144" t="s">
        <v>166</v>
      </c>
      <c r="FW101" s="144" t="s">
        <v>166</v>
      </c>
      <c r="FX101" s="144" t="s">
        <v>166</v>
      </c>
      <c r="FY101" s="144" t="s">
        <v>166</v>
      </c>
      <c r="FZ101" s="144" t="s">
        <v>166</v>
      </c>
      <c r="GA101" s="144" t="s">
        <v>166</v>
      </c>
      <c r="GB101" s="144" t="s">
        <v>166</v>
      </c>
      <c r="GC101" s="158" t="s">
        <v>362</v>
      </c>
    </row>
    <row r="102" spans="1:185" ht="16">
      <c r="A102" s="140" t="s">
        <v>162</v>
      </c>
      <c r="B102" s="143" t="s">
        <v>163</v>
      </c>
      <c r="C102" s="140" t="s">
        <v>164</v>
      </c>
      <c r="D102" s="140" t="s">
        <v>165</v>
      </c>
      <c r="E102" s="140">
        <v>2020</v>
      </c>
      <c r="F102" t="s">
        <v>184</v>
      </c>
      <c r="G102" s="139">
        <v>38781.076024973518</v>
      </c>
      <c r="H102" s="147">
        <f t="shared" ref="H102" si="103">0.0083*G102^(0.9482)</f>
        <v>186.21190316195211</v>
      </c>
      <c r="I102" s="147">
        <f t="shared" si="67"/>
        <v>186.21190316195211</v>
      </c>
      <c r="J102" s="144">
        <v>887.00646628929007</v>
      </c>
      <c r="K102" s="144">
        <v>169.96647183979985</v>
      </c>
      <c r="L102" s="144">
        <v>153.24664725448815</v>
      </c>
      <c r="M102" t="b">
        <v>1</v>
      </c>
      <c r="N102">
        <v>3</v>
      </c>
      <c r="O102" s="140" t="s">
        <v>185</v>
      </c>
      <c r="P102" s="140" t="s">
        <v>166</v>
      </c>
      <c r="Q102" s="140" t="s">
        <v>166</v>
      </c>
      <c r="R102" s="140" t="s">
        <v>166</v>
      </c>
      <c r="S102" s="140" t="b">
        <v>1</v>
      </c>
      <c r="T102" s="140" t="b">
        <v>0</v>
      </c>
      <c r="U102" s="140" t="s">
        <v>166</v>
      </c>
      <c r="V102" s="140" t="b">
        <v>0</v>
      </c>
      <c r="W102" s="140" t="b">
        <v>0</v>
      </c>
      <c r="X102" s="140" t="s">
        <v>580</v>
      </c>
      <c r="Y102" s="148" t="s">
        <v>186</v>
      </c>
      <c r="Z102" t="s">
        <v>184</v>
      </c>
      <c r="AA102" s="149">
        <v>865</v>
      </c>
      <c r="AB102" s="149" t="s">
        <v>233</v>
      </c>
      <c r="AC102" s="149">
        <v>4</v>
      </c>
      <c r="AD102" s="149">
        <v>4</v>
      </c>
      <c r="AE102">
        <v>8</v>
      </c>
      <c r="AF102">
        <v>15</v>
      </c>
      <c r="AG102" s="150">
        <v>32.08</v>
      </c>
      <c r="AH102" t="s">
        <v>166</v>
      </c>
      <c r="AI102" t="s">
        <v>166</v>
      </c>
      <c r="AJ102" t="s">
        <v>253</v>
      </c>
      <c r="AK102">
        <v>18.440300000000001</v>
      </c>
      <c r="AL102">
        <v>-179.5558</v>
      </c>
      <c r="AM102" s="163">
        <v>11.570254325866699</v>
      </c>
      <c r="AN102" t="s">
        <v>166</v>
      </c>
      <c r="AO102">
        <v>-1530</v>
      </c>
      <c r="AP102">
        <v>-1400</v>
      </c>
      <c r="AQ102" t="s">
        <v>254</v>
      </c>
      <c r="AR102" t="s">
        <v>166</v>
      </c>
      <c r="AS102" s="150">
        <v>38.781076024973515</v>
      </c>
      <c r="AT102" t="s">
        <v>166</v>
      </c>
      <c r="AU102" t="s">
        <v>166</v>
      </c>
      <c r="AV102" t="s">
        <v>166</v>
      </c>
      <c r="AW102" t="s">
        <v>255</v>
      </c>
      <c r="AX102" t="s">
        <v>256</v>
      </c>
      <c r="AY102" t="s">
        <v>166</v>
      </c>
      <c r="AZ102" t="s">
        <v>166</v>
      </c>
      <c r="BA102" t="s">
        <v>166</v>
      </c>
      <c r="BB102" t="s">
        <v>166</v>
      </c>
      <c r="BC102" t="s">
        <v>166</v>
      </c>
      <c r="BD102" t="s">
        <v>166</v>
      </c>
      <c r="BE102" t="s">
        <v>166</v>
      </c>
      <c r="BF102" t="s">
        <v>166</v>
      </c>
      <c r="BG102" s="151" t="s">
        <v>229</v>
      </c>
      <c r="BH102" s="149" t="s">
        <v>192</v>
      </c>
      <c r="BI102" t="s">
        <v>166</v>
      </c>
      <c r="BJ102" s="152" t="s">
        <v>166</v>
      </c>
      <c r="BK102" t="s">
        <v>270</v>
      </c>
      <c r="BL102" t="s">
        <v>194</v>
      </c>
      <c r="BM102" t="s">
        <v>195</v>
      </c>
      <c r="BN102" t="s">
        <v>166</v>
      </c>
      <c r="BO102" t="s">
        <v>166</v>
      </c>
      <c r="BP102" t="s">
        <v>166</v>
      </c>
      <c r="BQ102" s="150">
        <v>15.177396891684847</v>
      </c>
      <c r="BR102" t="s">
        <v>196</v>
      </c>
      <c r="BS102" s="150">
        <v>0.21314736214490443</v>
      </c>
      <c r="BT102">
        <v>0.88</v>
      </c>
      <c r="BU102" t="s">
        <v>197</v>
      </c>
      <c r="BV102" t="s">
        <v>166</v>
      </c>
      <c r="BW102">
        <v>1.748</v>
      </c>
      <c r="BX102" t="s">
        <v>197</v>
      </c>
      <c r="BY102" t="s">
        <v>166</v>
      </c>
      <c r="BZ102" t="s">
        <v>389</v>
      </c>
      <c r="CA102" t="s">
        <v>360</v>
      </c>
      <c r="CB102" s="150">
        <f t="shared" si="78"/>
        <v>15.104109264682664</v>
      </c>
      <c r="CC102" t="s">
        <v>196</v>
      </c>
      <c r="CD102" s="150">
        <v>0.21314736214490443</v>
      </c>
      <c r="CE102" t="s">
        <v>199</v>
      </c>
      <c r="CF102" t="s">
        <v>166</v>
      </c>
      <c r="CG102" t="s">
        <v>200</v>
      </c>
      <c r="CH102" t="s">
        <v>166</v>
      </c>
      <c r="CI102" t="s">
        <v>166</v>
      </c>
      <c r="CJ102" s="139">
        <v>35.981167751806538</v>
      </c>
      <c r="CK102" t="s">
        <v>201</v>
      </c>
      <c r="CL102">
        <v>2</v>
      </c>
      <c r="CM102">
        <v>2</v>
      </c>
      <c r="CN102" t="s">
        <v>166</v>
      </c>
      <c r="CO102" s="139">
        <v>4.1336590155416362</v>
      </c>
      <c r="CP102" t="s">
        <v>166</v>
      </c>
      <c r="CQ102" t="s">
        <v>166</v>
      </c>
      <c r="CR102" t="s">
        <v>166</v>
      </c>
      <c r="CS102" s="153" t="s">
        <v>202</v>
      </c>
      <c r="CT102" t="s">
        <v>203</v>
      </c>
      <c r="CU102">
        <v>2.2000000000000002</v>
      </c>
      <c r="CV102" t="s">
        <v>204</v>
      </c>
      <c r="CW102" t="s">
        <v>166</v>
      </c>
      <c r="CX102" t="s">
        <v>166</v>
      </c>
      <c r="CY102" t="s">
        <v>166</v>
      </c>
      <c r="CZ102" t="s">
        <v>166</v>
      </c>
      <c r="DA102" s="154" t="s">
        <v>166</v>
      </c>
      <c r="DB102" t="s">
        <v>166</v>
      </c>
      <c r="DC102" t="s">
        <v>166</v>
      </c>
      <c r="DD102" t="s">
        <v>166</v>
      </c>
      <c r="DE102" t="s">
        <v>166</v>
      </c>
      <c r="DF102" t="s">
        <v>205</v>
      </c>
      <c r="DG102">
        <v>35</v>
      </c>
      <c r="DH102" t="s">
        <v>201</v>
      </c>
      <c r="DI102">
        <v>1</v>
      </c>
      <c r="DJ102" t="s">
        <v>206</v>
      </c>
      <c r="DK102">
        <v>17</v>
      </c>
      <c r="DL102" t="s">
        <v>166</v>
      </c>
      <c r="DM102" t="s">
        <v>166</v>
      </c>
      <c r="DN102" t="s">
        <v>207</v>
      </c>
      <c r="DO102">
        <v>38</v>
      </c>
      <c r="DP102" t="s">
        <v>208</v>
      </c>
      <c r="DQ102">
        <v>3</v>
      </c>
      <c r="DR102" t="s">
        <v>209</v>
      </c>
      <c r="DS102" t="s">
        <v>166</v>
      </c>
      <c r="DT102" t="s">
        <v>166</v>
      </c>
      <c r="DU102" t="s">
        <v>166</v>
      </c>
      <c r="DV102" t="s">
        <v>166</v>
      </c>
      <c r="DW102">
        <v>432.6</v>
      </c>
      <c r="DX102" t="s">
        <v>166</v>
      </c>
      <c r="DY102" t="s">
        <v>166</v>
      </c>
      <c r="DZ102" t="s">
        <v>210</v>
      </c>
      <c r="EA102" t="s">
        <v>361</v>
      </c>
      <c r="EB102" t="s">
        <v>212</v>
      </c>
      <c r="EC102" t="s">
        <v>166</v>
      </c>
      <c r="ED102" t="s">
        <v>213</v>
      </c>
      <c r="EE102" s="155" t="s">
        <v>214</v>
      </c>
      <c r="EF102" s="155" t="s">
        <v>214</v>
      </c>
      <c r="EG102">
        <v>1.0271999999999999</v>
      </c>
      <c r="EH102" t="s">
        <v>215</v>
      </c>
      <c r="EI102" t="s">
        <v>215</v>
      </c>
      <c r="EJ102" t="s">
        <v>216</v>
      </c>
      <c r="EK102" t="s">
        <v>215</v>
      </c>
      <c r="EL102" t="s">
        <v>215</v>
      </c>
      <c r="EM102" t="s">
        <v>217</v>
      </c>
      <c r="EN102" s="156" t="s">
        <v>214</v>
      </c>
      <c r="EO102" s="156" t="s">
        <v>214</v>
      </c>
      <c r="EP102" s="156" t="s">
        <v>214</v>
      </c>
      <c r="EQ102" s="156" t="s">
        <v>214</v>
      </c>
      <c r="ET102" t="s">
        <v>218</v>
      </c>
      <c r="EU102" t="s">
        <v>219</v>
      </c>
      <c r="EV102" t="s">
        <v>213</v>
      </c>
      <c r="EW102" t="s">
        <v>166</v>
      </c>
      <c r="EX102" t="s">
        <v>166</v>
      </c>
      <c r="EY102" t="s">
        <v>166</v>
      </c>
      <c r="EZ102" t="s">
        <v>166</v>
      </c>
      <c r="FA102" s="157">
        <v>6.5</v>
      </c>
      <c r="FB102" t="s">
        <v>220</v>
      </c>
      <c r="FC102" s="157">
        <v>1</v>
      </c>
      <c r="FD102" s="157">
        <v>1</v>
      </c>
      <c r="FE102" s="177">
        <v>7.7070674749112102</v>
      </c>
      <c r="FF102" t="s">
        <v>221</v>
      </c>
      <c r="FG102" s="177">
        <v>3.0464233562569554E-2</v>
      </c>
      <c r="FH102" s="177">
        <v>2.9898240751290217E-2</v>
      </c>
      <c r="FI102" s="178">
        <v>998.863744482995</v>
      </c>
      <c r="FK102" t="s">
        <v>166</v>
      </c>
      <c r="FL102" s="144">
        <f t="shared" si="79"/>
        <v>998.863744482995</v>
      </c>
      <c r="FM102" s="178">
        <v>182.73064812331506</v>
      </c>
      <c r="FN102" s="178">
        <v>151.22635020777795</v>
      </c>
      <c r="FO102" t="s">
        <v>222</v>
      </c>
      <c r="FP102" t="s">
        <v>223</v>
      </c>
      <c r="FQ102" s="144" t="s">
        <v>166</v>
      </c>
      <c r="FR102" s="144" t="s">
        <v>166</v>
      </c>
      <c r="FS102" s="144" t="s">
        <v>166</v>
      </c>
      <c r="FT102" s="144" t="s">
        <v>166</v>
      </c>
      <c r="FU102" s="144" t="s">
        <v>166</v>
      </c>
      <c r="FV102" s="144" t="s">
        <v>166</v>
      </c>
      <c r="FW102" s="144" t="s">
        <v>166</v>
      </c>
      <c r="FX102" s="144" t="s">
        <v>166</v>
      </c>
      <c r="FY102" s="144" t="s">
        <v>166</v>
      </c>
      <c r="FZ102" s="144" t="s">
        <v>166</v>
      </c>
      <c r="GA102" s="144" t="s">
        <v>166</v>
      </c>
      <c r="GB102" s="144" t="s">
        <v>166</v>
      </c>
      <c r="GC102" s="158" t="s">
        <v>362</v>
      </c>
    </row>
    <row r="103" spans="1:185" ht="16">
      <c r="A103" s="140" t="s">
        <v>162</v>
      </c>
      <c r="B103" s="143" t="s">
        <v>163</v>
      </c>
      <c r="C103" s="140" t="s">
        <v>164</v>
      </c>
      <c r="D103" s="140" t="s">
        <v>165</v>
      </c>
      <c r="E103" s="140">
        <v>2020</v>
      </c>
      <c r="F103" t="s">
        <v>184</v>
      </c>
      <c r="G103" s="139">
        <v>38781.076024973518</v>
      </c>
      <c r="H103" s="147">
        <f t="shared" ref="H103" si="104">0.0083*G103^(0.9482)</f>
        <v>186.21190316195211</v>
      </c>
      <c r="I103" s="147">
        <f t="shared" si="67"/>
        <v>186.21190316195211</v>
      </c>
      <c r="J103" s="144">
        <v>950.08859292076306</v>
      </c>
      <c r="K103" s="144">
        <v>207.79335577938707</v>
      </c>
      <c r="L103" s="144">
        <v>172.85668168485506</v>
      </c>
      <c r="M103" t="b">
        <v>1</v>
      </c>
      <c r="N103">
        <v>3</v>
      </c>
      <c r="O103" s="140" t="s">
        <v>185</v>
      </c>
      <c r="P103" s="140" t="s">
        <v>166</v>
      </c>
      <c r="Q103" s="140" t="s">
        <v>166</v>
      </c>
      <c r="R103" s="140" t="s">
        <v>166</v>
      </c>
      <c r="S103" s="140" t="b">
        <v>1</v>
      </c>
      <c r="T103" s="140" t="b">
        <v>0</v>
      </c>
      <c r="U103" s="140" t="s">
        <v>166</v>
      </c>
      <c r="V103" s="140" t="b">
        <v>0</v>
      </c>
      <c r="W103" s="140" t="b">
        <v>0</v>
      </c>
      <c r="X103" s="140" t="s">
        <v>580</v>
      </c>
      <c r="Y103" s="148" t="s">
        <v>186</v>
      </c>
      <c r="Z103" t="s">
        <v>184</v>
      </c>
      <c r="AA103" s="149">
        <v>865</v>
      </c>
      <c r="AB103" s="149" t="s">
        <v>233</v>
      </c>
      <c r="AC103" s="149">
        <v>4</v>
      </c>
      <c r="AD103" s="149">
        <v>4</v>
      </c>
      <c r="AE103">
        <v>8</v>
      </c>
      <c r="AF103">
        <v>15</v>
      </c>
      <c r="AG103" s="150">
        <v>32.08</v>
      </c>
      <c r="AH103" t="s">
        <v>166</v>
      </c>
      <c r="AI103" t="s">
        <v>166</v>
      </c>
      <c r="AJ103" t="s">
        <v>253</v>
      </c>
      <c r="AK103">
        <v>18.440300000000001</v>
      </c>
      <c r="AL103">
        <v>-179.5558</v>
      </c>
      <c r="AM103" s="163">
        <v>11.570254325866699</v>
      </c>
      <c r="AN103" t="s">
        <v>166</v>
      </c>
      <c r="AO103">
        <v>-1530</v>
      </c>
      <c r="AP103">
        <v>-1400</v>
      </c>
      <c r="AQ103" t="s">
        <v>254</v>
      </c>
      <c r="AR103" t="s">
        <v>166</v>
      </c>
      <c r="AS103" s="150">
        <v>38.781076024973515</v>
      </c>
      <c r="AT103" t="s">
        <v>166</v>
      </c>
      <c r="AU103" t="s">
        <v>166</v>
      </c>
      <c r="AV103" t="s">
        <v>166</v>
      </c>
      <c r="AW103" t="s">
        <v>255</v>
      </c>
      <c r="AX103" t="s">
        <v>256</v>
      </c>
      <c r="AY103" t="s">
        <v>166</v>
      </c>
      <c r="AZ103" t="s">
        <v>166</v>
      </c>
      <c r="BA103" t="s">
        <v>166</v>
      </c>
      <c r="BB103" t="s">
        <v>166</v>
      </c>
      <c r="BC103" t="s">
        <v>166</v>
      </c>
      <c r="BD103" t="s">
        <v>166</v>
      </c>
      <c r="BE103" t="s">
        <v>166</v>
      </c>
      <c r="BF103" t="s">
        <v>166</v>
      </c>
      <c r="BG103" s="151" t="s">
        <v>271</v>
      </c>
      <c r="BH103" s="149" t="s">
        <v>263</v>
      </c>
      <c r="BI103" t="s">
        <v>166</v>
      </c>
      <c r="BJ103" s="152" t="s">
        <v>166</v>
      </c>
      <c r="BK103" t="s">
        <v>272</v>
      </c>
      <c r="BL103" t="s">
        <v>194</v>
      </c>
      <c r="BM103" t="s">
        <v>195</v>
      </c>
      <c r="BN103" t="s">
        <v>166</v>
      </c>
      <c r="BO103" t="s">
        <v>166</v>
      </c>
      <c r="BP103" t="s">
        <v>166</v>
      </c>
      <c r="BQ103" s="150">
        <v>15.061289786641341</v>
      </c>
      <c r="BR103" t="s">
        <v>196</v>
      </c>
      <c r="BS103" s="150">
        <v>0.25927962221264073</v>
      </c>
      <c r="BT103">
        <v>0.88</v>
      </c>
      <c r="BU103" t="s">
        <v>197</v>
      </c>
      <c r="BV103" t="s">
        <v>166</v>
      </c>
      <c r="BW103">
        <v>1.748</v>
      </c>
      <c r="BX103" t="s">
        <v>197</v>
      </c>
      <c r="BY103" t="s">
        <v>166</v>
      </c>
      <c r="BZ103" t="s">
        <v>390</v>
      </c>
      <c r="CA103" t="s">
        <v>360</v>
      </c>
      <c r="CB103" s="150">
        <f t="shared" si="78"/>
        <v>15.001935012244379</v>
      </c>
      <c r="CC103" t="s">
        <v>196</v>
      </c>
      <c r="CD103" s="150">
        <v>0.25927962221264073</v>
      </c>
      <c r="CE103" t="s">
        <v>199</v>
      </c>
      <c r="CF103" t="s">
        <v>166</v>
      </c>
      <c r="CG103" t="s">
        <v>200</v>
      </c>
      <c r="CH103" t="s">
        <v>166</v>
      </c>
      <c r="CI103" t="s">
        <v>166</v>
      </c>
      <c r="CJ103" s="139">
        <v>36.24195196683781</v>
      </c>
      <c r="CK103" t="s">
        <v>201</v>
      </c>
      <c r="CL103">
        <v>2</v>
      </c>
      <c r="CM103">
        <v>2</v>
      </c>
      <c r="CN103" t="s">
        <v>166</v>
      </c>
      <c r="CO103" s="139">
        <v>4.1948677609946898</v>
      </c>
      <c r="CP103" t="s">
        <v>166</v>
      </c>
      <c r="CQ103" t="s">
        <v>166</v>
      </c>
      <c r="CR103" t="s">
        <v>166</v>
      </c>
      <c r="CS103" s="153" t="s">
        <v>202</v>
      </c>
      <c r="CT103" t="s">
        <v>203</v>
      </c>
      <c r="CU103">
        <v>2.2000000000000002</v>
      </c>
      <c r="CV103" t="s">
        <v>204</v>
      </c>
      <c r="CW103" t="s">
        <v>166</v>
      </c>
      <c r="CX103" t="s">
        <v>166</v>
      </c>
      <c r="CY103" t="s">
        <v>166</v>
      </c>
      <c r="CZ103" t="s">
        <v>166</v>
      </c>
      <c r="DA103" s="154" t="s">
        <v>166</v>
      </c>
      <c r="DB103" t="s">
        <v>166</v>
      </c>
      <c r="DC103" t="s">
        <v>166</v>
      </c>
      <c r="DD103" t="s">
        <v>166</v>
      </c>
      <c r="DE103" t="s">
        <v>166</v>
      </c>
      <c r="DF103" t="s">
        <v>205</v>
      </c>
      <c r="DG103">
        <v>35</v>
      </c>
      <c r="DH103" t="s">
        <v>201</v>
      </c>
      <c r="DI103">
        <v>1</v>
      </c>
      <c r="DJ103" t="s">
        <v>206</v>
      </c>
      <c r="DK103">
        <v>17</v>
      </c>
      <c r="DL103" t="s">
        <v>166</v>
      </c>
      <c r="DM103" t="s">
        <v>166</v>
      </c>
      <c r="DN103" t="s">
        <v>207</v>
      </c>
      <c r="DO103">
        <v>38</v>
      </c>
      <c r="DP103" t="s">
        <v>208</v>
      </c>
      <c r="DQ103">
        <v>3</v>
      </c>
      <c r="DR103" t="s">
        <v>209</v>
      </c>
      <c r="DS103" t="s">
        <v>166</v>
      </c>
      <c r="DT103" t="s">
        <v>166</v>
      </c>
      <c r="DU103" t="s">
        <v>166</v>
      </c>
      <c r="DV103" t="s">
        <v>166</v>
      </c>
      <c r="DW103">
        <v>432.6</v>
      </c>
      <c r="DX103" t="s">
        <v>166</v>
      </c>
      <c r="DY103" t="s">
        <v>166</v>
      </c>
      <c r="DZ103" t="s">
        <v>210</v>
      </c>
      <c r="EA103" t="s">
        <v>361</v>
      </c>
      <c r="EB103" t="s">
        <v>212</v>
      </c>
      <c r="EC103" t="s">
        <v>166</v>
      </c>
      <c r="ED103" t="s">
        <v>213</v>
      </c>
      <c r="EE103" s="155" t="s">
        <v>214</v>
      </c>
      <c r="EF103" s="155" t="s">
        <v>214</v>
      </c>
      <c r="EG103">
        <v>1.0271999999999999</v>
      </c>
      <c r="EH103" t="s">
        <v>215</v>
      </c>
      <c r="EI103" t="s">
        <v>215</v>
      </c>
      <c r="EJ103" t="s">
        <v>216</v>
      </c>
      <c r="EK103" t="s">
        <v>215</v>
      </c>
      <c r="EL103" t="s">
        <v>215</v>
      </c>
      <c r="EM103" t="s">
        <v>217</v>
      </c>
      <c r="EN103" s="156" t="s">
        <v>214</v>
      </c>
      <c r="EO103" s="156" t="s">
        <v>214</v>
      </c>
      <c r="EP103" s="156" t="s">
        <v>214</v>
      </c>
      <c r="EQ103" s="156" t="s">
        <v>214</v>
      </c>
      <c r="ET103" t="s">
        <v>218</v>
      </c>
      <c r="EU103" t="s">
        <v>219</v>
      </c>
      <c r="EV103" t="s">
        <v>213</v>
      </c>
      <c r="EW103" t="s">
        <v>166</v>
      </c>
      <c r="EX103" t="s">
        <v>166</v>
      </c>
      <c r="EY103" t="s">
        <v>166</v>
      </c>
      <c r="EZ103" t="s">
        <v>166</v>
      </c>
      <c r="FA103" s="157">
        <v>6.5</v>
      </c>
      <c r="FB103" t="s">
        <v>220</v>
      </c>
      <c r="FC103" s="157">
        <v>1</v>
      </c>
      <c r="FD103" s="157">
        <v>1</v>
      </c>
      <c r="FE103" s="177">
        <v>7.6882750341727402</v>
      </c>
      <c r="FF103" t="s">
        <v>221</v>
      </c>
      <c r="FG103" s="177">
        <v>3.4935138193380233E-2</v>
      </c>
      <c r="FH103" s="177">
        <v>3.5921234004030467E-2</v>
      </c>
      <c r="FI103" s="178">
        <v>1079.9265940173102</v>
      </c>
      <c r="FK103" t="s">
        <v>166</v>
      </c>
      <c r="FL103" s="144">
        <f t="shared" si="79"/>
        <v>1079.9265940173102</v>
      </c>
      <c r="FM103" s="178">
        <v>226.0591276479297</v>
      </c>
      <c r="FN103" s="178">
        <v>182.56967510907816</v>
      </c>
      <c r="FO103" t="s">
        <v>222</v>
      </c>
      <c r="FP103" t="s">
        <v>223</v>
      </c>
      <c r="FQ103" s="144" t="s">
        <v>166</v>
      </c>
      <c r="FR103" s="144" t="s">
        <v>166</v>
      </c>
      <c r="FS103" s="144" t="s">
        <v>166</v>
      </c>
      <c r="FT103" s="144" t="s">
        <v>166</v>
      </c>
      <c r="FU103" s="144" t="s">
        <v>166</v>
      </c>
      <c r="FV103" s="144" t="s">
        <v>166</v>
      </c>
      <c r="FW103" s="144" t="s">
        <v>166</v>
      </c>
      <c r="FX103" s="144" t="s">
        <v>166</v>
      </c>
      <c r="FY103" s="144" t="s">
        <v>166</v>
      </c>
      <c r="FZ103" s="144" t="s">
        <v>166</v>
      </c>
      <c r="GA103" s="144" t="s">
        <v>166</v>
      </c>
      <c r="GB103" s="144" t="s">
        <v>166</v>
      </c>
      <c r="GC103" s="158" t="s">
        <v>362</v>
      </c>
    </row>
    <row r="104" spans="1:185" ht="16">
      <c r="A104" s="140" t="s">
        <v>162</v>
      </c>
      <c r="B104" s="143" t="s">
        <v>163</v>
      </c>
      <c r="C104" s="140" t="s">
        <v>164</v>
      </c>
      <c r="D104" s="140" t="s">
        <v>165</v>
      </c>
      <c r="E104" s="140">
        <v>2020</v>
      </c>
      <c r="F104" t="s">
        <v>184</v>
      </c>
      <c r="G104" s="139">
        <v>38781.076024973518</v>
      </c>
      <c r="H104" s="147">
        <f t="shared" ref="H104" si="105">0.0083*G104^(0.9482)</f>
        <v>186.21190316195211</v>
      </c>
      <c r="I104" s="147">
        <f t="shared" si="67"/>
        <v>186.21190316195211</v>
      </c>
      <c r="J104" s="144">
        <v>947.83722766744904</v>
      </c>
      <c r="K104" s="144">
        <v>191.91221854733089</v>
      </c>
      <c r="L104" s="144">
        <v>180.29985163450306</v>
      </c>
      <c r="M104" t="b">
        <v>1</v>
      </c>
      <c r="N104">
        <v>3</v>
      </c>
      <c r="O104" s="140" t="s">
        <v>185</v>
      </c>
      <c r="P104" s="140" t="s">
        <v>166</v>
      </c>
      <c r="Q104" s="140" t="s">
        <v>166</v>
      </c>
      <c r="R104" s="140" t="s">
        <v>166</v>
      </c>
      <c r="S104" s="140" t="b">
        <v>1</v>
      </c>
      <c r="T104" s="140" t="b">
        <v>0</v>
      </c>
      <c r="U104" s="140" t="s">
        <v>166</v>
      </c>
      <c r="V104" s="140" t="b">
        <v>0</v>
      </c>
      <c r="W104" s="140" t="b">
        <v>0</v>
      </c>
      <c r="X104" s="140" t="s">
        <v>580</v>
      </c>
      <c r="Y104" s="148" t="s">
        <v>186</v>
      </c>
      <c r="Z104" t="s">
        <v>184</v>
      </c>
      <c r="AA104" s="149">
        <v>865</v>
      </c>
      <c r="AB104" s="149" t="s">
        <v>233</v>
      </c>
      <c r="AC104" s="149">
        <v>4</v>
      </c>
      <c r="AD104" s="149">
        <v>4</v>
      </c>
      <c r="AE104">
        <v>8</v>
      </c>
      <c r="AF104">
        <v>15</v>
      </c>
      <c r="AG104" s="150">
        <v>32.08</v>
      </c>
      <c r="AH104" t="s">
        <v>166</v>
      </c>
      <c r="AI104" t="s">
        <v>166</v>
      </c>
      <c r="AJ104" t="s">
        <v>253</v>
      </c>
      <c r="AK104">
        <v>18.440300000000001</v>
      </c>
      <c r="AL104">
        <v>-179.5558</v>
      </c>
      <c r="AM104" s="163">
        <v>11.570254325866699</v>
      </c>
      <c r="AN104" t="s">
        <v>166</v>
      </c>
      <c r="AO104">
        <v>-1530</v>
      </c>
      <c r="AP104">
        <v>-1400</v>
      </c>
      <c r="AQ104" t="s">
        <v>254</v>
      </c>
      <c r="AR104" t="s">
        <v>166</v>
      </c>
      <c r="AS104" s="150">
        <v>38.781076024973515</v>
      </c>
      <c r="AT104" t="s">
        <v>166</v>
      </c>
      <c r="AU104" t="s">
        <v>166</v>
      </c>
      <c r="AV104" t="s">
        <v>166</v>
      </c>
      <c r="AW104" t="s">
        <v>255</v>
      </c>
      <c r="AX104" t="s">
        <v>256</v>
      </c>
      <c r="AY104" t="s">
        <v>166</v>
      </c>
      <c r="AZ104" t="s">
        <v>166</v>
      </c>
      <c r="BA104" t="s">
        <v>166</v>
      </c>
      <c r="BB104" t="s">
        <v>166</v>
      </c>
      <c r="BC104" t="s">
        <v>166</v>
      </c>
      <c r="BD104" t="s">
        <v>166</v>
      </c>
      <c r="BE104" t="s">
        <v>166</v>
      </c>
      <c r="BF104" t="s">
        <v>166</v>
      </c>
      <c r="BG104" s="151" t="s">
        <v>273</v>
      </c>
      <c r="BH104" s="149" t="s">
        <v>192</v>
      </c>
      <c r="BI104" t="s">
        <v>166</v>
      </c>
      <c r="BJ104" s="152" t="s">
        <v>166</v>
      </c>
      <c r="BK104" t="s">
        <v>274</v>
      </c>
      <c r="BL104" t="s">
        <v>194</v>
      </c>
      <c r="BM104" t="s">
        <v>195</v>
      </c>
      <c r="BN104" t="s">
        <v>166</v>
      </c>
      <c r="BO104" t="s">
        <v>166</v>
      </c>
      <c r="BP104" t="s">
        <v>166</v>
      </c>
      <c r="BQ104" s="150">
        <v>15.029441314874751</v>
      </c>
      <c r="BR104" t="s">
        <v>196</v>
      </c>
      <c r="BS104" s="150">
        <v>0.290377573102302</v>
      </c>
      <c r="BT104">
        <v>0.88</v>
      </c>
      <c r="BU104" t="s">
        <v>197</v>
      </c>
      <c r="BV104" t="s">
        <v>166</v>
      </c>
      <c r="BW104">
        <v>1.748</v>
      </c>
      <c r="BX104" t="s">
        <v>197</v>
      </c>
      <c r="BY104" t="s">
        <v>166</v>
      </c>
      <c r="BZ104" t="s">
        <v>391</v>
      </c>
      <c r="CA104" t="s">
        <v>360</v>
      </c>
      <c r="CB104" s="150">
        <f t="shared" si="78"/>
        <v>14.97390835708978</v>
      </c>
      <c r="CC104" t="s">
        <v>196</v>
      </c>
      <c r="CD104" s="150">
        <v>0.290377573102302</v>
      </c>
      <c r="CE104" t="s">
        <v>259</v>
      </c>
      <c r="CF104" t="s">
        <v>260</v>
      </c>
      <c r="CG104" t="s">
        <v>200</v>
      </c>
      <c r="CH104" t="s">
        <v>166</v>
      </c>
      <c r="CI104" t="s">
        <v>166</v>
      </c>
      <c r="CJ104" s="139">
        <v>34.876529741688508</v>
      </c>
      <c r="CK104" t="s">
        <v>201</v>
      </c>
      <c r="CL104">
        <v>2</v>
      </c>
      <c r="CM104">
        <v>2</v>
      </c>
      <c r="CN104" t="s">
        <v>166</v>
      </c>
      <c r="CO104" s="139">
        <v>3.8841383027305527</v>
      </c>
      <c r="CP104" t="s">
        <v>166</v>
      </c>
      <c r="CQ104" t="s">
        <v>166</v>
      </c>
      <c r="CR104" t="s">
        <v>166</v>
      </c>
      <c r="CS104" s="153" t="s">
        <v>202</v>
      </c>
      <c r="CT104" t="s">
        <v>203</v>
      </c>
      <c r="CU104">
        <v>2.2000000000000002</v>
      </c>
      <c r="CV104" t="s">
        <v>204</v>
      </c>
      <c r="CW104" t="s">
        <v>166</v>
      </c>
      <c r="CX104" t="s">
        <v>166</v>
      </c>
      <c r="CY104" t="s">
        <v>166</v>
      </c>
      <c r="CZ104" t="s">
        <v>166</v>
      </c>
      <c r="DA104" s="154" t="s">
        <v>166</v>
      </c>
      <c r="DB104" t="s">
        <v>166</v>
      </c>
      <c r="DC104" t="s">
        <v>166</v>
      </c>
      <c r="DD104" t="s">
        <v>166</v>
      </c>
      <c r="DE104" t="s">
        <v>166</v>
      </c>
      <c r="DF104" t="s">
        <v>205</v>
      </c>
      <c r="DG104">
        <v>35</v>
      </c>
      <c r="DH104" t="s">
        <v>201</v>
      </c>
      <c r="DI104">
        <v>1</v>
      </c>
      <c r="DJ104" t="s">
        <v>206</v>
      </c>
      <c r="DK104">
        <v>17</v>
      </c>
      <c r="DL104" t="s">
        <v>166</v>
      </c>
      <c r="DM104" t="s">
        <v>166</v>
      </c>
      <c r="DN104" t="s">
        <v>207</v>
      </c>
      <c r="DO104">
        <v>38</v>
      </c>
      <c r="DP104" t="s">
        <v>208</v>
      </c>
      <c r="DQ104">
        <v>3</v>
      </c>
      <c r="DR104" t="s">
        <v>209</v>
      </c>
      <c r="DS104" t="s">
        <v>166</v>
      </c>
      <c r="DT104" t="s">
        <v>166</v>
      </c>
      <c r="DU104" t="s">
        <v>166</v>
      </c>
      <c r="DV104" t="s">
        <v>166</v>
      </c>
      <c r="DW104">
        <v>432.6</v>
      </c>
      <c r="DX104" t="s">
        <v>166</v>
      </c>
      <c r="DY104" t="s">
        <v>166</v>
      </c>
      <c r="DZ104" t="s">
        <v>210</v>
      </c>
      <c r="EA104" t="s">
        <v>361</v>
      </c>
      <c r="EB104" t="s">
        <v>212</v>
      </c>
      <c r="EC104" t="s">
        <v>166</v>
      </c>
      <c r="ED104" t="s">
        <v>213</v>
      </c>
      <c r="EE104" s="155" t="s">
        <v>214</v>
      </c>
      <c r="EF104" s="155" t="s">
        <v>214</v>
      </c>
      <c r="EG104">
        <v>1.0271999999999999</v>
      </c>
      <c r="EH104" t="s">
        <v>215</v>
      </c>
      <c r="EI104" t="s">
        <v>215</v>
      </c>
      <c r="EJ104" t="s">
        <v>216</v>
      </c>
      <c r="EK104" t="s">
        <v>215</v>
      </c>
      <c r="EL104" t="s">
        <v>215</v>
      </c>
      <c r="EM104" t="s">
        <v>217</v>
      </c>
      <c r="EN104" s="156" t="s">
        <v>214</v>
      </c>
      <c r="EO104" s="156" t="s">
        <v>214</v>
      </c>
      <c r="EP104" s="156" t="s">
        <v>214</v>
      </c>
      <c r="EQ104" s="156" t="s">
        <v>214</v>
      </c>
      <c r="ET104" t="s">
        <v>218</v>
      </c>
      <c r="EU104" t="s">
        <v>219</v>
      </c>
      <c r="EV104" t="s">
        <v>213</v>
      </c>
      <c r="EW104" t="s">
        <v>166</v>
      </c>
      <c r="EX104" t="s">
        <v>166</v>
      </c>
      <c r="EY104" t="s">
        <v>166</v>
      </c>
      <c r="EZ104" t="s">
        <v>166</v>
      </c>
      <c r="FA104" s="157">
        <v>6.5</v>
      </c>
      <c r="FB104" t="s">
        <v>220</v>
      </c>
      <c r="FC104" s="157">
        <v>1</v>
      </c>
      <c r="FD104" s="157">
        <v>1</v>
      </c>
      <c r="FE104" s="177">
        <v>7.6988047068310896</v>
      </c>
      <c r="FF104" t="s">
        <v>221</v>
      </c>
      <c r="FG104" s="177">
        <v>3.8271078471390219E-2</v>
      </c>
      <c r="FH104" s="177">
        <v>3.7162222076069895E-2</v>
      </c>
      <c r="FI104" s="178">
        <v>1075.6083432405201</v>
      </c>
      <c r="FK104" t="s">
        <v>166</v>
      </c>
      <c r="FL104" s="144">
        <f t="shared" si="79"/>
        <v>1075.6083432405201</v>
      </c>
      <c r="FM104" s="178">
        <v>253.43446149606984</v>
      </c>
      <c r="FN104" s="178">
        <v>196.50444076545898</v>
      </c>
      <c r="FO104" t="s">
        <v>222</v>
      </c>
      <c r="FP104" t="s">
        <v>223</v>
      </c>
      <c r="FQ104" s="144" t="s">
        <v>166</v>
      </c>
      <c r="FR104" s="144" t="s">
        <v>166</v>
      </c>
      <c r="FS104" s="144" t="s">
        <v>166</v>
      </c>
      <c r="FT104" s="144" t="s">
        <v>166</v>
      </c>
      <c r="FU104" s="144" t="s">
        <v>166</v>
      </c>
      <c r="FV104" s="144" t="s">
        <v>166</v>
      </c>
      <c r="FW104" s="144" t="s">
        <v>166</v>
      </c>
      <c r="FX104" s="144" t="s">
        <v>166</v>
      </c>
      <c r="FY104" s="144" t="s">
        <v>166</v>
      </c>
      <c r="FZ104" s="144" t="s">
        <v>166</v>
      </c>
      <c r="GA104" s="144" t="s">
        <v>166</v>
      </c>
      <c r="GB104" s="144" t="s">
        <v>166</v>
      </c>
      <c r="GC104" s="158" t="s">
        <v>382</v>
      </c>
    </row>
    <row r="105" spans="1:185" ht="16">
      <c r="A105" s="140" t="s">
        <v>162</v>
      </c>
      <c r="B105" s="143" t="s">
        <v>163</v>
      </c>
      <c r="C105" s="140" t="s">
        <v>164</v>
      </c>
      <c r="D105" s="140" t="s">
        <v>165</v>
      </c>
      <c r="E105" s="140">
        <v>2020</v>
      </c>
      <c r="F105" t="s">
        <v>184</v>
      </c>
      <c r="G105" s="139">
        <v>39445.984628214661</v>
      </c>
      <c r="H105" s="147">
        <f t="shared" ref="H105" si="106">0.0083*G105^(0.9482)</f>
        <v>189.23782524717279</v>
      </c>
      <c r="I105" s="147">
        <f t="shared" si="67"/>
        <v>189.23782524717279</v>
      </c>
      <c r="J105" s="144">
        <v>787.86608868674296</v>
      </c>
      <c r="K105" s="144">
        <v>188.68212639291198</v>
      </c>
      <c r="L105" s="144">
        <v>159.62919697695895</v>
      </c>
      <c r="M105" t="b">
        <v>1</v>
      </c>
      <c r="N105">
        <v>3</v>
      </c>
      <c r="O105" s="140" t="s">
        <v>185</v>
      </c>
      <c r="P105" s="140" t="s">
        <v>166</v>
      </c>
      <c r="Q105" s="140" t="s">
        <v>166</v>
      </c>
      <c r="R105" s="140" t="s">
        <v>166</v>
      </c>
      <c r="S105" s="140" t="b">
        <v>1</v>
      </c>
      <c r="T105" s="140" t="b">
        <v>0</v>
      </c>
      <c r="U105" s="140" t="s">
        <v>166</v>
      </c>
      <c r="V105" s="140" t="b">
        <v>0</v>
      </c>
      <c r="W105" s="140" t="b">
        <v>0</v>
      </c>
      <c r="X105" s="140" t="s">
        <v>580</v>
      </c>
      <c r="Y105" s="148" t="s">
        <v>186</v>
      </c>
      <c r="Z105" t="s">
        <v>184</v>
      </c>
      <c r="AA105" s="149">
        <v>865</v>
      </c>
      <c r="AB105" s="149" t="s">
        <v>233</v>
      </c>
      <c r="AC105" s="149">
        <v>4</v>
      </c>
      <c r="AD105" s="149">
        <v>6</v>
      </c>
      <c r="AE105">
        <v>3</v>
      </c>
      <c r="AF105">
        <v>10</v>
      </c>
      <c r="AG105" s="150">
        <v>35.03</v>
      </c>
      <c r="AH105" t="s">
        <v>166</v>
      </c>
      <c r="AI105" t="s">
        <v>166</v>
      </c>
      <c r="AJ105" t="s">
        <v>253</v>
      </c>
      <c r="AK105">
        <v>18.440300000000001</v>
      </c>
      <c r="AL105">
        <v>-179.5558</v>
      </c>
      <c r="AM105" s="163">
        <v>11.424742698669434</v>
      </c>
      <c r="AN105" t="s">
        <v>166</v>
      </c>
      <c r="AO105">
        <v>-1530</v>
      </c>
      <c r="AP105">
        <v>-1400</v>
      </c>
      <c r="AQ105" t="s">
        <v>254</v>
      </c>
      <c r="AR105" t="s">
        <v>166</v>
      </c>
      <c r="AS105" s="150">
        <v>39.44598462821466</v>
      </c>
      <c r="AT105" t="s">
        <v>166</v>
      </c>
      <c r="AU105" t="s">
        <v>166</v>
      </c>
      <c r="AV105" t="s">
        <v>166</v>
      </c>
      <c r="AW105" t="s">
        <v>255</v>
      </c>
      <c r="AX105" t="s">
        <v>256</v>
      </c>
      <c r="AY105" t="s">
        <v>166</v>
      </c>
      <c r="AZ105" t="s">
        <v>166</v>
      </c>
      <c r="BA105" t="s">
        <v>166</v>
      </c>
      <c r="BB105" t="s">
        <v>166</v>
      </c>
      <c r="BC105" t="s">
        <v>166</v>
      </c>
      <c r="BD105" t="s">
        <v>166</v>
      </c>
      <c r="BE105" t="s">
        <v>166</v>
      </c>
      <c r="BF105" t="s">
        <v>166</v>
      </c>
      <c r="BG105" s="151" t="s">
        <v>191</v>
      </c>
      <c r="BH105" s="149" t="s">
        <v>192</v>
      </c>
      <c r="BI105" t="s">
        <v>166</v>
      </c>
      <c r="BJ105" s="152" t="s">
        <v>166</v>
      </c>
      <c r="BK105" t="s">
        <v>275</v>
      </c>
      <c r="BL105" t="s">
        <v>194</v>
      </c>
      <c r="BM105" t="s">
        <v>195</v>
      </c>
      <c r="BN105" t="s">
        <v>166</v>
      </c>
      <c r="BO105" t="s">
        <v>166</v>
      </c>
      <c r="BP105" t="s">
        <v>166</v>
      </c>
      <c r="BQ105" s="150">
        <v>15.35636944351182</v>
      </c>
      <c r="BR105" t="s">
        <v>196</v>
      </c>
      <c r="BS105" s="150">
        <v>0.34988296301721683</v>
      </c>
      <c r="BT105">
        <v>0.88</v>
      </c>
      <c r="BU105" t="s">
        <v>197</v>
      </c>
      <c r="BV105" t="s">
        <v>166</v>
      </c>
      <c r="BW105">
        <v>1.748</v>
      </c>
      <c r="BX105" t="s">
        <v>197</v>
      </c>
      <c r="BY105" t="s">
        <v>166</v>
      </c>
      <c r="BZ105" t="s">
        <v>392</v>
      </c>
      <c r="CA105" t="s">
        <v>360</v>
      </c>
      <c r="CB105" s="150">
        <f t="shared" si="78"/>
        <v>15.2616051102904</v>
      </c>
      <c r="CC105" t="s">
        <v>196</v>
      </c>
      <c r="CD105" s="150">
        <v>0.34988296301721683</v>
      </c>
      <c r="CE105" t="s">
        <v>199</v>
      </c>
      <c r="CF105" t="s">
        <v>166</v>
      </c>
      <c r="CG105" t="s">
        <v>200</v>
      </c>
      <c r="CH105" t="s">
        <v>166</v>
      </c>
      <c r="CI105" t="s">
        <v>166</v>
      </c>
      <c r="CJ105" s="139">
        <v>35.398018688547111</v>
      </c>
      <c r="CK105" t="s">
        <v>201</v>
      </c>
      <c r="CL105">
        <v>2</v>
      </c>
      <c r="CM105">
        <v>2</v>
      </c>
      <c r="CN105" t="s">
        <v>166</v>
      </c>
      <c r="CO105" s="139">
        <v>4</v>
      </c>
      <c r="CP105" t="s">
        <v>166</v>
      </c>
      <c r="CQ105" t="s">
        <v>166</v>
      </c>
      <c r="CR105" t="s">
        <v>166</v>
      </c>
      <c r="CS105" s="153" t="s">
        <v>202</v>
      </c>
      <c r="CT105" t="s">
        <v>203</v>
      </c>
      <c r="CU105">
        <v>2.2000000000000002</v>
      </c>
      <c r="CV105" t="s">
        <v>204</v>
      </c>
      <c r="CW105" t="s">
        <v>166</v>
      </c>
      <c r="CX105" t="s">
        <v>166</v>
      </c>
      <c r="CY105" t="s">
        <v>166</v>
      </c>
      <c r="CZ105" t="s">
        <v>166</v>
      </c>
      <c r="DA105" s="154" t="s">
        <v>166</v>
      </c>
      <c r="DB105" t="s">
        <v>166</v>
      </c>
      <c r="DC105" t="s">
        <v>166</v>
      </c>
      <c r="DD105" t="s">
        <v>166</v>
      </c>
      <c r="DE105" t="s">
        <v>166</v>
      </c>
      <c r="DF105" t="s">
        <v>205</v>
      </c>
      <c r="DG105">
        <v>35</v>
      </c>
      <c r="DH105" t="s">
        <v>201</v>
      </c>
      <c r="DI105">
        <v>1</v>
      </c>
      <c r="DJ105" t="s">
        <v>206</v>
      </c>
      <c r="DK105">
        <v>17</v>
      </c>
      <c r="DL105" t="s">
        <v>166</v>
      </c>
      <c r="DM105" t="s">
        <v>166</v>
      </c>
      <c r="DN105" t="s">
        <v>207</v>
      </c>
      <c r="DO105">
        <v>38</v>
      </c>
      <c r="DP105" t="s">
        <v>208</v>
      </c>
      <c r="DQ105">
        <v>3</v>
      </c>
      <c r="DR105" t="s">
        <v>209</v>
      </c>
      <c r="DS105" t="s">
        <v>166</v>
      </c>
      <c r="DT105" t="s">
        <v>166</v>
      </c>
      <c r="DU105" t="s">
        <v>166</v>
      </c>
      <c r="DV105" t="s">
        <v>166</v>
      </c>
      <c r="DW105">
        <v>432.6</v>
      </c>
      <c r="DX105" t="s">
        <v>166</v>
      </c>
      <c r="DY105" t="s">
        <v>166</v>
      </c>
      <c r="DZ105" t="s">
        <v>210</v>
      </c>
      <c r="EA105" t="s">
        <v>361</v>
      </c>
      <c r="EB105" t="s">
        <v>212</v>
      </c>
      <c r="EC105" t="s">
        <v>166</v>
      </c>
      <c r="ED105" t="s">
        <v>213</v>
      </c>
      <c r="EE105" s="155" t="s">
        <v>214</v>
      </c>
      <c r="EF105" s="155" t="s">
        <v>214</v>
      </c>
      <c r="EG105">
        <v>1.0271999999999999</v>
      </c>
      <c r="EH105" t="s">
        <v>215</v>
      </c>
      <c r="EI105" t="s">
        <v>215</v>
      </c>
      <c r="EJ105" t="s">
        <v>216</v>
      </c>
      <c r="EK105" t="s">
        <v>215</v>
      </c>
      <c r="EL105" t="s">
        <v>215</v>
      </c>
      <c r="EM105" t="s">
        <v>217</v>
      </c>
      <c r="EN105" s="156" t="s">
        <v>214</v>
      </c>
      <c r="EO105" s="156" t="s">
        <v>214</v>
      </c>
      <c r="EP105" s="156" t="s">
        <v>214</v>
      </c>
      <c r="EQ105" s="156" t="s">
        <v>214</v>
      </c>
      <c r="ET105" t="s">
        <v>218</v>
      </c>
      <c r="EU105" t="s">
        <v>219</v>
      </c>
      <c r="EV105" t="s">
        <v>213</v>
      </c>
      <c r="EW105" t="s">
        <v>166</v>
      </c>
      <c r="EX105" t="s">
        <v>166</v>
      </c>
      <c r="EY105" t="s">
        <v>166</v>
      </c>
      <c r="EZ105" t="s">
        <v>166</v>
      </c>
      <c r="FA105" s="157">
        <v>6.5</v>
      </c>
      <c r="FB105" t="s">
        <v>220</v>
      </c>
      <c r="FC105" s="157">
        <v>1</v>
      </c>
      <c r="FD105" s="157">
        <v>1</v>
      </c>
      <c r="FE105" s="177">
        <v>7.7394353363760704</v>
      </c>
      <c r="FF105" t="s">
        <v>221</v>
      </c>
      <c r="FG105" s="177">
        <v>3.8951765330099697E-2</v>
      </c>
      <c r="FH105" s="177">
        <v>4.2500624607960447E-2</v>
      </c>
      <c r="FI105" s="178">
        <v>877.63228721608698</v>
      </c>
      <c r="FK105" t="s">
        <v>166</v>
      </c>
      <c r="FL105" s="144">
        <f t="shared" si="79"/>
        <v>877.63228721608698</v>
      </c>
      <c r="FM105" s="178">
        <v>207.994071992003</v>
      </c>
      <c r="FN105" s="178">
        <v>170.75993825529997</v>
      </c>
      <c r="FO105" t="s">
        <v>222</v>
      </c>
      <c r="FP105" t="s">
        <v>223</v>
      </c>
      <c r="FQ105" s="144" t="s">
        <v>166</v>
      </c>
      <c r="FR105" s="144" t="s">
        <v>166</v>
      </c>
      <c r="FS105" s="144" t="s">
        <v>166</v>
      </c>
      <c r="FT105" s="144" t="s">
        <v>166</v>
      </c>
      <c r="FU105" s="144" t="s">
        <v>166</v>
      </c>
      <c r="FV105" s="144" t="s">
        <v>166</v>
      </c>
      <c r="FW105" s="144" t="s">
        <v>166</v>
      </c>
      <c r="FX105" s="144" t="s">
        <v>166</v>
      </c>
      <c r="FY105" s="144" t="s">
        <v>166</v>
      </c>
      <c r="FZ105" s="144" t="s">
        <v>166</v>
      </c>
      <c r="GA105" s="144" t="s">
        <v>166</v>
      </c>
      <c r="GB105" s="144" t="s">
        <v>166</v>
      </c>
      <c r="GC105" s="158" t="s">
        <v>362</v>
      </c>
    </row>
    <row r="106" spans="1:185" ht="16">
      <c r="A106" s="140" t="s">
        <v>162</v>
      </c>
      <c r="B106" s="143" t="s">
        <v>163</v>
      </c>
      <c r="C106" s="140" t="s">
        <v>164</v>
      </c>
      <c r="D106" s="140" t="s">
        <v>165</v>
      </c>
      <c r="E106" s="140">
        <v>2020</v>
      </c>
      <c r="F106" t="s">
        <v>184</v>
      </c>
      <c r="G106" s="139">
        <v>39445.984628214661</v>
      </c>
      <c r="H106" s="147">
        <f t="shared" ref="H106" si="107">0.0083*G106^(0.9482)</f>
        <v>189.23782524717279</v>
      </c>
      <c r="I106" s="147">
        <f t="shared" si="67"/>
        <v>189.23782524717279</v>
      </c>
      <c r="J106" s="144">
        <v>945.83320886979004</v>
      </c>
      <c r="K106" s="144">
        <v>195.63226400636995</v>
      </c>
      <c r="L106" s="144">
        <v>151.97683561700705</v>
      </c>
      <c r="M106" t="b">
        <v>1</v>
      </c>
      <c r="N106">
        <v>3</v>
      </c>
      <c r="O106" s="140" t="s">
        <v>185</v>
      </c>
      <c r="P106" s="140" t="s">
        <v>166</v>
      </c>
      <c r="Q106" s="140" t="s">
        <v>166</v>
      </c>
      <c r="R106" s="140" t="s">
        <v>166</v>
      </c>
      <c r="S106" s="140" t="b">
        <v>1</v>
      </c>
      <c r="T106" s="140" t="b">
        <v>0</v>
      </c>
      <c r="U106" s="140" t="s">
        <v>166</v>
      </c>
      <c r="V106" s="140" t="b">
        <v>0</v>
      </c>
      <c r="W106" s="140" t="b">
        <v>0</v>
      </c>
      <c r="X106" s="140" t="s">
        <v>580</v>
      </c>
      <c r="Y106" s="148" t="s">
        <v>186</v>
      </c>
      <c r="Z106" t="s">
        <v>184</v>
      </c>
      <c r="AA106" s="149">
        <v>865</v>
      </c>
      <c r="AB106" s="149" t="s">
        <v>233</v>
      </c>
      <c r="AC106" s="149">
        <v>4</v>
      </c>
      <c r="AD106" s="149">
        <v>6</v>
      </c>
      <c r="AE106">
        <v>3</v>
      </c>
      <c r="AF106">
        <v>10</v>
      </c>
      <c r="AG106" s="150">
        <v>35.03</v>
      </c>
      <c r="AH106" t="s">
        <v>166</v>
      </c>
      <c r="AI106" t="s">
        <v>166</v>
      </c>
      <c r="AJ106" t="s">
        <v>253</v>
      </c>
      <c r="AK106">
        <v>18.440300000000001</v>
      </c>
      <c r="AL106">
        <v>-179.5558</v>
      </c>
      <c r="AM106" s="163">
        <v>11.424742698669434</v>
      </c>
      <c r="AN106" t="s">
        <v>166</v>
      </c>
      <c r="AO106">
        <v>-1530</v>
      </c>
      <c r="AP106">
        <v>-1400</v>
      </c>
      <c r="AQ106" t="s">
        <v>254</v>
      </c>
      <c r="AR106" t="s">
        <v>166</v>
      </c>
      <c r="AS106" s="150">
        <v>39.44598462821466</v>
      </c>
      <c r="AT106" t="s">
        <v>166</v>
      </c>
      <c r="AU106" t="s">
        <v>166</v>
      </c>
      <c r="AV106" t="s">
        <v>166</v>
      </c>
      <c r="AW106" t="s">
        <v>255</v>
      </c>
      <c r="AX106" t="s">
        <v>256</v>
      </c>
      <c r="AY106" t="s">
        <v>166</v>
      </c>
      <c r="AZ106" t="s">
        <v>166</v>
      </c>
      <c r="BA106" t="s">
        <v>166</v>
      </c>
      <c r="BB106" t="s">
        <v>166</v>
      </c>
      <c r="BC106" t="s">
        <v>166</v>
      </c>
      <c r="BD106" t="s">
        <v>166</v>
      </c>
      <c r="BE106" t="s">
        <v>166</v>
      </c>
      <c r="BF106" t="s">
        <v>166</v>
      </c>
      <c r="BG106" s="151" t="s">
        <v>267</v>
      </c>
      <c r="BH106" s="149" t="s">
        <v>192</v>
      </c>
      <c r="BI106" t="s">
        <v>166</v>
      </c>
      <c r="BJ106" s="152" t="s">
        <v>166</v>
      </c>
      <c r="BK106" t="s">
        <v>276</v>
      </c>
      <c r="BL106" t="s">
        <v>194</v>
      </c>
      <c r="BM106" t="s">
        <v>195</v>
      </c>
      <c r="BN106" t="s">
        <v>166</v>
      </c>
      <c r="BO106" t="s">
        <v>166</v>
      </c>
      <c r="BP106" t="s">
        <v>166</v>
      </c>
      <c r="BQ106" s="150">
        <v>15.022786896878415</v>
      </c>
      <c r="BR106" t="s">
        <v>196</v>
      </c>
      <c r="BS106" s="150">
        <v>0.24635877991202274</v>
      </c>
      <c r="BT106">
        <v>0.88</v>
      </c>
      <c r="BU106" t="s">
        <v>197</v>
      </c>
      <c r="BV106" t="s">
        <v>166</v>
      </c>
      <c r="BW106">
        <v>1.748</v>
      </c>
      <c r="BX106" t="s">
        <v>197</v>
      </c>
      <c r="BY106" t="s">
        <v>166</v>
      </c>
      <c r="BZ106" t="s">
        <v>393</v>
      </c>
      <c r="CA106" t="s">
        <v>360</v>
      </c>
      <c r="CB106" s="150">
        <f t="shared" si="78"/>
        <v>14.968052469253005</v>
      </c>
      <c r="CC106" t="s">
        <v>196</v>
      </c>
      <c r="CD106" s="150">
        <v>0.24635877991202274</v>
      </c>
      <c r="CE106" t="s">
        <v>199</v>
      </c>
      <c r="CF106" t="s">
        <v>166</v>
      </c>
      <c r="CG106" t="s">
        <v>200</v>
      </c>
      <c r="CH106" t="s">
        <v>166</v>
      </c>
      <c r="CI106" t="s">
        <v>166</v>
      </c>
      <c r="CJ106" s="139">
        <v>35.084787987413037</v>
      </c>
      <c r="CK106" t="s">
        <v>201</v>
      </c>
      <c r="CL106">
        <v>2</v>
      </c>
      <c r="CM106">
        <v>2</v>
      </c>
      <c r="CN106" t="s">
        <v>166</v>
      </c>
      <c r="CO106" s="139">
        <v>3.93</v>
      </c>
      <c r="CP106" t="s">
        <v>166</v>
      </c>
      <c r="CQ106" t="s">
        <v>166</v>
      </c>
      <c r="CR106" t="s">
        <v>166</v>
      </c>
      <c r="CS106" s="153" t="s">
        <v>202</v>
      </c>
      <c r="CT106" t="s">
        <v>203</v>
      </c>
      <c r="CU106">
        <v>2.2000000000000002</v>
      </c>
      <c r="CV106" t="s">
        <v>204</v>
      </c>
      <c r="CW106" t="s">
        <v>166</v>
      </c>
      <c r="CX106" t="s">
        <v>166</v>
      </c>
      <c r="CY106" t="s">
        <v>166</v>
      </c>
      <c r="CZ106" t="s">
        <v>166</v>
      </c>
      <c r="DA106" s="154" t="s">
        <v>166</v>
      </c>
      <c r="DB106" t="s">
        <v>166</v>
      </c>
      <c r="DC106" t="s">
        <v>166</v>
      </c>
      <c r="DD106" t="s">
        <v>166</v>
      </c>
      <c r="DE106" t="s">
        <v>166</v>
      </c>
      <c r="DF106" t="s">
        <v>205</v>
      </c>
      <c r="DG106">
        <v>35</v>
      </c>
      <c r="DH106" t="s">
        <v>201</v>
      </c>
      <c r="DI106">
        <v>1</v>
      </c>
      <c r="DJ106" t="s">
        <v>206</v>
      </c>
      <c r="DK106">
        <v>17</v>
      </c>
      <c r="DL106" t="s">
        <v>166</v>
      </c>
      <c r="DM106" t="s">
        <v>166</v>
      </c>
      <c r="DN106" t="s">
        <v>207</v>
      </c>
      <c r="DO106">
        <v>38</v>
      </c>
      <c r="DP106" t="s">
        <v>208</v>
      </c>
      <c r="DQ106">
        <v>3</v>
      </c>
      <c r="DR106" t="s">
        <v>209</v>
      </c>
      <c r="DS106" t="s">
        <v>166</v>
      </c>
      <c r="DT106" t="s">
        <v>166</v>
      </c>
      <c r="DU106" t="s">
        <v>166</v>
      </c>
      <c r="DV106" t="s">
        <v>166</v>
      </c>
      <c r="DW106">
        <v>432.6</v>
      </c>
      <c r="DX106" t="s">
        <v>166</v>
      </c>
      <c r="DY106" t="s">
        <v>166</v>
      </c>
      <c r="DZ106" t="s">
        <v>210</v>
      </c>
      <c r="EA106" t="s">
        <v>361</v>
      </c>
      <c r="EB106" t="s">
        <v>212</v>
      </c>
      <c r="EC106" t="s">
        <v>166</v>
      </c>
      <c r="ED106" t="s">
        <v>213</v>
      </c>
      <c r="EE106" s="155" t="s">
        <v>214</v>
      </c>
      <c r="EF106" s="155" t="s">
        <v>214</v>
      </c>
      <c r="EG106">
        <v>1.0271999999999999</v>
      </c>
      <c r="EH106" t="s">
        <v>215</v>
      </c>
      <c r="EI106" t="s">
        <v>215</v>
      </c>
      <c r="EJ106" t="s">
        <v>216</v>
      </c>
      <c r="EK106" t="s">
        <v>215</v>
      </c>
      <c r="EL106" t="s">
        <v>215</v>
      </c>
      <c r="EM106" t="s">
        <v>217</v>
      </c>
      <c r="EN106" s="156" t="s">
        <v>214</v>
      </c>
      <c r="EO106" s="156" t="s">
        <v>214</v>
      </c>
      <c r="EP106" s="156" t="s">
        <v>214</v>
      </c>
      <c r="EQ106" s="156" t="s">
        <v>214</v>
      </c>
      <c r="ET106" t="s">
        <v>218</v>
      </c>
      <c r="EU106" t="s">
        <v>219</v>
      </c>
      <c r="EV106" t="s">
        <v>213</v>
      </c>
      <c r="EW106" t="s">
        <v>166</v>
      </c>
      <c r="EX106" t="s">
        <v>166</v>
      </c>
      <c r="EY106" t="s">
        <v>166</v>
      </c>
      <c r="EZ106" t="s">
        <v>166</v>
      </c>
      <c r="FA106" s="157">
        <v>6.5</v>
      </c>
      <c r="FB106" t="s">
        <v>220</v>
      </c>
      <c r="FC106" s="157">
        <v>1</v>
      </c>
      <c r="FD106" s="157">
        <v>1</v>
      </c>
      <c r="FE106" s="177">
        <v>7.6946247004805697</v>
      </c>
      <c r="FF106" t="s">
        <v>221</v>
      </c>
      <c r="FG106" s="177">
        <v>3.293784508420039E-2</v>
      </c>
      <c r="FH106" s="177">
        <v>3.6144200550399574E-2</v>
      </c>
      <c r="FI106" s="178">
        <v>1090.6259355115401</v>
      </c>
      <c r="FK106" t="s">
        <v>166</v>
      </c>
      <c r="FL106" s="144">
        <f t="shared" si="79"/>
        <v>1090.6259355115401</v>
      </c>
      <c r="FM106" s="178">
        <v>206.49584259747985</v>
      </c>
      <c r="FN106" s="178">
        <v>178.44787873864811</v>
      </c>
      <c r="FO106" t="s">
        <v>222</v>
      </c>
      <c r="FP106" t="s">
        <v>223</v>
      </c>
      <c r="FQ106" s="144" t="s">
        <v>166</v>
      </c>
      <c r="FR106" s="144" t="s">
        <v>166</v>
      </c>
      <c r="FS106" s="144" t="s">
        <v>166</v>
      </c>
      <c r="FT106" s="144" t="s">
        <v>166</v>
      </c>
      <c r="FU106" s="144" t="s">
        <v>166</v>
      </c>
      <c r="FV106" s="144" t="s">
        <v>166</v>
      </c>
      <c r="FW106" s="144" t="s">
        <v>166</v>
      </c>
      <c r="FX106" s="144" t="s">
        <v>166</v>
      </c>
      <c r="FY106" s="144" t="s">
        <v>166</v>
      </c>
      <c r="FZ106" s="144" t="s">
        <v>166</v>
      </c>
      <c r="GA106" s="144" t="s">
        <v>166</v>
      </c>
      <c r="GB106" s="144" t="s">
        <v>166</v>
      </c>
      <c r="GC106" s="158" t="s">
        <v>362</v>
      </c>
    </row>
    <row r="107" spans="1:185" ht="16">
      <c r="A107" s="140" t="s">
        <v>162</v>
      </c>
      <c r="B107" s="143" t="s">
        <v>163</v>
      </c>
      <c r="C107" s="140" t="s">
        <v>164</v>
      </c>
      <c r="D107" s="140" t="s">
        <v>165</v>
      </c>
      <c r="E107" s="140">
        <v>2020</v>
      </c>
      <c r="F107" t="s">
        <v>184</v>
      </c>
      <c r="G107" s="139">
        <v>40250.636734509884</v>
      </c>
      <c r="H107" s="147">
        <f t="shared" ref="H107" si="108">0.0083*G107^(0.9482)</f>
        <v>192.89617618633793</v>
      </c>
      <c r="I107" s="147">
        <f t="shared" si="67"/>
        <v>192.89617618633793</v>
      </c>
      <c r="J107" s="144">
        <v>966.73149516740398</v>
      </c>
      <c r="K107" s="144">
        <v>219.37597689161601</v>
      </c>
      <c r="L107" s="144">
        <v>165.52799855345199</v>
      </c>
      <c r="M107" t="b">
        <v>1</v>
      </c>
      <c r="N107">
        <v>3</v>
      </c>
      <c r="O107" s="140" t="s">
        <v>185</v>
      </c>
      <c r="P107" s="140" t="s">
        <v>166</v>
      </c>
      <c r="Q107" s="140" t="s">
        <v>166</v>
      </c>
      <c r="R107" s="140" t="s">
        <v>166</v>
      </c>
      <c r="S107" s="140" t="b">
        <v>1</v>
      </c>
      <c r="T107" s="140" t="b">
        <v>0</v>
      </c>
      <c r="U107" s="140" t="s">
        <v>166</v>
      </c>
      <c r="V107" s="140" t="b">
        <v>0</v>
      </c>
      <c r="W107" s="140" t="b">
        <v>0</v>
      </c>
      <c r="X107" s="140" t="s">
        <v>580</v>
      </c>
      <c r="Y107" s="148" t="s">
        <v>186</v>
      </c>
      <c r="Z107" t="s">
        <v>184</v>
      </c>
      <c r="AA107" s="149">
        <v>865</v>
      </c>
      <c r="AB107" s="149" t="s">
        <v>233</v>
      </c>
      <c r="AC107" s="149">
        <v>5</v>
      </c>
      <c r="AD107" s="149">
        <v>2</v>
      </c>
      <c r="AE107">
        <v>10</v>
      </c>
      <c r="AF107">
        <v>18</v>
      </c>
      <c r="AG107" s="150">
        <v>38.6</v>
      </c>
      <c r="AH107" t="s">
        <v>166</v>
      </c>
      <c r="AI107" t="s">
        <v>166</v>
      </c>
      <c r="AJ107" t="s">
        <v>253</v>
      </c>
      <c r="AK107">
        <v>18.440300000000001</v>
      </c>
      <c r="AL107">
        <v>-179.5558</v>
      </c>
      <c r="AM107" s="163">
        <v>11.322948455810547</v>
      </c>
      <c r="AN107" t="s">
        <v>166</v>
      </c>
      <c r="AO107">
        <v>-1530</v>
      </c>
      <c r="AP107">
        <v>-1400</v>
      </c>
      <c r="AQ107" t="s">
        <v>254</v>
      </c>
      <c r="AR107" t="s">
        <v>166</v>
      </c>
      <c r="AS107" s="150">
        <v>40.250636734509882</v>
      </c>
      <c r="AT107" t="s">
        <v>166</v>
      </c>
      <c r="AU107" t="s">
        <v>166</v>
      </c>
      <c r="AV107" t="s">
        <v>166</v>
      </c>
      <c r="AW107" t="s">
        <v>255</v>
      </c>
      <c r="AX107" t="s">
        <v>256</v>
      </c>
      <c r="AY107" t="s">
        <v>166</v>
      </c>
      <c r="AZ107" t="s">
        <v>166</v>
      </c>
      <c r="BA107" t="s">
        <v>166</v>
      </c>
      <c r="BB107" t="s">
        <v>166</v>
      </c>
      <c r="BC107" t="s">
        <v>166</v>
      </c>
      <c r="BD107" t="s">
        <v>166</v>
      </c>
      <c r="BE107" t="s">
        <v>166</v>
      </c>
      <c r="BF107" t="s">
        <v>166</v>
      </c>
      <c r="BG107" s="151" t="s">
        <v>191</v>
      </c>
      <c r="BH107" s="149" t="s">
        <v>192</v>
      </c>
      <c r="BI107" t="s">
        <v>166</v>
      </c>
      <c r="BJ107" s="152" t="s">
        <v>166</v>
      </c>
      <c r="BK107" t="s">
        <v>277</v>
      </c>
      <c r="BL107" t="s">
        <v>194</v>
      </c>
      <c r="BM107" t="s">
        <v>195</v>
      </c>
      <c r="BN107" t="s">
        <v>166</v>
      </c>
      <c r="BO107" t="s">
        <v>166</v>
      </c>
      <c r="BP107" t="s">
        <v>166</v>
      </c>
      <c r="BQ107" s="150">
        <v>14.997579318003829</v>
      </c>
      <c r="BR107" t="s">
        <v>196</v>
      </c>
      <c r="BS107" s="150">
        <v>0.23834327547878509</v>
      </c>
      <c r="BT107">
        <v>0.88</v>
      </c>
      <c r="BU107" t="s">
        <v>197</v>
      </c>
      <c r="BV107" t="s">
        <v>166</v>
      </c>
      <c r="BW107">
        <v>1.748</v>
      </c>
      <c r="BX107" t="s">
        <v>197</v>
      </c>
      <c r="BY107" t="s">
        <v>166</v>
      </c>
      <c r="BZ107" t="s">
        <v>394</v>
      </c>
      <c r="CA107" t="s">
        <v>360</v>
      </c>
      <c r="CB107" s="150">
        <f t="shared" si="78"/>
        <v>14.945869799843368</v>
      </c>
      <c r="CC107" t="s">
        <v>196</v>
      </c>
      <c r="CD107" s="150">
        <v>0.23834327547878509</v>
      </c>
      <c r="CE107" t="s">
        <v>199</v>
      </c>
      <c r="CF107" t="s">
        <v>166</v>
      </c>
      <c r="CG107" t="s">
        <v>200</v>
      </c>
      <c r="CH107" t="s">
        <v>166</v>
      </c>
      <c r="CI107" t="s">
        <v>166</v>
      </c>
      <c r="CJ107" s="139">
        <v>35.836110601654262</v>
      </c>
      <c r="CK107" t="s">
        <v>201</v>
      </c>
      <c r="CL107">
        <v>2</v>
      </c>
      <c r="CM107">
        <v>2</v>
      </c>
      <c r="CN107" t="s">
        <v>166</v>
      </c>
      <c r="CO107" s="139">
        <v>4.0999999999999996</v>
      </c>
      <c r="CP107" t="s">
        <v>166</v>
      </c>
      <c r="CQ107" t="s">
        <v>166</v>
      </c>
      <c r="CR107" t="s">
        <v>166</v>
      </c>
      <c r="CS107" s="153" t="s">
        <v>202</v>
      </c>
      <c r="CT107" t="s">
        <v>203</v>
      </c>
      <c r="CU107">
        <v>2.2000000000000002</v>
      </c>
      <c r="CV107" t="s">
        <v>204</v>
      </c>
      <c r="CW107" t="s">
        <v>166</v>
      </c>
      <c r="CX107" t="s">
        <v>166</v>
      </c>
      <c r="CY107" t="s">
        <v>166</v>
      </c>
      <c r="CZ107" t="s">
        <v>166</v>
      </c>
      <c r="DA107" s="154" t="s">
        <v>166</v>
      </c>
      <c r="DB107" t="s">
        <v>166</v>
      </c>
      <c r="DC107" t="s">
        <v>166</v>
      </c>
      <c r="DD107" t="s">
        <v>166</v>
      </c>
      <c r="DE107" t="s">
        <v>166</v>
      </c>
      <c r="DF107" t="s">
        <v>205</v>
      </c>
      <c r="DG107">
        <v>35</v>
      </c>
      <c r="DH107" t="s">
        <v>201</v>
      </c>
      <c r="DI107">
        <v>1</v>
      </c>
      <c r="DJ107" t="s">
        <v>206</v>
      </c>
      <c r="DK107">
        <v>17</v>
      </c>
      <c r="DL107" t="s">
        <v>166</v>
      </c>
      <c r="DM107" t="s">
        <v>166</v>
      </c>
      <c r="DN107" t="s">
        <v>207</v>
      </c>
      <c r="DO107">
        <v>38</v>
      </c>
      <c r="DP107" t="s">
        <v>208</v>
      </c>
      <c r="DQ107">
        <v>3</v>
      </c>
      <c r="DR107" t="s">
        <v>209</v>
      </c>
      <c r="DS107" t="s">
        <v>166</v>
      </c>
      <c r="DT107" t="s">
        <v>166</v>
      </c>
      <c r="DU107" t="s">
        <v>166</v>
      </c>
      <c r="DV107" t="s">
        <v>166</v>
      </c>
      <c r="DW107">
        <v>432.6</v>
      </c>
      <c r="DX107" t="s">
        <v>166</v>
      </c>
      <c r="DY107" t="s">
        <v>166</v>
      </c>
      <c r="DZ107" t="s">
        <v>210</v>
      </c>
      <c r="EA107" t="s">
        <v>361</v>
      </c>
      <c r="EB107" t="s">
        <v>212</v>
      </c>
      <c r="EC107" t="s">
        <v>166</v>
      </c>
      <c r="ED107" t="s">
        <v>213</v>
      </c>
      <c r="EE107" s="155" t="s">
        <v>214</v>
      </c>
      <c r="EF107" s="155" t="s">
        <v>214</v>
      </c>
      <c r="EG107">
        <v>1.0271999999999999</v>
      </c>
      <c r="EH107" t="s">
        <v>215</v>
      </c>
      <c r="EI107" t="s">
        <v>215</v>
      </c>
      <c r="EJ107" t="s">
        <v>216</v>
      </c>
      <c r="EK107" t="s">
        <v>215</v>
      </c>
      <c r="EL107" t="s">
        <v>215</v>
      </c>
      <c r="EM107" t="s">
        <v>217</v>
      </c>
      <c r="EN107" s="156" t="s">
        <v>214</v>
      </c>
      <c r="EO107" s="156" t="s">
        <v>214</v>
      </c>
      <c r="EP107" s="156" t="s">
        <v>214</v>
      </c>
      <c r="EQ107" s="156" t="s">
        <v>214</v>
      </c>
      <c r="ET107" t="s">
        <v>218</v>
      </c>
      <c r="EU107" t="s">
        <v>219</v>
      </c>
      <c r="EV107" t="s">
        <v>213</v>
      </c>
      <c r="EW107" t="s">
        <v>166</v>
      </c>
      <c r="EX107" t="s">
        <v>166</v>
      </c>
      <c r="EY107" t="s">
        <v>166</v>
      </c>
      <c r="EZ107" t="s">
        <v>166</v>
      </c>
      <c r="FA107" s="157">
        <v>6.5</v>
      </c>
      <c r="FB107" t="s">
        <v>220</v>
      </c>
      <c r="FC107" s="157">
        <v>1</v>
      </c>
      <c r="FD107" s="157">
        <v>1</v>
      </c>
      <c r="FE107" s="177">
        <v>7.6833766968040802</v>
      </c>
      <c r="FF107" t="s">
        <v>221</v>
      </c>
      <c r="FG107" s="177">
        <v>3.4273735989549969E-2</v>
      </c>
      <c r="FH107" s="177">
        <v>3.5207296287880219E-2</v>
      </c>
      <c r="FI107" s="178">
        <v>1127.10440451462</v>
      </c>
      <c r="FK107" t="s">
        <v>166</v>
      </c>
      <c r="FL107" s="144">
        <f t="shared" si="79"/>
        <v>1127.10440451462</v>
      </c>
      <c r="FM107" s="178">
        <v>216.33632520906986</v>
      </c>
      <c r="FN107" s="178">
        <v>201.79403091701704</v>
      </c>
      <c r="FO107" t="s">
        <v>222</v>
      </c>
      <c r="FP107" t="s">
        <v>223</v>
      </c>
      <c r="FQ107" s="144" t="s">
        <v>166</v>
      </c>
      <c r="FR107" s="144" t="s">
        <v>166</v>
      </c>
      <c r="FS107" s="144" t="s">
        <v>166</v>
      </c>
      <c r="FT107" s="144" t="s">
        <v>166</v>
      </c>
      <c r="FU107" s="144" t="s">
        <v>166</v>
      </c>
      <c r="FV107" s="144" t="s">
        <v>166</v>
      </c>
      <c r="FW107" s="144" t="s">
        <v>166</v>
      </c>
      <c r="FX107" s="144" t="s">
        <v>166</v>
      </c>
      <c r="FY107" s="144" t="s">
        <v>166</v>
      </c>
      <c r="FZ107" s="144" t="s">
        <v>166</v>
      </c>
      <c r="GA107" s="144" t="s">
        <v>166</v>
      </c>
      <c r="GB107" s="144" t="s">
        <v>166</v>
      </c>
      <c r="GC107" s="158" t="s">
        <v>362</v>
      </c>
    </row>
    <row r="108" spans="1:185" ht="16">
      <c r="A108" s="140" t="s">
        <v>162</v>
      </c>
      <c r="B108" s="143" t="s">
        <v>163</v>
      </c>
      <c r="C108" s="140" t="s">
        <v>164</v>
      </c>
      <c r="D108" s="140" t="s">
        <v>165</v>
      </c>
      <c r="E108" s="140">
        <v>2020</v>
      </c>
      <c r="F108" t="s">
        <v>184</v>
      </c>
      <c r="G108" s="139">
        <v>40917.799265219641</v>
      </c>
      <c r="H108" s="147">
        <f t="shared" ref="H108" si="109">0.0083*G108^(0.9482)</f>
        <v>195.92655593581077</v>
      </c>
      <c r="I108" s="147">
        <f t="shared" si="67"/>
        <v>195.92655593581077</v>
      </c>
      <c r="J108" s="144">
        <v>864.55422921072704</v>
      </c>
      <c r="K108" s="144">
        <v>177.07837518721294</v>
      </c>
      <c r="L108" s="144">
        <v>143.34810854949399</v>
      </c>
      <c r="M108" t="b">
        <v>1</v>
      </c>
      <c r="N108">
        <v>3</v>
      </c>
      <c r="O108" s="140" t="s">
        <v>185</v>
      </c>
      <c r="P108" s="140" t="s">
        <v>166</v>
      </c>
      <c r="Q108" s="140" t="s">
        <v>166</v>
      </c>
      <c r="R108" s="140" t="s">
        <v>166</v>
      </c>
      <c r="S108" s="140" t="b">
        <v>1</v>
      </c>
      <c r="T108" s="140" t="b">
        <v>0</v>
      </c>
      <c r="U108" s="140" t="s">
        <v>166</v>
      </c>
      <c r="V108" s="140" t="b">
        <v>0</v>
      </c>
      <c r="W108" s="140" t="b">
        <v>0</v>
      </c>
      <c r="X108" s="140" t="s">
        <v>580</v>
      </c>
      <c r="Y108" s="148" t="s">
        <v>186</v>
      </c>
      <c r="Z108" t="s">
        <v>184</v>
      </c>
      <c r="AA108" s="149">
        <v>865</v>
      </c>
      <c r="AB108" s="149" t="s">
        <v>233</v>
      </c>
      <c r="AC108" s="149">
        <v>5</v>
      </c>
      <c r="AD108" s="149">
        <v>4</v>
      </c>
      <c r="AE108">
        <v>6</v>
      </c>
      <c r="AF108">
        <v>12</v>
      </c>
      <c r="AG108" s="150">
        <v>41.56</v>
      </c>
      <c r="AH108" t="s">
        <v>166</v>
      </c>
      <c r="AI108" t="s">
        <v>166</v>
      </c>
      <c r="AJ108" t="s">
        <v>253</v>
      </c>
      <c r="AK108">
        <v>18.440300000000001</v>
      </c>
      <c r="AL108">
        <v>-179.5558</v>
      </c>
      <c r="AM108" s="163">
        <v>11.374717712402344</v>
      </c>
      <c r="AN108" t="s">
        <v>166</v>
      </c>
      <c r="AO108">
        <v>-1530</v>
      </c>
      <c r="AP108">
        <v>-1400</v>
      </c>
      <c r="AQ108" t="s">
        <v>254</v>
      </c>
      <c r="AR108" t="s">
        <v>166</v>
      </c>
      <c r="AS108" s="150">
        <v>40.917799265219642</v>
      </c>
      <c r="AT108" t="s">
        <v>166</v>
      </c>
      <c r="AU108" t="s">
        <v>166</v>
      </c>
      <c r="AV108" t="s">
        <v>166</v>
      </c>
      <c r="AW108" t="s">
        <v>255</v>
      </c>
      <c r="AX108" t="s">
        <v>256</v>
      </c>
      <c r="AY108" t="s">
        <v>166</v>
      </c>
      <c r="AZ108" t="s">
        <v>166</v>
      </c>
      <c r="BA108" t="s">
        <v>166</v>
      </c>
      <c r="BB108" t="s">
        <v>166</v>
      </c>
      <c r="BC108" t="s">
        <v>166</v>
      </c>
      <c r="BD108" t="s">
        <v>166</v>
      </c>
      <c r="BE108" t="s">
        <v>166</v>
      </c>
      <c r="BF108" t="s">
        <v>166</v>
      </c>
      <c r="BG108" s="151" t="s">
        <v>191</v>
      </c>
      <c r="BH108" s="149" t="s">
        <v>192</v>
      </c>
      <c r="BI108" t="s">
        <v>166</v>
      </c>
      <c r="BJ108" s="152" t="s">
        <v>166</v>
      </c>
      <c r="BK108" t="s">
        <v>278</v>
      </c>
      <c r="BL108" t="s">
        <v>194</v>
      </c>
      <c r="BM108" t="s">
        <v>195</v>
      </c>
      <c r="BN108" t="s">
        <v>166</v>
      </c>
      <c r="BO108" t="s">
        <v>166</v>
      </c>
      <c r="BP108" t="s">
        <v>166</v>
      </c>
      <c r="BQ108" s="150">
        <v>15.167793411684505</v>
      </c>
      <c r="BR108" t="s">
        <v>196</v>
      </c>
      <c r="BS108" s="150">
        <v>0.25152208548095878</v>
      </c>
      <c r="BT108">
        <v>0.88</v>
      </c>
      <c r="BU108" t="s">
        <v>197</v>
      </c>
      <c r="BV108" t="s">
        <v>166</v>
      </c>
      <c r="BW108">
        <v>1.748</v>
      </c>
      <c r="BX108" t="s">
        <v>197</v>
      </c>
      <c r="BY108" t="s">
        <v>166</v>
      </c>
      <c r="BZ108" t="s">
        <v>395</v>
      </c>
      <c r="CA108" t="s">
        <v>360</v>
      </c>
      <c r="CB108" s="150">
        <f t="shared" si="78"/>
        <v>15.095658202282364</v>
      </c>
      <c r="CC108" t="s">
        <v>196</v>
      </c>
      <c r="CD108" s="150">
        <v>0.25152208548095878</v>
      </c>
      <c r="CE108" t="s">
        <v>199</v>
      </c>
      <c r="CF108" t="s">
        <v>166</v>
      </c>
      <c r="CG108" t="s">
        <v>200</v>
      </c>
      <c r="CH108" t="s">
        <v>166</v>
      </c>
      <c r="CI108" t="s">
        <v>166</v>
      </c>
      <c r="CJ108" s="139">
        <v>34.487982239970883</v>
      </c>
      <c r="CK108" t="s">
        <v>201</v>
      </c>
      <c r="CL108">
        <v>2</v>
      </c>
      <c r="CM108">
        <v>2</v>
      </c>
      <c r="CN108" t="s">
        <v>166</v>
      </c>
      <c r="CO108" s="139">
        <v>3.8</v>
      </c>
      <c r="CP108" t="s">
        <v>166</v>
      </c>
      <c r="CQ108" t="s">
        <v>166</v>
      </c>
      <c r="CR108" t="s">
        <v>166</v>
      </c>
      <c r="CS108" s="153" t="s">
        <v>202</v>
      </c>
      <c r="CT108" t="s">
        <v>203</v>
      </c>
      <c r="CU108">
        <v>2.2000000000000002</v>
      </c>
      <c r="CV108" t="s">
        <v>204</v>
      </c>
      <c r="CW108" t="s">
        <v>166</v>
      </c>
      <c r="CX108" t="s">
        <v>166</v>
      </c>
      <c r="CY108" t="s">
        <v>166</v>
      </c>
      <c r="CZ108" t="s">
        <v>166</v>
      </c>
      <c r="DA108" s="154" t="s">
        <v>166</v>
      </c>
      <c r="DB108" t="s">
        <v>166</v>
      </c>
      <c r="DC108" t="s">
        <v>166</v>
      </c>
      <c r="DD108" t="s">
        <v>166</v>
      </c>
      <c r="DE108" t="s">
        <v>166</v>
      </c>
      <c r="DF108" t="s">
        <v>205</v>
      </c>
      <c r="DG108">
        <v>35</v>
      </c>
      <c r="DH108" t="s">
        <v>201</v>
      </c>
      <c r="DI108">
        <v>1</v>
      </c>
      <c r="DJ108" t="s">
        <v>206</v>
      </c>
      <c r="DK108">
        <v>17</v>
      </c>
      <c r="DL108" t="s">
        <v>166</v>
      </c>
      <c r="DM108" t="s">
        <v>166</v>
      </c>
      <c r="DN108" t="s">
        <v>207</v>
      </c>
      <c r="DO108">
        <v>38</v>
      </c>
      <c r="DP108" t="s">
        <v>208</v>
      </c>
      <c r="DQ108">
        <v>3</v>
      </c>
      <c r="DR108" t="s">
        <v>209</v>
      </c>
      <c r="DS108" t="s">
        <v>166</v>
      </c>
      <c r="DT108" t="s">
        <v>166</v>
      </c>
      <c r="DU108" t="s">
        <v>166</v>
      </c>
      <c r="DV108" t="s">
        <v>166</v>
      </c>
      <c r="DW108">
        <v>432.6</v>
      </c>
      <c r="DX108" t="s">
        <v>166</v>
      </c>
      <c r="DY108" t="s">
        <v>166</v>
      </c>
      <c r="DZ108" t="s">
        <v>210</v>
      </c>
      <c r="EA108" t="s">
        <v>361</v>
      </c>
      <c r="EB108" t="s">
        <v>212</v>
      </c>
      <c r="EC108" t="s">
        <v>166</v>
      </c>
      <c r="ED108" t="s">
        <v>213</v>
      </c>
      <c r="EE108" s="155" t="s">
        <v>214</v>
      </c>
      <c r="EF108" s="155" t="s">
        <v>214</v>
      </c>
      <c r="EG108">
        <v>1.0271999999999999</v>
      </c>
      <c r="EH108" t="s">
        <v>215</v>
      </c>
      <c r="EI108" t="s">
        <v>215</v>
      </c>
      <c r="EJ108" t="s">
        <v>216</v>
      </c>
      <c r="EK108" t="s">
        <v>215</v>
      </c>
      <c r="EL108" t="s">
        <v>215</v>
      </c>
      <c r="EM108" t="s">
        <v>217</v>
      </c>
      <c r="EN108" s="156" t="s">
        <v>214</v>
      </c>
      <c r="EO108" s="156" t="s">
        <v>214</v>
      </c>
      <c r="EP108" s="156" t="s">
        <v>214</v>
      </c>
      <c r="EQ108" s="156" t="s">
        <v>214</v>
      </c>
      <c r="ET108" t="s">
        <v>218</v>
      </c>
      <c r="EU108" t="s">
        <v>219</v>
      </c>
      <c r="EV108" t="s">
        <v>213</v>
      </c>
      <c r="EW108" t="s">
        <v>166</v>
      </c>
      <c r="EX108" t="s">
        <v>166</v>
      </c>
      <c r="EY108" t="s">
        <v>166</v>
      </c>
      <c r="EZ108" t="s">
        <v>166</v>
      </c>
      <c r="FA108" s="157">
        <v>6.5</v>
      </c>
      <c r="FB108" t="s">
        <v>220</v>
      </c>
      <c r="FC108" s="157">
        <v>1</v>
      </c>
      <c r="FD108" s="157">
        <v>1</v>
      </c>
      <c r="FE108" s="177">
        <v>7.7224745965842301</v>
      </c>
      <c r="FF108" t="s">
        <v>221</v>
      </c>
      <c r="FG108" s="177">
        <v>3.2898530185240027E-2</v>
      </c>
      <c r="FH108" s="177">
        <v>3.4120594987269826E-2</v>
      </c>
      <c r="FI108" s="178">
        <v>978.13881224374097</v>
      </c>
      <c r="FK108" t="s">
        <v>166</v>
      </c>
      <c r="FL108" s="144">
        <f t="shared" si="79"/>
        <v>978.13881224374097</v>
      </c>
      <c r="FM108" s="178">
        <v>205.18697946341888</v>
      </c>
      <c r="FN108" s="178">
        <v>165.19870317278003</v>
      </c>
      <c r="FO108" t="s">
        <v>222</v>
      </c>
      <c r="FP108" t="s">
        <v>223</v>
      </c>
      <c r="FQ108" s="144" t="s">
        <v>166</v>
      </c>
      <c r="FR108" s="144" t="s">
        <v>166</v>
      </c>
      <c r="FS108" s="144" t="s">
        <v>166</v>
      </c>
      <c r="FT108" s="144" t="s">
        <v>166</v>
      </c>
      <c r="FU108" s="144" t="s">
        <v>166</v>
      </c>
      <c r="FV108" s="144" t="s">
        <v>166</v>
      </c>
      <c r="FW108" s="144" t="s">
        <v>166</v>
      </c>
      <c r="FX108" s="144" t="s">
        <v>166</v>
      </c>
      <c r="FY108" s="144" t="s">
        <v>166</v>
      </c>
      <c r="FZ108" s="144" t="s">
        <v>166</v>
      </c>
      <c r="GA108" s="144" t="s">
        <v>166</v>
      </c>
      <c r="GB108" s="144" t="s">
        <v>166</v>
      </c>
      <c r="GC108" s="158" t="s">
        <v>362</v>
      </c>
    </row>
    <row r="109" spans="1:185" ht="16">
      <c r="A109" s="140" t="s">
        <v>162</v>
      </c>
      <c r="B109" s="143" t="s">
        <v>163</v>
      </c>
      <c r="C109" s="140" t="s">
        <v>164</v>
      </c>
      <c r="D109" s="140" t="s">
        <v>165</v>
      </c>
      <c r="E109" s="140">
        <v>2020</v>
      </c>
      <c r="F109" t="s">
        <v>184</v>
      </c>
      <c r="G109" s="139">
        <v>41467.757567561472</v>
      </c>
      <c r="H109" s="147">
        <f t="shared" ref="H109" si="110">0.0083*G109^(0.9482)</f>
        <v>198.42264598837932</v>
      </c>
      <c r="I109" s="147">
        <f t="shared" si="67"/>
        <v>198.42264598837932</v>
      </c>
      <c r="J109" s="144">
        <v>963.43918405232193</v>
      </c>
      <c r="K109" s="144">
        <v>195.68922164718811</v>
      </c>
      <c r="L109" s="144">
        <v>180.5151065513179</v>
      </c>
      <c r="M109" t="b">
        <v>1</v>
      </c>
      <c r="N109">
        <v>3</v>
      </c>
      <c r="O109" s="140" t="s">
        <v>185</v>
      </c>
      <c r="P109" s="140" t="s">
        <v>166</v>
      </c>
      <c r="Q109" s="140" t="s">
        <v>166</v>
      </c>
      <c r="R109" s="140" t="s">
        <v>166</v>
      </c>
      <c r="S109" s="140" t="b">
        <v>1</v>
      </c>
      <c r="T109" s="140" t="b">
        <v>0</v>
      </c>
      <c r="U109" s="140" t="s">
        <v>166</v>
      </c>
      <c r="V109" s="140" t="b">
        <v>0</v>
      </c>
      <c r="W109" s="140" t="b">
        <v>0</v>
      </c>
      <c r="X109" s="140" t="s">
        <v>580</v>
      </c>
      <c r="Y109" s="148" t="s">
        <v>186</v>
      </c>
      <c r="Z109" t="s">
        <v>184</v>
      </c>
      <c r="AA109" s="149">
        <v>865</v>
      </c>
      <c r="AB109" s="149" t="s">
        <v>233</v>
      </c>
      <c r="AC109" s="149">
        <v>5</v>
      </c>
      <c r="AD109" s="149">
        <v>6</v>
      </c>
      <c r="AE109">
        <v>0</v>
      </c>
      <c r="AF109">
        <v>10</v>
      </c>
      <c r="AG109" s="150">
        <v>44</v>
      </c>
      <c r="AH109" t="s">
        <v>166</v>
      </c>
      <c r="AI109" t="s">
        <v>166</v>
      </c>
      <c r="AJ109" t="s">
        <v>253</v>
      </c>
      <c r="AK109">
        <v>18.440300000000001</v>
      </c>
      <c r="AL109">
        <v>-179.5558</v>
      </c>
      <c r="AM109" s="163">
        <v>11.417391777038574</v>
      </c>
      <c r="AN109" t="s">
        <v>166</v>
      </c>
      <c r="AO109">
        <v>-1530</v>
      </c>
      <c r="AP109">
        <v>-1400</v>
      </c>
      <c r="AQ109" t="s">
        <v>254</v>
      </c>
      <c r="AR109" t="s">
        <v>166</v>
      </c>
      <c r="AS109" s="150">
        <v>41.46775756756147</v>
      </c>
      <c r="AT109" t="s">
        <v>166</v>
      </c>
      <c r="AU109" t="s">
        <v>166</v>
      </c>
      <c r="AV109" t="s">
        <v>166</v>
      </c>
      <c r="AW109" t="s">
        <v>255</v>
      </c>
      <c r="AX109" t="s">
        <v>256</v>
      </c>
      <c r="AY109" t="s">
        <v>166</v>
      </c>
      <c r="AZ109" t="s">
        <v>166</v>
      </c>
      <c r="BA109" t="s">
        <v>166</v>
      </c>
      <c r="BB109" t="s">
        <v>166</v>
      </c>
      <c r="BC109" t="s">
        <v>166</v>
      </c>
      <c r="BD109" t="s">
        <v>166</v>
      </c>
      <c r="BE109" t="s">
        <v>166</v>
      </c>
      <c r="BF109" t="s">
        <v>166</v>
      </c>
      <c r="BG109" s="151" t="s">
        <v>191</v>
      </c>
      <c r="BH109" s="149" t="s">
        <v>192</v>
      </c>
      <c r="BI109" t="s">
        <v>166</v>
      </c>
      <c r="BJ109" s="152" t="s">
        <v>166</v>
      </c>
      <c r="BK109" t="s">
        <v>279</v>
      </c>
      <c r="BL109" t="s">
        <v>194</v>
      </c>
      <c r="BM109" t="s">
        <v>195</v>
      </c>
      <c r="BN109" t="s">
        <v>166</v>
      </c>
      <c r="BO109" t="s">
        <v>166</v>
      </c>
      <c r="BP109" t="s">
        <v>166</v>
      </c>
      <c r="BQ109" s="150">
        <v>15.005666220469948</v>
      </c>
      <c r="BR109" t="s">
        <v>196</v>
      </c>
      <c r="BS109" s="150">
        <v>0.2845878353299936</v>
      </c>
      <c r="BT109">
        <v>0.88</v>
      </c>
      <c r="BU109" t="s">
        <v>197</v>
      </c>
      <c r="BV109" t="s">
        <v>166</v>
      </c>
      <c r="BW109">
        <v>1.748</v>
      </c>
      <c r="BX109" t="s">
        <v>197</v>
      </c>
      <c r="BY109" t="s">
        <v>166</v>
      </c>
      <c r="BZ109" t="s">
        <v>396</v>
      </c>
      <c r="CA109" t="s">
        <v>360</v>
      </c>
      <c r="CB109" s="150">
        <f t="shared" si="78"/>
        <v>14.952986274013554</v>
      </c>
      <c r="CC109" t="s">
        <v>196</v>
      </c>
      <c r="CD109" s="150">
        <v>0.2845878353299936</v>
      </c>
      <c r="CE109" t="s">
        <v>199</v>
      </c>
      <c r="CF109" t="s">
        <v>166</v>
      </c>
      <c r="CG109" t="s">
        <v>200</v>
      </c>
      <c r="CH109" t="s">
        <v>166</v>
      </c>
      <c r="CI109" t="s">
        <v>166</v>
      </c>
      <c r="CJ109" s="139">
        <v>34.948834670658208</v>
      </c>
      <c r="CK109" t="s">
        <v>201</v>
      </c>
      <c r="CL109">
        <v>2</v>
      </c>
      <c r="CM109">
        <v>2</v>
      </c>
      <c r="CN109" t="s">
        <v>166</v>
      </c>
      <c r="CO109" s="139">
        <v>3.9</v>
      </c>
      <c r="CP109" t="s">
        <v>166</v>
      </c>
      <c r="CQ109" t="s">
        <v>166</v>
      </c>
      <c r="CR109" t="s">
        <v>166</v>
      </c>
      <c r="CS109" s="153" t="s">
        <v>202</v>
      </c>
      <c r="CT109" t="s">
        <v>203</v>
      </c>
      <c r="CU109">
        <v>2.2000000000000002</v>
      </c>
      <c r="CV109" t="s">
        <v>204</v>
      </c>
      <c r="CW109" t="s">
        <v>166</v>
      </c>
      <c r="CX109" t="s">
        <v>166</v>
      </c>
      <c r="CY109" t="s">
        <v>166</v>
      </c>
      <c r="CZ109" t="s">
        <v>166</v>
      </c>
      <c r="DA109" s="154" t="s">
        <v>166</v>
      </c>
      <c r="DB109" t="s">
        <v>166</v>
      </c>
      <c r="DC109" t="s">
        <v>166</v>
      </c>
      <c r="DD109" t="s">
        <v>166</v>
      </c>
      <c r="DE109" t="s">
        <v>166</v>
      </c>
      <c r="DF109" t="s">
        <v>205</v>
      </c>
      <c r="DG109">
        <v>35</v>
      </c>
      <c r="DH109" t="s">
        <v>201</v>
      </c>
      <c r="DI109">
        <v>1</v>
      </c>
      <c r="DJ109" t="s">
        <v>206</v>
      </c>
      <c r="DK109">
        <v>17</v>
      </c>
      <c r="DL109" t="s">
        <v>166</v>
      </c>
      <c r="DM109" t="s">
        <v>166</v>
      </c>
      <c r="DN109" t="s">
        <v>207</v>
      </c>
      <c r="DO109">
        <v>38</v>
      </c>
      <c r="DP109" t="s">
        <v>208</v>
      </c>
      <c r="DQ109">
        <v>3</v>
      </c>
      <c r="DR109" t="s">
        <v>209</v>
      </c>
      <c r="DS109" t="s">
        <v>166</v>
      </c>
      <c r="DT109" t="s">
        <v>166</v>
      </c>
      <c r="DU109" t="s">
        <v>166</v>
      </c>
      <c r="DV109" t="s">
        <v>166</v>
      </c>
      <c r="DW109">
        <v>432.6</v>
      </c>
      <c r="DX109" t="s">
        <v>166</v>
      </c>
      <c r="DY109" t="s">
        <v>166</v>
      </c>
      <c r="DZ109" t="s">
        <v>210</v>
      </c>
      <c r="EA109" t="s">
        <v>361</v>
      </c>
      <c r="EB109" t="s">
        <v>212</v>
      </c>
      <c r="EC109" t="s">
        <v>166</v>
      </c>
      <c r="ED109" t="s">
        <v>213</v>
      </c>
      <c r="EE109" s="155" t="s">
        <v>214</v>
      </c>
      <c r="EF109" s="155" t="s">
        <v>214</v>
      </c>
      <c r="EG109">
        <v>1.0271999999999999</v>
      </c>
      <c r="EH109" t="s">
        <v>215</v>
      </c>
      <c r="EI109" t="s">
        <v>215</v>
      </c>
      <c r="EJ109" t="s">
        <v>216</v>
      </c>
      <c r="EK109" t="s">
        <v>215</v>
      </c>
      <c r="EL109" t="s">
        <v>215</v>
      </c>
      <c r="EM109" t="s">
        <v>217</v>
      </c>
      <c r="EN109" s="156" t="s">
        <v>214</v>
      </c>
      <c r="EO109" s="156" t="s">
        <v>214</v>
      </c>
      <c r="EP109" s="156" t="s">
        <v>214</v>
      </c>
      <c r="EQ109" s="156" t="s">
        <v>214</v>
      </c>
      <c r="ET109" t="s">
        <v>218</v>
      </c>
      <c r="EU109" t="s">
        <v>219</v>
      </c>
      <c r="EV109" t="s">
        <v>213</v>
      </c>
      <c r="EW109" t="s">
        <v>166</v>
      </c>
      <c r="EX109" t="s">
        <v>166</v>
      </c>
      <c r="EY109" t="s">
        <v>166</v>
      </c>
      <c r="EZ109" t="s">
        <v>166</v>
      </c>
      <c r="FA109" s="157">
        <v>6.5</v>
      </c>
      <c r="FB109" t="s">
        <v>220</v>
      </c>
      <c r="FC109" s="157">
        <v>1</v>
      </c>
      <c r="FD109" s="157">
        <v>1</v>
      </c>
      <c r="FE109" s="177">
        <v>7.6935201413055996</v>
      </c>
      <c r="FF109" t="s">
        <v>221</v>
      </c>
      <c r="FG109" s="177">
        <v>3.9165246941800014E-2</v>
      </c>
      <c r="FH109" s="177">
        <v>3.7610042690249479E-2</v>
      </c>
      <c r="FI109" s="178">
        <v>1094.23763809513</v>
      </c>
      <c r="FK109" t="s">
        <v>166</v>
      </c>
      <c r="FL109" s="144">
        <f t="shared" si="79"/>
        <v>1094.23763809513</v>
      </c>
      <c r="FM109" s="178">
        <v>241.41840141363991</v>
      </c>
      <c r="FN109" s="178">
        <v>202.812835025911</v>
      </c>
      <c r="FO109" t="s">
        <v>222</v>
      </c>
      <c r="FP109" t="s">
        <v>223</v>
      </c>
      <c r="FQ109" s="144" t="s">
        <v>166</v>
      </c>
      <c r="FR109" s="144" t="s">
        <v>166</v>
      </c>
      <c r="FS109" s="144" t="s">
        <v>166</v>
      </c>
      <c r="FT109" s="144" t="s">
        <v>166</v>
      </c>
      <c r="FU109" s="144" t="s">
        <v>166</v>
      </c>
      <c r="FV109" s="144" t="s">
        <v>166</v>
      </c>
      <c r="FW109" s="144" t="s">
        <v>166</v>
      </c>
      <c r="FX109" s="144" t="s">
        <v>166</v>
      </c>
      <c r="FY109" s="144" t="s">
        <v>166</v>
      </c>
      <c r="FZ109" s="144" t="s">
        <v>166</v>
      </c>
      <c r="GA109" s="144" t="s">
        <v>166</v>
      </c>
      <c r="GB109" s="144" t="s">
        <v>166</v>
      </c>
      <c r="GC109" s="158" t="s">
        <v>362</v>
      </c>
    </row>
    <row r="110" spans="1:185" ht="16">
      <c r="A110" s="140" t="s">
        <v>162</v>
      </c>
      <c r="B110" s="143" t="s">
        <v>163</v>
      </c>
      <c r="C110" s="140" t="s">
        <v>164</v>
      </c>
      <c r="D110" s="140" t="s">
        <v>165</v>
      </c>
      <c r="E110" s="140">
        <v>2020</v>
      </c>
      <c r="F110" t="s">
        <v>184</v>
      </c>
      <c r="G110" s="139">
        <v>42387.359974756007</v>
      </c>
      <c r="H110" s="147">
        <f t="shared" ref="H110" si="111">0.0083*G110^(0.9482)</f>
        <v>202.59261799023395</v>
      </c>
      <c r="I110" s="147">
        <f t="shared" si="67"/>
        <v>202.59261799023395</v>
      </c>
      <c r="J110" s="144">
        <v>885.72793898355997</v>
      </c>
      <c r="K110" s="144">
        <v>185.39853541981995</v>
      </c>
      <c r="L110" s="144">
        <v>148.83866432537798</v>
      </c>
      <c r="M110" t="b">
        <v>1</v>
      </c>
      <c r="N110">
        <v>3</v>
      </c>
      <c r="O110" s="140" t="s">
        <v>185</v>
      </c>
      <c r="P110" s="140" t="s">
        <v>166</v>
      </c>
      <c r="Q110" s="140" t="s">
        <v>166</v>
      </c>
      <c r="R110" s="140" t="s">
        <v>166</v>
      </c>
      <c r="S110" s="140" t="b">
        <v>1</v>
      </c>
      <c r="T110" s="140" t="b">
        <v>0</v>
      </c>
      <c r="U110" s="140" t="s">
        <v>166</v>
      </c>
      <c r="V110" s="140" t="b">
        <v>0</v>
      </c>
      <c r="W110" s="140" t="b">
        <v>0</v>
      </c>
      <c r="X110" s="140" t="s">
        <v>580</v>
      </c>
      <c r="Y110" s="148" t="s">
        <v>186</v>
      </c>
      <c r="Z110" t="s">
        <v>184</v>
      </c>
      <c r="AA110" s="149">
        <v>865</v>
      </c>
      <c r="AB110" s="149" t="s">
        <v>233</v>
      </c>
      <c r="AC110" s="149">
        <v>6</v>
      </c>
      <c r="AD110" s="149">
        <v>2</v>
      </c>
      <c r="AE110">
        <v>8</v>
      </c>
      <c r="AF110">
        <v>16</v>
      </c>
      <c r="AG110" s="150">
        <v>48.08</v>
      </c>
      <c r="AH110" t="s">
        <v>166</v>
      </c>
      <c r="AI110" t="s">
        <v>166</v>
      </c>
      <c r="AJ110" t="s">
        <v>253</v>
      </c>
      <c r="AK110">
        <v>18.440300000000001</v>
      </c>
      <c r="AL110">
        <v>-179.5558</v>
      </c>
      <c r="AM110" s="163">
        <v>11.488749504089355</v>
      </c>
      <c r="AN110" t="s">
        <v>166</v>
      </c>
      <c r="AO110">
        <v>-1530</v>
      </c>
      <c r="AP110">
        <v>-1400</v>
      </c>
      <c r="AQ110" t="s">
        <v>254</v>
      </c>
      <c r="AR110" t="s">
        <v>166</v>
      </c>
      <c r="AS110" s="150">
        <v>42.387359974756009</v>
      </c>
      <c r="AT110" t="s">
        <v>166</v>
      </c>
      <c r="AU110" t="s">
        <v>166</v>
      </c>
      <c r="AV110" t="s">
        <v>166</v>
      </c>
      <c r="AW110" t="s">
        <v>255</v>
      </c>
      <c r="AX110" t="s">
        <v>256</v>
      </c>
      <c r="AY110" t="s">
        <v>166</v>
      </c>
      <c r="AZ110" t="s">
        <v>166</v>
      </c>
      <c r="BA110" t="s">
        <v>166</v>
      </c>
      <c r="BB110" t="s">
        <v>166</v>
      </c>
      <c r="BC110" t="s">
        <v>166</v>
      </c>
      <c r="BD110" t="s">
        <v>166</v>
      </c>
      <c r="BE110" t="s">
        <v>166</v>
      </c>
      <c r="BF110" t="s">
        <v>166</v>
      </c>
      <c r="BG110" s="151" t="s">
        <v>191</v>
      </c>
      <c r="BH110" s="149" t="s">
        <v>192</v>
      </c>
      <c r="BI110" t="s">
        <v>166</v>
      </c>
      <c r="BJ110" s="152" t="s">
        <v>166</v>
      </c>
      <c r="BK110" t="s">
        <v>280</v>
      </c>
      <c r="BL110" t="s">
        <v>194</v>
      </c>
      <c r="BM110" t="s">
        <v>195</v>
      </c>
      <c r="BN110" t="s">
        <v>166</v>
      </c>
      <c r="BO110" t="s">
        <v>166</v>
      </c>
      <c r="BP110" t="s">
        <v>166</v>
      </c>
      <c r="BQ110" s="150">
        <v>15.122844102607891</v>
      </c>
      <c r="BR110" t="s">
        <v>196</v>
      </c>
      <c r="BS110" s="150">
        <v>0.2398985537528793</v>
      </c>
      <c r="BT110">
        <v>0.88</v>
      </c>
      <c r="BU110" t="s">
        <v>197</v>
      </c>
      <c r="BV110" t="s">
        <v>166</v>
      </c>
      <c r="BW110">
        <v>1.748</v>
      </c>
      <c r="BX110" t="s">
        <v>197</v>
      </c>
      <c r="BY110" t="s">
        <v>166</v>
      </c>
      <c r="BZ110" t="s">
        <v>397</v>
      </c>
      <c r="CA110" t="s">
        <v>360</v>
      </c>
      <c r="CB110" s="150">
        <f t="shared" si="78"/>
        <v>15.056102810294943</v>
      </c>
      <c r="CC110" t="s">
        <v>196</v>
      </c>
      <c r="CD110" s="150">
        <v>0.2398985537528793</v>
      </c>
      <c r="CE110" t="s">
        <v>199</v>
      </c>
      <c r="CF110" t="s">
        <v>166</v>
      </c>
      <c r="CG110" t="s">
        <v>200</v>
      </c>
      <c r="CH110" t="s">
        <v>166</v>
      </c>
      <c r="CI110" t="s">
        <v>166</v>
      </c>
      <c r="CJ110" s="139">
        <v>34.487982239970883</v>
      </c>
      <c r="CK110" t="s">
        <v>201</v>
      </c>
      <c r="CL110">
        <v>2</v>
      </c>
      <c r="CM110">
        <v>2</v>
      </c>
      <c r="CN110" t="s">
        <v>166</v>
      </c>
      <c r="CO110" s="139">
        <v>3.8</v>
      </c>
      <c r="CP110" t="s">
        <v>166</v>
      </c>
      <c r="CQ110" t="s">
        <v>166</v>
      </c>
      <c r="CR110" t="s">
        <v>166</v>
      </c>
      <c r="CS110" s="153" t="s">
        <v>202</v>
      </c>
      <c r="CT110" t="s">
        <v>203</v>
      </c>
      <c r="CU110">
        <v>2.2000000000000002</v>
      </c>
      <c r="CV110" t="s">
        <v>204</v>
      </c>
      <c r="CW110" t="s">
        <v>166</v>
      </c>
      <c r="CX110" t="s">
        <v>166</v>
      </c>
      <c r="CY110" t="s">
        <v>166</v>
      </c>
      <c r="CZ110" t="s">
        <v>166</v>
      </c>
      <c r="DA110" s="154" t="s">
        <v>166</v>
      </c>
      <c r="DB110" t="s">
        <v>166</v>
      </c>
      <c r="DC110" t="s">
        <v>166</v>
      </c>
      <c r="DD110" t="s">
        <v>166</v>
      </c>
      <c r="DE110" t="s">
        <v>166</v>
      </c>
      <c r="DF110" t="s">
        <v>205</v>
      </c>
      <c r="DG110">
        <v>35</v>
      </c>
      <c r="DH110" t="s">
        <v>201</v>
      </c>
      <c r="DI110">
        <v>1</v>
      </c>
      <c r="DJ110" t="s">
        <v>206</v>
      </c>
      <c r="DK110">
        <v>17</v>
      </c>
      <c r="DL110" t="s">
        <v>166</v>
      </c>
      <c r="DM110" t="s">
        <v>166</v>
      </c>
      <c r="DN110" t="s">
        <v>207</v>
      </c>
      <c r="DO110">
        <v>38</v>
      </c>
      <c r="DP110" t="s">
        <v>208</v>
      </c>
      <c r="DQ110">
        <v>3</v>
      </c>
      <c r="DR110" t="s">
        <v>209</v>
      </c>
      <c r="DS110" t="s">
        <v>166</v>
      </c>
      <c r="DT110" t="s">
        <v>166</v>
      </c>
      <c r="DU110" t="s">
        <v>166</v>
      </c>
      <c r="DV110" t="s">
        <v>166</v>
      </c>
      <c r="DW110">
        <v>432.6</v>
      </c>
      <c r="DX110" t="s">
        <v>166</v>
      </c>
      <c r="DY110" t="s">
        <v>166</v>
      </c>
      <c r="DZ110" t="s">
        <v>210</v>
      </c>
      <c r="EA110" t="s">
        <v>361</v>
      </c>
      <c r="EB110" t="s">
        <v>212</v>
      </c>
      <c r="EC110" t="s">
        <v>166</v>
      </c>
      <c r="ED110" t="s">
        <v>213</v>
      </c>
      <c r="EE110" s="155" t="s">
        <v>214</v>
      </c>
      <c r="EF110" s="155" t="s">
        <v>214</v>
      </c>
      <c r="EG110">
        <v>1.0271999999999999</v>
      </c>
      <c r="EH110" t="s">
        <v>215</v>
      </c>
      <c r="EI110" t="s">
        <v>215</v>
      </c>
      <c r="EJ110" t="s">
        <v>216</v>
      </c>
      <c r="EK110" t="s">
        <v>215</v>
      </c>
      <c r="EL110" t="s">
        <v>215</v>
      </c>
      <c r="EM110" t="s">
        <v>217</v>
      </c>
      <c r="EN110" s="156" t="s">
        <v>214</v>
      </c>
      <c r="EO110" s="156" t="s">
        <v>214</v>
      </c>
      <c r="EP110" s="156" t="s">
        <v>214</v>
      </c>
      <c r="EQ110" s="156" t="s">
        <v>214</v>
      </c>
      <c r="ET110" t="s">
        <v>218</v>
      </c>
      <c r="EU110" t="s">
        <v>219</v>
      </c>
      <c r="EV110" t="s">
        <v>213</v>
      </c>
      <c r="EW110" t="s">
        <v>166</v>
      </c>
      <c r="EX110" t="s">
        <v>166</v>
      </c>
      <c r="EY110" t="s">
        <v>166</v>
      </c>
      <c r="EZ110" t="s">
        <v>166</v>
      </c>
      <c r="FA110" s="157">
        <v>6.5</v>
      </c>
      <c r="FB110" t="s">
        <v>220</v>
      </c>
      <c r="FC110" s="157">
        <v>1</v>
      </c>
      <c r="FD110" s="157">
        <v>1</v>
      </c>
      <c r="FE110" s="177">
        <v>7.7158580320965298</v>
      </c>
      <c r="FF110" t="s">
        <v>221</v>
      </c>
      <c r="FG110" s="177">
        <v>3.2687537176930626E-2</v>
      </c>
      <c r="FH110" s="177">
        <v>3.3065579223070074E-2</v>
      </c>
      <c r="FI110" s="178">
        <v>1004.2440718143199</v>
      </c>
      <c r="FK110" t="s">
        <v>166</v>
      </c>
      <c r="FL110" s="144">
        <f t="shared" si="79"/>
        <v>1004.2440718143199</v>
      </c>
      <c r="FM110" s="178">
        <v>206.43854779640003</v>
      </c>
      <c r="FN110" s="178">
        <v>166.51524744907192</v>
      </c>
      <c r="FO110" t="s">
        <v>222</v>
      </c>
      <c r="FP110" t="s">
        <v>223</v>
      </c>
      <c r="FQ110" s="144" t="s">
        <v>166</v>
      </c>
      <c r="FR110" s="144" t="s">
        <v>166</v>
      </c>
      <c r="FS110" s="144" t="s">
        <v>166</v>
      </c>
      <c r="FT110" s="144" t="s">
        <v>166</v>
      </c>
      <c r="FU110" s="144" t="s">
        <v>166</v>
      </c>
      <c r="FV110" s="144" t="s">
        <v>166</v>
      </c>
      <c r="FW110" s="144" t="s">
        <v>166</v>
      </c>
      <c r="FX110" s="144" t="s">
        <v>166</v>
      </c>
      <c r="FY110" s="144" t="s">
        <v>166</v>
      </c>
      <c r="FZ110" s="144" t="s">
        <v>166</v>
      </c>
      <c r="GA110" s="144" t="s">
        <v>166</v>
      </c>
      <c r="GB110" s="144" t="s">
        <v>166</v>
      </c>
      <c r="GC110" s="158" t="s">
        <v>362</v>
      </c>
    </row>
    <row r="111" spans="1:185" ht="16">
      <c r="A111" s="140" t="s">
        <v>162</v>
      </c>
      <c r="B111" s="143" t="s">
        <v>163</v>
      </c>
      <c r="C111" s="140" t="s">
        <v>164</v>
      </c>
      <c r="D111" s="140" t="s">
        <v>165</v>
      </c>
      <c r="E111" s="140">
        <v>2020</v>
      </c>
      <c r="F111" t="s">
        <v>184</v>
      </c>
      <c r="G111" s="139">
        <v>43068.046070277451</v>
      </c>
      <c r="H111" s="147">
        <f t="shared" ref="H111" si="112">0.0083*G111^(0.9482)</f>
        <v>205.67619229715345</v>
      </c>
      <c r="I111" s="147">
        <f t="shared" si="67"/>
        <v>205.67619229715345</v>
      </c>
      <c r="J111" s="144">
        <v>945.05197650413606</v>
      </c>
      <c r="K111" s="144">
        <v>199.58105623894403</v>
      </c>
      <c r="L111" s="144">
        <v>173.51594873080603</v>
      </c>
      <c r="M111" t="b">
        <v>1</v>
      </c>
      <c r="N111">
        <v>3</v>
      </c>
      <c r="O111" s="140" t="s">
        <v>185</v>
      </c>
      <c r="P111" s="140" t="s">
        <v>166</v>
      </c>
      <c r="Q111" s="140" t="s">
        <v>166</v>
      </c>
      <c r="R111" s="140" t="s">
        <v>166</v>
      </c>
      <c r="S111" s="140" t="b">
        <v>1</v>
      </c>
      <c r="T111" s="140" t="b">
        <v>0</v>
      </c>
      <c r="U111" s="140" t="s">
        <v>166</v>
      </c>
      <c r="V111" s="140" t="b">
        <v>0</v>
      </c>
      <c r="W111" s="140" t="b">
        <v>0</v>
      </c>
      <c r="X111" s="140" t="s">
        <v>580</v>
      </c>
      <c r="Y111" s="148" t="s">
        <v>186</v>
      </c>
      <c r="Z111" t="s">
        <v>184</v>
      </c>
      <c r="AA111" s="149">
        <v>865</v>
      </c>
      <c r="AB111" s="149" t="s">
        <v>233</v>
      </c>
      <c r="AC111" s="149">
        <v>6</v>
      </c>
      <c r="AD111" s="149">
        <v>4</v>
      </c>
      <c r="AE111">
        <v>10</v>
      </c>
      <c r="AF111">
        <v>17</v>
      </c>
      <c r="AG111" s="150">
        <v>51.1</v>
      </c>
      <c r="AH111" t="s">
        <v>166</v>
      </c>
      <c r="AI111" t="s">
        <v>166</v>
      </c>
      <c r="AJ111" t="s">
        <v>253</v>
      </c>
      <c r="AK111">
        <v>18.440300000000001</v>
      </c>
      <c r="AL111">
        <v>-179.5558</v>
      </c>
      <c r="AM111" s="163">
        <v>11.541567802429199</v>
      </c>
      <c r="AN111" t="s">
        <v>166</v>
      </c>
      <c r="AO111">
        <v>-1530</v>
      </c>
      <c r="AP111">
        <v>-1400</v>
      </c>
      <c r="AQ111" t="s">
        <v>254</v>
      </c>
      <c r="AR111" t="s">
        <v>166</v>
      </c>
      <c r="AS111" s="150">
        <v>43.068046070277454</v>
      </c>
      <c r="AT111" t="s">
        <v>166</v>
      </c>
      <c r="AU111" t="s">
        <v>166</v>
      </c>
      <c r="AV111" t="s">
        <v>166</v>
      </c>
      <c r="AW111" t="s">
        <v>255</v>
      </c>
      <c r="AX111" t="s">
        <v>256</v>
      </c>
      <c r="AY111" t="s">
        <v>166</v>
      </c>
      <c r="AZ111" t="s">
        <v>166</v>
      </c>
      <c r="BA111" t="s">
        <v>166</v>
      </c>
      <c r="BB111" t="s">
        <v>166</v>
      </c>
      <c r="BC111" t="s">
        <v>166</v>
      </c>
      <c r="BD111" t="s">
        <v>166</v>
      </c>
      <c r="BE111" t="s">
        <v>166</v>
      </c>
      <c r="BF111" t="s">
        <v>166</v>
      </c>
      <c r="BG111" s="151" t="s">
        <v>281</v>
      </c>
      <c r="BH111" s="149" t="s">
        <v>192</v>
      </c>
      <c r="BI111" t="s">
        <v>166</v>
      </c>
      <c r="BJ111" s="152" t="s">
        <v>166</v>
      </c>
      <c r="BK111" t="s">
        <v>282</v>
      </c>
      <c r="BL111" t="s">
        <v>194</v>
      </c>
      <c r="BM111" t="s">
        <v>195</v>
      </c>
      <c r="BN111" t="s">
        <v>166</v>
      </c>
      <c r="BO111" t="s">
        <v>166</v>
      </c>
      <c r="BP111" t="s">
        <v>166</v>
      </c>
      <c r="BQ111" s="150">
        <v>15.017208877700195</v>
      </c>
      <c r="BR111" t="s">
        <v>196</v>
      </c>
      <c r="BS111" s="150">
        <v>0.25209536041231939</v>
      </c>
      <c r="BT111">
        <v>0.88</v>
      </c>
      <c r="BU111" t="s">
        <v>197</v>
      </c>
      <c r="BV111" t="s">
        <v>166</v>
      </c>
      <c r="BW111">
        <v>1.748</v>
      </c>
      <c r="BX111" t="s">
        <v>197</v>
      </c>
      <c r="BY111" t="s">
        <v>166</v>
      </c>
      <c r="BZ111" t="s">
        <v>398</v>
      </c>
      <c r="CA111" t="s">
        <v>360</v>
      </c>
      <c r="CB111" s="150">
        <f t="shared" si="78"/>
        <v>14.96314381237617</v>
      </c>
      <c r="CC111" t="s">
        <v>196</v>
      </c>
      <c r="CD111" s="150">
        <v>0.25209536041231939</v>
      </c>
      <c r="CE111" t="s">
        <v>199</v>
      </c>
      <c r="CF111" t="s">
        <v>166</v>
      </c>
      <c r="CG111" t="s">
        <v>200</v>
      </c>
      <c r="CH111" t="s">
        <v>166</v>
      </c>
      <c r="CI111" t="s">
        <v>166</v>
      </c>
      <c r="CJ111" s="139">
        <v>34.487982239970883</v>
      </c>
      <c r="CK111" t="s">
        <v>201</v>
      </c>
      <c r="CL111">
        <v>2</v>
      </c>
      <c r="CM111">
        <v>2</v>
      </c>
      <c r="CN111" t="s">
        <v>166</v>
      </c>
      <c r="CO111" s="139">
        <v>3.8</v>
      </c>
      <c r="CP111" t="s">
        <v>166</v>
      </c>
      <c r="CQ111" t="s">
        <v>166</v>
      </c>
      <c r="CR111" t="s">
        <v>166</v>
      </c>
      <c r="CS111" s="153" t="s">
        <v>202</v>
      </c>
      <c r="CT111" t="s">
        <v>203</v>
      </c>
      <c r="CU111">
        <v>2.2000000000000002</v>
      </c>
      <c r="CV111" t="s">
        <v>204</v>
      </c>
      <c r="CW111" t="s">
        <v>166</v>
      </c>
      <c r="CX111" t="s">
        <v>166</v>
      </c>
      <c r="CY111" t="s">
        <v>166</v>
      </c>
      <c r="CZ111" t="s">
        <v>166</v>
      </c>
      <c r="DA111" s="154" t="s">
        <v>166</v>
      </c>
      <c r="DB111" t="s">
        <v>166</v>
      </c>
      <c r="DC111" t="s">
        <v>166</v>
      </c>
      <c r="DD111" t="s">
        <v>166</v>
      </c>
      <c r="DE111" t="s">
        <v>166</v>
      </c>
      <c r="DF111" t="s">
        <v>205</v>
      </c>
      <c r="DG111">
        <v>35</v>
      </c>
      <c r="DH111" t="s">
        <v>201</v>
      </c>
      <c r="DI111">
        <v>1</v>
      </c>
      <c r="DJ111" t="s">
        <v>206</v>
      </c>
      <c r="DK111">
        <v>17</v>
      </c>
      <c r="DL111" t="s">
        <v>166</v>
      </c>
      <c r="DM111" t="s">
        <v>166</v>
      </c>
      <c r="DN111" t="s">
        <v>207</v>
      </c>
      <c r="DO111">
        <v>38</v>
      </c>
      <c r="DP111" t="s">
        <v>208</v>
      </c>
      <c r="DQ111">
        <v>3</v>
      </c>
      <c r="DR111" t="s">
        <v>209</v>
      </c>
      <c r="DS111" t="s">
        <v>166</v>
      </c>
      <c r="DT111" t="s">
        <v>166</v>
      </c>
      <c r="DU111" t="s">
        <v>166</v>
      </c>
      <c r="DV111" t="s">
        <v>166</v>
      </c>
      <c r="DW111">
        <v>432.6</v>
      </c>
      <c r="DX111" t="s">
        <v>166</v>
      </c>
      <c r="DY111" t="s">
        <v>166</v>
      </c>
      <c r="DZ111" t="s">
        <v>210</v>
      </c>
      <c r="EA111" t="s">
        <v>361</v>
      </c>
      <c r="EB111" t="s">
        <v>212</v>
      </c>
      <c r="EC111" t="s">
        <v>166</v>
      </c>
      <c r="ED111" t="s">
        <v>213</v>
      </c>
      <c r="EE111" s="155" t="s">
        <v>214</v>
      </c>
      <c r="EF111" s="155" t="s">
        <v>214</v>
      </c>
      <c r="EG111">
        <v>1.0271999999999999</v>
      </c>
      <c r="EH111" t="s">
        <v>215</v>
      </c>
      <c r="EI111" t="s">
        <v>215</v>
      </c>
      <c r="EJ111" t="s">
        <v>216</v>
      </c>
      <c r="EK111" t="s">
        <v>215</v>
      </c>
      <c r="EL111" t="s">
        <v>215</v>
      </c>
      <c r="EM111" t="s">
        <v>217</v>
      </c>
      <c r="EN111" s="156" t="s">
        <v>214</v>
      </c>
      <c r="EO111" s="156" t="s">
        <v>214</v>
      </c>
      <c r="EP111" s="156" t="s">
        <v>214</v>
      </c>
      <c r="EQ111" s="156" t="s">
        <v>214</v>
      </c>
      <c r="ET111" t="s">
        <v>218</v>
      </c>
      <c r="EU111" t="s">
        <v>219</v>
      </c>
      <c r="EV111" t="s">
        <v>213</v>
      </c>
      <c r="EW111" t="s">
        <v>166</v>
      </c>
      <c r="EX111" t="s">
        <v>166</v>
      </c>
      <c r="EY111" t="s">
        <v>166</v>
      </c>
      <c r="EZ111" t="s">
        <v>166</v>
      </c>
      <c r="FA111" s="157">
        <v>6.5</v>
      </c>
      <c r="FB111" t="s">
        <v>220</v>
      </c>
      <c r="FC111" s="157">
        <v>1</v>
      </c>
      <c r="FD111" s="157">
        <v>1</v>
      </c>
      <c r="FE111" s="177">
        <v>7.7001544806587798</v>
      </c>
      <c r="FF111" t="s">
        <v>221</v>
      </c>
      <c r="FG111" s="177">
        <v>3.6672561295969963E-2</v>
      </c>
      <c r="FH111" s="177">
        <v>3.500232346511023E-2</v>
      </c>
      <c r="FI111" s="178">
        <v>1084.99240087518</v>
      </c>
      <c r="FK111" t="s">
        <v>166</v>
      </c>
      <c r="FL111" s="144">
        <f t="shared" si="79"/>
        <v>1084.99240087518</v>
      </c>
      <c r="FM111" s="178">
        <v>220.11565839148011</v>
      </c>
      <c r="FN111" s="178">
        <v>189.93141629258605</v>
      </c>
      <c r="FO111" t="s">
        <v>222</v>
      </c>
      <c r="FP111" t="s">
        <v>223</v>
      </c>
      <c r="FQ111" s="144" t="s">
        <v>166</v>
      </c>
      <c r="FR111" s="144" t="s">
        <v>166</v>
      </c>
      <c r="FS111" s="144" t="s">
        <v>166</v>
      </c>
      <c r="FT111" s="144" t="s">
        <v>166</v>
      </c>
      <c r="FU111" s="144" t="s">
        <v>166</v>
      </c>
      <c r="FV111" s="144" t="s">
        <v>166</v>
      </c>
      <c r="FW111" s="144" t="s">
        <v>166</v>
      </c>
      <c r="FX111" s="144" t="s">
        <v>166</v>
      </c>
      <c r="FY111" s="144" t="s">
        <v>166</v>
      </c>
      <c r="FZ111" s="144" t="s">
        <v>166</v>
      </c>
      <c r="GA111" s="144" t="s">
        <v>166</v>
      </c>
      <c r="GB111" s="144" t="s">
        <v>166</v>
      </c>
      <c r="GC111" s="158" t="s">
        <v>362</v>
      </c>
    </row>
    <row r="112" spans="1:185" ht="16">
      <c r="A112" s="140" t="s">
        <v>162</v>
      </c>
      <c r="B112" s="143" t="s">
        <v>163</v>
      </c>
      <c r="C112" s="140" t="s">
        <v>164</v>
      </c>
      <c r="D112" s="140" t="s">
        <v>165</v>
      </c>
      <c r="E112" s="140">
        <v>2020</v>
      </c>
      <c r="F112" t="s">
        <v>184</v>
      </c>
      <c r="G112" s="139">
        <v>43068.046070277451</v>
      </c>
      <c r="H112" s="147">
        <f t="shared" ref="H112" si="113">0.0083*G112^(0.9482)</f>
        <v>205.67619229715345</v>
      </c>
      <c r="I112" s="147">
        <f t="shared" si="67"/>
        <v>205.67619229715345</v>
      </c>
      <c r="J112" s="144">
        <v>955.12480562760595</v>
      </c>
      <c r="K112" s="144">
        <v>182.42361679147405</v>
      </c>
      <c r="L112" s="144">
        <v>159.99066647145094</v>
      </c>
      <c r="M112" t="b">
        <v>1</v>
      </c>
      <c r="N112">
        <v>3</v>
      </c>
      <c r="O112" s="140" t="s">
        <v>185</v>
      </c>
      <c r="P112" s="140" t="s">
        <v>166</v>
      </c>
      <c r="Q112" s="140" t="s">
        <v>166</v>
      </c>
      <c r="R112" s="140" t="s">
        <v>166</v>
      </c>
      <c r="S112" s="140" t="b">
        <v>1</v>
      </c>
      <c r="T112" s="140" t="b">
        <v>0</v>
      </c>
      <c r="U112" s="140" t="s">
        <v>166</v>
      </c>
      <c r="V112" s="140" t="b">
        <v>0</v>
      </c>
      <c r="W112" s="140" t="b">
        <v>0</v>
      </c>
      <c r="X112" s="140" t="s">
        <v>580</v>
      </c>
      <c r="Y112" s="148" t="s">
        <v>186</v>
      </c>
      <c r="Z112" t="s">
        <v>184</v>
      </c>
      <c r="AA112" s="149">
        <v>865</v>
      </c>
      <c r="AB112" s="149" t="s">
        <v>233</v>
      </c>
      <c r="AC112" s="149">
        <v>6</v>
      </c>
      <c r="AD112" s="149">
        <v>4</v>
      </c>
      <c r="AE112">
        <v>10</v>
      </c>
      <c r="AF112">
        <v>17</v>
      </c>
      <c r="AG112" s="150">
        <v>51.1</v>
      </c>
      <c r="AH112" t="s">
        <v>166</v>
      </c>
      <c r="AI112" t="s">
        <v>166</v>
      </c>
      <c r="AJ112" t="s">
        <v>253</v>
      </c>
      <c r="AK112">
        <v>18.440300000000001</v>
      </c>
      <c r="AL112">
        <v>-179.5558</v>
      </c>
      <c r="AM112" s="163">
        <v>11.541567802429199</v>
      </c>
      <c r="AN112" t="s">
        <v>166</v>
      </c>
      <c r="AO112">
        <v>-1530</v>
      </c>
      <c r="AP112">
        <v>-1400</v>
      </c>
      <c r="AQ112" t="s">
        <v>254</v>
      </c>
      <c r="AR112" t="s">
        <v>166</v>
      </c>
      <c r="AS112" s="150">
        <v>43.068046070277454</v>
      </c>
      <c r="AT112" t="s">
        <v>166</v>
      </c>
      <c r="AU112" t="s">
        <v>166</v>
      </c>
      <c r="AV112" t="s">
        <v>166</v>
      </c>
      <c r="AW112" t="s">
        <v>255</v>
      </c>
      <c r="AX112" t="s">
        <v>256</v>
      </c>
      <c r="AY112" t="s">
        <v>166</v>
      </c>
      <c r="AZ112" t="s">
        <v>166</v>
      </c>
      <c r="BA112" t="s">
        <v>166</v>
      </c>
      <c r="BB112" t="s">
        <v>166</v>
      </c>
      <c r="BC112" t="s">
        <v>166</v>
      </c>
      <c r="BD112" t="s">
        <v>166</v>
      </c>
      <c r="BE112" t="s">
        <v>166</v>
      </c>
      <c r="BF112" t="s">
        <v>166</v>
      </c>
      <c r="BG112" s="151" t="s">
        <v>229</v>
      </c>
      <c r="BH112" s="149" t="s">
        <v>192</v>
      </c>
      <c r="BI112" t="s">
        <v>166</v>
      </c>
      <c r="BJ112" s="152" t="s">
        <v>166</v>
      </c>
      <c r="BK112" t="s">
        <v>283</v>
      </c>
      <c r="BL112" t="s">
        <v>194</v>
      </c>
      <c r="BM112" t="s">
        <v>195</v>
      </c>
      <c r="BN112" t="s">
        <v>166</v>
      </c>
      <c r="BO112" t="s">
        <v>166</v>
      </c>
      <c r="BP112" t="s">
        <v>166</v>
      </c>
      <c r="BQ112" s="150">
        <v>15.029728059669178</v>
      </c>
      <c r="BR112" t="s">
        <v>196</v>
      </c>
      <c r="BS112" s="150">
        <v>0.23396909538784755</v>
      </c>
      <c r="BT112">
        <v>0.88</v>
      </c>
      <c r="BU112" t="s">
        <v>197</v>
      </c>
      <c r="BV112" t="s">
        <v>166</v>
      </c>
      <c r="BW112">
        <v>1.748</v>
      </c>
      <c r="BX112" t="s">
        <v>197</v>
      </c>
      <c r="BY112" t="s">
        <v>166</v>
      </c>
      <c r="BZ112" t="s">
        <v>399</v>
      </c>
      <c r="CA112" t="s">
        <v>360</v>
      </c>
      <c r="CB112" s="150">
        <f t="shared" si="78"/>
        <v>14.974160692508876</v>
      </c>
      <c r="CC112" t="s">
        <v>196</v>
      </c>
      <c r="CD112" s="150">
        <v>0.23396909538784755</v>
      </c>
      <c r="CE112" t="s">
        <v>199</v>
      </c>
      <c r="CF112" t="s">
        <v>166</v>
      </c>
      <c r="CG112" t="s">
        <v>200</v>
      </c>
      <c r="CH112" t="s">
        <v>166</v>
      </c>
      <c r="CI112" t="s">
        <v>166</v>
      </c>
      <c r="CJ112" s="139">
        <v>35.540726575932766</v>
      </c>
      <c r="CK112" t="s">
        <v>201</v>
      </c>
      <c r="CL112">
        <v>2</v>
      </c>
      <c r="CM112">
        <v>2</v>
      </c>
      <c r="CN112" t="s">
        <v>166</v>
      </c>
      <c r="CO112" s="139">
        <v>4.0323040956955625</v>
      </c>
      <c r="CP112" t="s">
        <v>166</v>
      </c>
      <c r="CQ112" t="s">
        <v>166</v>
      </c>
      <c r="CR112" t="s">
        <v>166</v>
      </c>
      <c r="CS112" s="153" t="s">
        <v>202</v>
      </c>
      <c r="CT112" t="s">
        <v>203</v>
      </c>
      <c r="CU112">
        <v>2.2000000000000002</v>
      </c>
      <c r="CV112" t="s">
        <v>204</v>
      </c>
      <c r="CW112" t="s">
        <v>166</v>
      </c>
      <c r="CX112" t="s">
        <v>166</v>
      </c>
      <c r="CY112" t="s">
        <v>166</v>
      </c>
      <c r="CZ112" t="s">
        <v>166</v>
      </c>
      <c r="DA112" s="154" t="s">
        <v>166</v>
      </c>
      <c r="DB112" t="s">
        <v>166</v>
      </c>
      <c r="DC112" t="s">
        <v>166</v>
      </c>
      <c r="DD112" t="s">
        <v>166</v>
      </c>
      <c r="DE112" t="s">
        <v>166</v>
      </c>
      <c r="DF112" t="s">
        <v>205</v>
      </c>
      <c r="DG112">
        <v>35</v>
      </c>
      <c r="DH112" t="s">
        <v>201</v>
      </c>
      <c r="DI112">
        <v>1</v>
      </c>
      <c r="DJ112" t="s">
        <v>206</v>
      </c>
      <c r="DK112">
        <v>17</v>
      </c>
      <c r="DL112" t="s">
        <v>166</v>
      </c>
      <c r="DM112" t="s">
        <v>166</v>
      </c>
      <c r="DN112" t="s">
        <v>207</v>
      </c>
      <c r="DO112">
        <v>38</v>
      </c>
      <c r="DP112" t="s">
        <v>208</v>
      </c>
      <c r="DQ112">
        <v>3</v>
      </c>
      <c r="DR112" t="s">
        <v>209</v>
      </c>
      <c r="DS112" t="s">
        <v>166</v>
      </c>
      <c r="DT112" t="s">
        <v>166</v>
      </c>
      <c r="DU112" t="s">
        <v>166</v>
      </c>
      <c r="DV112" t="s">
        <v>166</v>
      </c>
      <c r="DW112">
        <v>432.6</v>
      </c>
      <c r="DX112" t="s">
        <v>166</v>
      </c>
      <c r="DY112" t="s">
        <v>166</v>
      </c>
      <c r="DZ112" t="s">
        <v>210</v>
      </c>
      <c r="EA112" t="s">
        <v>361</v>
      </c>
      <c r="EB112" t="s">
        <v>212</v>
      </c>
      <c r="EC112" t="s">
        <v>166</v>
      </c>
      <c r="ED112" t="s">
        <v>213</v>
      </c>
      <c r="EE112" s="155" t="s">
        <v>214</v>
      </c>
      <c r="EF112" s="155" t="s">
        <v>214</v>
      </c>
      <c r="EG112">
        <v>1.0271999999999999</v>
      </c>
      <c r="EH112" t="s">
        <v>215</v>
      </c>
      <c r="EI112" t="s">
        <v>215</v>
      </c>
      <c r="EJ112" t="s">
        <v>216</v>
      </c>
      <c r="EK112" t="s">
        <v>215</v>
      </c>
      <c r="EL112" t="s">
        <v>215</v>
      </c>
      <c r="EM112" t="s">
        <v>217</v>
      </c>
      <c r="EN112" s="156" t="s">
        <v>214</v>
      </c>
      <c r="EO112" s="156" t="s">
        <v>214</v>
      </c>
      <c r="EP112" s="156" t="s">
        <v>214</v>
      </c>
      <c r="EQ112" s="156" t="s">
        <v>214</v>
      </c>
      <c r="ET112" t="s">
        <v>218</v>
      </c>
      <c r="EU112" t="s">
        <v>219</v>
      </c>
      <c r="EV112" t="s">
        <v>213</v>
      </c>
      <c r="EW112" t="s">
        <v>166</v>
      </c>
      <c r="EX112" t="s">
        <v>166</v>
      </c>
      <c r="EY112" t="s">
        <v>166</v>
      </c>
      <c r="EZ112" t="s">
        <v>166</v>
      </c>
      <c r="FA112" s="157">
        <v>6.5</v>
      </c>
      <c r="FB112" t="s">
        <v>220</v>
      </c>
      <c r="FC112" s="157">
        <v>1</v>
      </c>
      <c r="FD112" s="157">
        <v>1</v>
      </c>
      <c r="FE112" s="177">
        <v>7.69212623291385</v>
      </c>
      <c r="FF112" t="s">
        <v>221</v>
      </c>
      <c r="FG112" s="177">
        <v>3.2068871088379858E-2</v>
      </c>
      <c r="FH112" s="177">
        <v>3.4742467688819723E-2</v>
      </c>
      <c r="FI112" s="178">
        <v>1092.9669368361799</v>
      </c>
      <c r="FK112" t="s">
        <v>166</v>
      </c>
      <c r="FL112" s="144">
        <f t="shared" si="79"/>
        <v>1092.9669368361799</v>
      </c>
      <c r="FM112" s="178">
        <v>211.22193954992008</v>
      </c>
      <c r="FN112" s="178">
        <v>183.86483618593297</v>
      </c>
      <c r="FO112" t="s">
        <v>222</v>
      </c>
      <c r="FP112" t="s">
        <v>223</v>
      </c>
      <c r="FQ112" s="144" t="s">
        <v>166</v>
      </c>
      <c r="FR112" s="144" t="s">
        <v>166</v>
      </c>
      <c r="FS112" s="144" t="s">
        <v>166</v>
      </c>
      <c r="FT112" s="144" t="s">
        <v>166</v>
      </c>
      <c r="FU112" s="144" t="s">
        <v>166</v>
      </c>
      <c r="FV112" s="144" t="s">
        <v>166</v>
      </c>
      <c r="FW112" s="144" t="s">
        <v>166</v>
      </c>
      <c r="FX112" s="144" t="s">
        <v>166</v>
      </c>
      <c r="FY112" s="144" t="s">
        <v>166</v>
      </c>
      <c r="FZ112" s="144" t="s">
        <v>166</v>
      </c>
      <c r="GA112" s="144" t="s">
        <v>166</v>
      </c>
      <c r="GB112" s="144" t="s">
        <v>166</v>
      </c>
      <c r="GC112" s="158" t="s">
        <v>362</v>
      </c>
    </row>
    <row r="113" spans="1:185" ht="16">
      <c r="A113" s="140" t="s">
        <v>162</v>
      </c>
      <c r="B113" s="143" t="s">
        <v>163</v>
      </c>
      <c r="C113" s="140" t="s">
        <v>164</v>
      </c>
      <c r="D113" s="140" t="s">
        <v>165</v>
      </c>
      <c r="E113" s="140">
        <v>2020</v>
      </c>
      <c r="F113" t="s">
        <v>184</v>
      </c>
      <c r="G113" s="139">
        <v>43383.595915883423</v>
      </c>
      <c r="H113" s="147">
        <f t="shared" ref="H113" si="114">0.0083*G113^(0.9482)</f>
        <v>207.10480519768348</v>
      </c>
      <c r="I113" s="147">
        <f t="shared" si="67"/>
        <v>207.10480519768348</v>
      </c>
      <c r="J113" s="144">
        <v>857.89459839800395</v>
      </c>
      <c r="K113" s="144">
        <v>155.43211330216616</v>
      </c>
      <c r="L113" s="144">
        <v>142.81960909447992</v>
      </c>
      <c r="M113" t="b">
        <v>1</v>
      </c>
      <c r="N113">
        <v>3</v>
      </c>
      <c r="O113" s="140" t="s">
        <v>185</v>
      </c>
      <c r="P113" s="140" t="s">
        <v>166</v>
      </c>
      <c r="Q113" s="140" t="s">
        <v>166</v>
      </c>
      <c r="R113" s="140" t="s">
        <v>166</v>
      </c>
      <c r="S113" s="140" t="b">
        <v>1</v>
      </c>
      <c r="T113" s="140" t="b">
        <v>0</v>
      </c>
      <c r="U113" s="140" t="s">
        <v>166</v>
      </c>
      <c r="V113" s="140" t="b">
        <v>0</v>
      </c>
      <c r="W113" s="140" t="b">
        <v>0</v>
      </c>
      <c r="X113" s="140" t="s">
        <v>580</v>
      </c>
      <c r="Y113" s="148" t="s">
        <v>186</v>
      </c>
      <c r="Z113" t="s">
        <v>184</v>
      </c>
      <c r="AA113" s="149">
        <v>865</v>
      </c>
      <c r="AB113" s="149" t="s">
        <v>233</v>
      </c>
      <c r="AC113" s="149">
        <v>7</v>
      </c>
      <c r="AD113" s="149">
        <v>5</v>
      </c>
      <c r="AE113">
        <v>0</v>
      </c>
      <c r="AF113">
        <v>10</v>
      </c>
      <c r="AG113" s="150">
        <v>52.5</v>
      </c>
      <c r="AH113" t="s">
        <v>166</v>
      </c>
      <c r="AI113" t="s">
        <v>166</v>
      </c>
      <c r="AJ113" t="s">
        <v>253</v>
      </c>
      <c r="AK113">
        <v>18.440300000000001</v>
      </c>
      <c r="AL113">
        <v>-179.5558</v>
      </c>
      <c r="AM113" s="163">
        <v>11.56605339050293</v>
      </c>
      <c r="AN113" t="s">
        <v>166</v>
      </c>
      <c r="AO113">
        <v>-1530</v>
      </c>
      <c r="AP113">
        <v>-1400</v>
      </c>
      <c r="AQ113" t="s">
        <v>254</v>
      </c>
      <c r="AR113" t="s">
        <v>166</v>
      </c>
      <c r="AS113" s="150">
        <v>43.383595915883426</v>
      </c>
      <c r="AT113" t="s">
        <v>166</v>
      </c>
      <c r="AU113" t="s">
        <v>166</v>
      </c>
      <c r="AV113" t="s">
        <v>166</v>
      </c>
      <c r="AW113" t="s">
        <v>255</v>
      </c>
      <c r="AX113" t="s">
        <v>256</v>
      </c>
      <c r="AY113" t="s">
        <v>166</v>
      </c>
      <c r="AZ113" t="s">
        <v>166</v>
      </c>
      <c r="BA113" t="s">
        <v>166</v>
      </c>
      <c r="BB113" t="s">
        <v>166</v>
      </c>
      <c r="BC113" t="s">
        <v>166</v>
      </c>
      <c r="BD113" t="s">
        <v>166</v>
      </c>
      <c r="BE113" t="s">
        <v>166</v>
      </c>
      <c r="BF113" t="s">
        <v>166</v>
      </c>
      <c r="BG113" s="151" t="s">
        <v>229</v>
      </c>
      <c r="BH113" s="149" t="s">
        <v>192</v>
      </c>
      <c r="BI113" t="s">
        <v>166</v>
      </c>
      <c r="BJ113" s="152" t="s">
        <v>166</v>
      </c>
      <c r="BK113" t="s">
        <v>284</v>
      </c>
      <c r="BL113" t="s">
        <v>194</v>
      </c>
      <c r="BM113" t="s">
        <v>195</v>
      </c>
      <c r="BN113" t="s">
        <v>166</v>
      </c>
      <c r="BO113" t="s">
        <v>166</v>
      </c>
      <c r="BP113" t="s">
        <v>166</v>
      </c>
      <c r="BQ113" s="150">
        <v>15.161326955088871</v>
      </c>
      <c r="BR113" t="s">
        <v>196</v>
      </c>
      <c r="BS113" s="150">
        <v>0.20231782875983845</v>
      </c>
      <c r="BT113">
        <v>0.88</v>
      </c>
      <c r="BU113" t="s">
        <v>197</v>
      </c>
      <c r="BV113" t="s">
        <v>166</v>
      </c>
      <c r="BW113">
        <v>1.748</v>
      </c>
      <c r="BX113" t="s">
        <v>197</v>
      </c>
      <c r="BY113" t="s">
        <v>166</v>
      </c>
      <c r="BZ113" t="s">
        <v>400</v>
      </c>
      <c r="CA113" t="s">
        <v>360</v>
      </c>
      <c r="CB113" s="150">
        <f t="shared" si="78"/>
        <v>15.089967720478207</v>
      </c>
      <c r="CC113" t="s">
        <v>196</v>
      </c>
      <c r="CD113" s="150">
        <v>0.20231782875983845</v>
      </c>
      <c r="CE113" t="s">
        <v>199</v>
      </c>
      <c r="CF113" t="s">
        <v>166</v>
      </c>
      <c r="CG113" t="s">
        <v>200</v>
      </c>
      <c r="CH113" t="s">
        <v>166</v>
      </c>
      <c r="CI113" t="s">
        <v>166</v>
      </c>
      <c r="CJ113" s="139">
        <v>34.039507287680181</v>
      </c>
      <c r="CK113" t="s">
        <v>201</v>
      </c>
      <c r="CL113">
        <v>2</v>
      </c>
      <c r="CM113">
        <v>2</v>
      </c>
      <c r="CN113" t="s">
        <v>166</v>
      </c>
      <c r="CO113" s="139">
        <v>3.7051480761493303</v>
      </c>
      <c r="CP113" t="s">
        <v>166</v>
      </c>
      <c r="CQ113" t="s">
        <v>166</v>
      </c>
      <c r="CR113" t="s">
        <v>166</v>
      </c>
      <c r="CS113" s="153" t="s">
        <v>202</v>
      </c>
      <c r="CT113" t="s">
        <v>203</v>
      </c>
      <c r="CU113">
        <v>2.2000000000000002</v>
      </c>
      <c r="CV113" t="s">
        <v>204</v>
      </c>
      <c r="CW113" t="s">
        <v>166</v>
      </c>
      <c r="CX113" t="s">
        <v>166</v>
      </c>
      <c r="CY113" t="s">
        <v>166</v>
      </c>
      <c r="CZ113" t="s">
        <v>166</v>
      </c>
      <c r="DA113" s="154" t="s">
        <v>166</v>
      </c>
      <c r="DB113" t="s">
        <v>166</v>
      </c>
      <c r="DC113" t="s">
        <v>166</v>
      </c>
      <c r="DD113" t="s">
        <v>166</v>
      </c>
      <c r="DE113" t="s">
        <v>166</v>
      </c>
      <c r="DF113" t="s">
        <v>205</v>
      </c>
      <c r="DG113">
        <v>35</v>
      </c>
      <c r="DH113" t="s">
        <v>201</v>
      </c>
      <c r="DI113">
        <v>1</v>
      </c>
      <c r="DJ113" t="s">
        <v>206</v>
      </c>
      <c r="DK113">
        <v>17</v>
      </c>
      <c r="DL113" t="s">
        <v>166</v>
      </c>
      <c r="DM113" t="s">
        <v>166</v>
      </c>
      <c r="DN113" t="s">
        <v>207</v>
      </c>
      <c r="DO113">
        <v>38</v>
      </c>
      <c r="DP113" t="s">
        <v>208</v>
      </c>
      <c r="DQ113">
        <v>3</v>
      </c>
      <c r="DR113" t="s">
        <v>209</v>
      </c>
      <c r="DS113" t="s">
        <v>166</v>
      </c>
      <c r="DT113" t="s">
        <v>166</v>
      </c>
      <c r="DU113" t="s">
        <v>166</v>
      </c>
      <c r="DV113" t="s">
        <v>166</v>
      </c>
      <c r="DW113">
        <v>432.6</v>
      </c>
      <c r="DX113" t="s">
        <v>166</v>
      </c>
      <c r="DY113" t="s">
        <v>166</v>
      </c>
      <c r="DZ113" t="s">
        <v>210</v>
      </c>
      <c r="EA113" t="s">
        <v>361</v>
      </c>
      <c r="EB113" t="s">
        <v>212</v>
      </c>
      <c r="EC113" t="s">
        <v>166</v>
      </c>
      <c r="ED113" t="s">
        <v>213</v>
      </c>
      <c r="EE113" s="155" t="s">
        <v>214</v>
      </c>
      <c r="EF113" s="155" t="s">
        <v>214</v>
      </c>
      <c r="EG113">
        <v>1.0271999999999999</v>
      </c>
      <c r="EH113" t="s">
        <v>215</v>
      </c>
      <c r="EI113" t="s">
        <v>215</v>
      </c>
      <c r="EJ113" t="s">
        <v>216</v>
      </c>
      <c r="EK113" t="s">
        <v>215</v>
      </c>
      <c r="EL113" t="s">
        <v>215</v>
      </c>
      <c r="EM113" t="s">
        <v>217</v>
      </c>
      <c r="EN113" s="156" t="s">
        <v>214</v>
      </c>
      <c r="EO113" s="156" t="s">
        <v>214</v>
      </c>
      <c r="EP113" s="156" t="s">
        <v>214</v>
      </c>
      <c r="EQ113" s="156" t="s">
        <v>214</v>
      </c>
      <c r="ET113" t="s">
        <v>218</v>
      </c>
      <c r="EU113" t="s">
        <v>219</v>
      </c>
      <c r="EV113" t="s">
        <v>213</v>
      </c>
      <c r="EW113" t="s">
        <v>166</v>
      </c>
      <c r="EX113" t="s">
        <v>166</v>
      </c>
      <c r="EY113" t="s">
        <v>166</v>
      </c>
      <c r="EZ113" t="s">
        <v>166</v>
      </c>
      <c r="FA113" s="157">
        <v>6.5</v>
      </c>
      <c r="FB113" t="s">
        <v>220</v>
      </c>
      <c r="FC113" s="157">
        <v>1</v>
      </c>
      <c r="FD113" s="157">
        <v>1</v>
      </c>
      <c r="FE113" s="177">
        <v>7.7262233808548704</v>
      </c>
      <c r="FF113" t="s">
        <v>221</v>
      </c>
      <c r="FG113" s="177">
        <v>2.9158794517250008E-2</v>
      </c>
      <c r="FH113" s="177">
        <v>3.020094601028056E-2</v>
      </c>
      <c r="FI113" s="178">
        <v>974.41826221029703</v>
      </c>
      <c r="FK113" t="s">
        <v>166</v>
      </c>
      <c r="FL113" s="144">
        <f t="shared" si="79"/>
        <v>974.41826221029703</v>
      </c>
      <c r="FM113" s="178">
        <v>184.73606732570295</v>
      </c>
      <c r="FN113" s="178">
        <v>153.52931914164401</v>
      </c>
      <c r="FO113" t="s">
        <v>222</v>
      </c>
      <c r="FP113" t="s">
        <v>223</v>
      </c>
      <c r="FQ113" s="144" t="s">
        <v>166</v>
      </c>
      <c r="FR113" s="144" t="s">
        <v>166</v>
      </c>
      <c r="FS113" s="144" t="s">
        <v>166</v>
      </c>
      <c r="FT113" s="144" t="s">
        <v>166</v>
      </c>
      <c r="FU113" s="144" t="s">
        <v>166</v>
      </c>
      <c r="FV113" s="144" t="s">
        <v>166</v>
      </c>
      <c r="FW113" s="144" t="s">
        <v>166</v>
      </c>
      <c r="FX113" s="144" t="s">
        <v>166</v>
      </c>
      <c r="FY113" s="144" t="s">
        <v>166</v>
      </c>
      <c r="FZ113" s="144" t="s">
        <v>166</v>
      </c>
      <c r="GA113" s="144" t="s">
        <v>166</v>
      </c>
      <c r="GB113" s="144" t="s">
        <v>166</v>
      </c>
      <c r="GC113" s="158" t="s">
        <v>362</v>
      </c>
    </row>
    <row r="114" spans="1:185" ht="16">
      <c r="A114" s="140" t="s">
        <v>162</v>
      </c>
      <c r="B114" s="143" t="s">
        <v>163</v>
      </c>
      <c r="C114" s="140" t="s">
        <v>164</v>
      </c>
      <c r="D114" s="140" t="s">
        <v>165</v>
      </c>
      <c r="E114" s="140">
        <v>2020</v>
      </c>
      <c r="F114" t="s">
        <v>184</v>
      </c>
      <c r="G114" s="139">
        <v>43744.224310861675</v>
      </c>
      <c r="H114" s="147">
        <f t="shared" ref="H114" si="115">0.0083*G114^(0.9482)</f>
        <v>208.73684692690941</v>
      </c>
      <c r="I114" s="147">
        <f t="shared" si="67"/>
        <v>208.73684692690941</v>
      </c>
      <c r="J114" s="144">
        <v>1044.2932014110299</v>
      </c>
      <c r="K114" s="144">
        <v>201.50383572290002</v>
      </c>
      <c r="L114" s="144">
        <v>161.85678026859887</v>
      </c>
      <c r="M114" t="b">
        <v>1</v>
      </c>
      <c r="N114">
        <v>3</v>
      </c>
      <c r="O114" s="140" t="s">
        <v>185</v>
      </c>
      <c r="P114" s="140" t="s">
        <v>166</v>
      </c>
      <c r="Q114" s="140" t="s">
        <v>166</v>
      </c>
      <c r="R114" s="140" t="s">
        <v>166</v>
      </c>
      <c r="S114" s="140" t="b">
        <v>1</v>
      </c>
      <c r="T114" s="140" t="b">
        <v>0</v>
      </c>
      <c r="U114" s="140" t="s">
        <v>166</v>
      </c>
      <c r="V114" s="140" t="b">
        <v>0</v>
      </c>
      <c r="W114" s="140" t="b">
        <v>0</v>
      </c>
      <c r="X114" s="140" t="s">
        <v>580</v>
      </c>
      <c r="Y114" s="148" t="s">
        <v>186</v>
      </c>
      <c r="Z114" t="s">
        <v>184</v>
      </c>
      <c r="AA114" s="149">
        <v>865</v>
      </c>
      <c r="AB114" s="149" t="s">
        <v>233</v>
      </c>
      <c r="AC114" s="149">
        <v>6</v>
      </c>
      <c r="AD114" s="149">
        <v>6</v>
      </c>
      <c r="AE114">
        <v>10</v>
      </c>
      <c r="AF114">
        <v>17</v>
      </c>
      <c r="AG114" s="150">
        <v>54.1</v>
      </c>
      <c r="AH114" t="s">
        <v>166</v>
      </c>
      <c r="AI114" t="s">
        <v>166</v>
      </c>
      <c r="AJ114" t="s">
        <v>253</v>
      </c>
      <c r="AK114">
        <v>18.440300000000001</v>
      </c>
      <c r="AL114">
        <v>-179.5558</v>
      </c>
      <c r="AM114" s="163">
        <v>11.594037055969238</v>
      </c>
      <c r="AN114" t="s">
        <v>166</v>
      </c>
      <c r="AO114">
        <v>-1530</v>
      </c>
      <c r="AP114">
        <v>-1400</v>
      </c>
      <c r="AQ114" t="s">
        <v>254</v>
      </c>
      <c r="AR114" t="s">
        <v>166</v>
      </c>
      <c r="AS114" s="150">
        <v>43.744224310861675</v>
      </c>
      <c r="AT114" t="s">
        <v>166</v>
      </c>
      <c r="AU114" t="s">
        <v>166</v>
      </c>
      <c r="AV114" t="s">
        <v>166</v>
      </c>
      <c r="AW114" t="s">
        <v>255</v>
      </c>
      <c r="AX114" t="s">
        <v>256</v>
      </c>
      <c r="AY114" t="s">
        <v>166</v>
      </c>
      <c r="AZ114" t="s">
        <v>166</v>
      </c>
      <c r="BA114" t="s">
        <v>166</v>
      </c>
      <c r="BB114" t="s">
        <v>166</v>
      </c>
      <c r="BC114" t="s">
        <v>166</v>
      </c>
      <c r="BD114" t="s">
        <v>166</v>
      </c>
      <c r="BE114" t="s">
        <v>166</v>
      </c>
      <c r="BF114" t="s">
        <v>166</v>
      </c>
      <c r="BG114" s="151" t="s">
        <v>229</v>
      </c>
      <c r="BH114" s="149" t="s">
        <v>192</v>
      </c>
      <c r="BI114" t="s">
        <v>166</v>
      </c>
      <c r="BJ114" s="152" t="s">
        <v>166</v>
      </c>
      <c r="BK114" t="s">
        <v>285</v>
      </c>
      <c r="BL114" t="s">
        <v>194</v>
      </c>
      <c r="BM114" t="s">
        <v>195</v>
      </c>
      <c r="BN114" t="s">
        <v>166</v>
      </c>
      <c r="BO114" t="s">
        <v>166</v>
      </c>
      <c r="BP114" t="s">
        <v>166</v>
      </c>
      <c r="BQ114" s="150">
        <v>14.900955063824162</v>
      </c>
      <c r="BR114" t="s">
        <v>196</v>
      </c>
      <c r="BS114" s="150">
        <v>0.17337823228639684</v>
      </c>
      <c r="BT114">
        <v>0.88</v>
      </c>
      <c r="BU114" t="s">
        <v>197</v>
      </c>
      <c r="BV114" t="s">
        <v>166</v>
      </c>
      <c r="BW114">
        <v>1.748</v>
      </c>
      <c r="BX114" t="s">
        <v>197</v>
      </c>
      <c r="BY114" t="s">
        <v>166</v>
      </c>
      <c r="BZ114" t="s">
        <v>401</v>
      </c>
      <c r="CA114" t="s">
        <v>360</v>
      </c>
      <c r="CB114" s="150">
        <f t="shared" si="78"/>
        <v>14.860840456165262</v>
      </c>
      <c r="CC114" t="s">
        <v>196</v>
      </c>
      <c r="CD114" s="150">
        <v>0.17337823228639684</v>
      </c>
      <c r="CE114" t="s">
        <v>199</v>
      </c>
      <c r="CF114" t="s">
        <v>166</v>
      </c>
      <c r="CG114" t="s">
        <v>200</v>
      </c>
      <c r="CH114" t="s">
        <v>166</v>
      </c>
      <c r="CI114" t="s">
        <v>166</v>
      </c>
      <c r="CJ114" s="139">
        <v>36.55997116230737</v>
      </c>
      <c r="CK114" t="s">
        <v>201</v>
      </c>
      <c r="CL114">
        <v>2</v>
      </c>
      <c r="CM114">
        <v>2</v>
      </c>
      <c r="CN114" t="s">
        <v>166</v>
      </c>
      <c r="CO114" s="139">
        <v>4.2707380184528114</v>
      </c>
      <c r="CP114" t="s">
        <v>166</v>
      </c>
      <c r="CQ114" t="s">
        <v>166</v>
      </c>
      <c r="CR114" t="s">
        <v>166</v>
      </c>
      <c r="CS114" s="153" t="s">
        <v>202</v>
      </c>
      <c r="CT114" t="s">
        <v>203</v>
      </c>
      <c r="CU114">
        <v>2.2000000000000002</v>
      </c>
      <c r="CV114" t="s">
        <v>204</v>
      </c>
      <c r="CW114" t="s">
        <v>166</v>
      </c>
      <c r="CX114" t="s">
        <v>166</v>
      </c>
      <c r="CY114" t="s">
        <v>166</v>
      </c>
      <c r="CZ114" t="s">
        <v>166</v>
      </c>
      <c r="DA114" s="154" t="s">
        <v>166</v>
      </c>
      <c r="DB114" t="s">
        <v>166</v>
      </c>
      <c r="DC114" t="s">
        <v>166</v>
      </c>
      <c r="DD114" t="s">
        <v>166</v>
      </c>
      <c r="DE114" t="s">
        <v>166</v>
      </c>
      <c r="DF114" t="s">
        <v>205</v>
      </c>
      <c r="DG114">
        <v>35</v>
      </c>
      <c r="DH114" t="s">
        <v>201</v>
      </c>
      <c r="DI114">
        <v>1</v>
      </c>
      <c r="DJ114" t="s">
        <v>206</v>
      </c>
      <c r="DK114">
        <v>17</v>
      </c>
      <c r="DL114" t="s">
        <v>166</v>
      </c>
      <c r="DM114" t="s">
        <v>166</v>
      </c>
      <c r="DN114" t="s">
        <v>207</v>
      </c>
      <c r="DO114">
        <v>38</v>
      </c>
      <c r="DP114" t="s">
        <v>208</v>
      </c>
      <c r="DQ114">
        <v>3</v>
      </c>
      <c r="DR114" t="s">
        <v>209</v>
      </c>
      <c r="DS114" t="s">
        <v>166</v>
      </c>
      <c r="DT114" t="s">
        <v>166</v>
      </c>
      <c r="DU114" t="s">
        <v>166</v>
      </c>
      <c r="DV114" t="s">
        <v>166</v>
      </c>
      <c r="DW114">
        <v>432.6</v>
      </c>
      <c r="DX114" t="s">
        <v>166</v>
      </c>
      <c r="DY114" t="s">
        <v>166</v>
      </c>
      <c r="DZ114" t="s">
        <v>210</v>
      </c>
      <c r="EA114" t="s">
        <v>361</v>
      </c>
      <c r="EB114" t="s">
        <v>212</v>
      </c>
      <c r="EC114" t="s">
        <v>166</v>
      </c>
      <c r="ED114" t="s">
        <v>213</v>
      </c>
      <c r="EE114" s="155" t="s">
        <v>214</v>
      </c>
      <c r="EF114" s="155" t="s">
        <v>214</v>
      </c>
      <c r="EG114">
        <v>1.0271999999999999</v>
      </c>
      <c r="EH114" t="s">
        <v>215</v>
      </c>
      <c r="EI114" t="s">
        <v>215</v>
      </c>
      <c r="EJ114" t="s">
        <v>216</v>
      </c>
      <c r="EK114" t="s">
        <v>215</v>
      </c>
      <c r="EL114" t="s">
        <v>215</v>
      </c>
      <c r="EM114" t="s">
        <v>217</v>
      </c>
      <c r="EN114" s="156" t="s">
        <v>214</v>
      </c>
      <c r="EO114" s="156" t="s">
        <v>214</v>
      </c>
      <c r="EP114" s="156" t="s">
        <v>214</v>
      </c>
      <c r="EQ114" s="156" t="s">
        <v>214</v>
      </c>
      <c r="ET114" t="s">
        <v>218</v>
      </c>
      <c r="EU114" t="s">
        <v>219</v>
      </c>
      <c r="EV114" t="s">
        <v>213</v>
      </c>
      <c r="EW114" t="s">
        <v>166</v>
      </c>
      <c r="EX114" t="s">
        <v>166</v>
      </c>
      <c r="EY114" t="s">
        <v>166</v>
      </c>
      <c r="EZ114" t="s">
        <v>166</v>
      </c>
      <c r="FA114" s="157">
        <v>6.5</v>
      </c>
      <c r="FB114" t="s">
        <v>220</v>
      </c>
      <c r="FC114" s="157">
        <v>1</v>
      </c>
      <c r="FD114" s="157">
        <v>1</v>
      </c>
      <c r="FE114" s="177">
        <v>7.6589868825987999</v>
      </c>
      <c r="FF114" t="s">
        <v>221</v>
      </c>
      <c r="FG114" s="177">
        <v>3.0394648430780435E-2</v>
      </c>
      <c r="FH114" s="177">
        <v>2.8267474300680107E-2</v>
      </c>
      <c r="FI114" s="178">
        <v>1222.6277744522999</v>
      </c>
      <c r="FK114" t="s">
        <v>166</v>
      </c>
      <c r="FL114" s="144">
        <f t="shared" si="79"/>
        <v>1222.6277744522999</v>
      </c>
      <c r="FM114" s="178">
        <v>208.50169315162998</v>
      </c>
      <c r="FN114" s="178">
        <v>208.79894345506989</v>
      </c>
      <c r="FO114" t="s">
        <v>222</v>
      </c>
      <c r="FP114" t="s">
        <v>223</v>
      </c>
      <c r="FQ114" s="144" t="s">
        <v>166</v>
      </c>
      <c r="FR114" s="144" t="s">
        <v>166</v>
      </c>
      <c r="FS114" s="144" t="s">
        <v>166</v>
      </c>
      <c r="FT114" s="144" t="s">
        <v>166</v>
      </c>
      <c r="FU114" s="144" t="s">
        <v>166</v>
      </c>
      <c r="FV114" s="144" t="s">
        <v>166</v>
      </c>
      <c r="FW114" s="144" t="s">
        <v>166</v>
      </c>
      <c r="FX114" s="144" t="s">
        <v>166</v>
      </c>
      <c r="FY114" s="144" t="s">
        <v>166</v>
      </c>
      <c r="FZ114" s="144" t="s">
        <v>166</v>
      </c>
      <c r="GA114" s="144" t="s">
        <v>166</v>
      </c>
      <c r="GB114" s="144" t="s">
        <v>166</v>
      </c>
      <c r="GC114" s="158" t="s">
        <v>362</v>
      </c>
    </row>
    <row r="115" spans="1:185" ht="16">
      <c r="A115" s="140" t="s">
        <v>162</v>
      </c>
      <c r="B115" s="143" t="s">
        <v>163</v>
      </c>
      <c r="C115" s="140" t="s">
        <v>164</v>
      </c>
      <c r="D115" s="140" t="s">
        <v>165</v>
      </c>
      <c r="E115" s="140">
        <v>2020</v>
      </c>
      <c r="F115" t="s">
        <v>184</v>
      </c>
      <c r="G115" s="139">
        <v>44537.606779813817</v>
      </c>
      <c r="H115" s="147">
        <f t="shared" ref="H115" si="116">0.0083*G115^(0.9482)</f>
        <v>212.32489439940264</v>
      </c>
      <c r="I115" s="147">
        <f t="shared" si="67"/>
        <v>212.32489439940264</v>
      </c>
      <c r="J115" s="144">
        <v>1063.9208246789899</v>
      </c>
      <c r="K115" s="144">
        <v>209.43812883715009</v>
      </c>
      <c r="L115" s="144">
        <v>181.00085899874591</v>
      </c>
      <c r="M115" t="b">
        <v>1</v>
      </c>
      <c r="N115">
        <v>3</v>
      </c>
      <c r="O115" s="140" t="s">
        <v>185</v>
      </c>
      <c r="P115" s="140" t="s">
        <v>166</v>
      </c>
      <c r="Q115" s="140" t="s">
        <v>166</v>
      </c>
      <c r="R115" s="140" t="s">
        <v>166</v>
      </c>
      <c r="S115" s="140" t="b">
        <v>1</v>
      </c>
      <c r="T115" s="140" t="b">
        <v>0</v>
      </c>
      <c r="U115" s="140" t="s">
        <v>166</v>
      </c>
      <c r="V115" s="140" t="b">
        <v>0</v>
      </c>
      <c r="W115" s="140" t="b">
        <v>0</v>
      </c>
      <c r="X115" s="140" t="s">
        <v>580</v>
      </c>
      <c r="Y115" s="148" t="s">
        <v>186</v>
      </c>
      <c r="Z115" t="s">
        <v>184</v>
      </c>
      <c r="AA115" s="149">
        <v>865</v>
      </c>
      <c r="AB115" s="149" t="s">
        <v>233</v>
      </c>
      <c r="AC115" s="149">
        <v>7</v>
      </c>
      <c r="AD115" s="149">
        <v>2</v>
      </c>
      <c r="AE115">
        <v>12</v>
      </c>
      <c r="AF115">
        <v>17</v>
      </c>
      <c r="AG115" s="150">
        <v>57.62</v>
      </c>
      <c r="AH115" t="s">
        <v>166</v>
      </c>
      <c r="AI115" t="s">
        <v>166</v>
      </c>
      <c r="AJ115" t="s">
        <v>253</v>
      </c>
      <c r="AK115">
        <v>18.440300000000001</v>
      </c>
      <c r="AL115">
        <v>-179.5558</v>
      </c>
      <c r="AM115" s="163">
        <v>11.655599594116211</v>
      </c>
      <c r="AN115" t="s">
        <v>166</v>
      </c>
      <c r="AO115">
        <v>-1530</v>
      </c>
      <c r="AP115">
        <v>-1400</v>
      </c>
      <c r="AQ115" t="s">
        <v>254</v>
      </c>
      <c r="AR115" t="s">
        <v>166</v>
      </c>
      <c r="AS115" s="150">
        <v>44.537606779813821</v>
      </c>
      <c r="AT115" t="s">
        <v>166</v>
      </c>
      <c r="AU115" t="s">
        <v>166</v>
      </c>
      <c r="AV115" t="s">
        <v>166</v>
      </c>
      <c r="AW115" t="s">
        <v>255</v>
      </c>
      <c r="AX115" t="s">
        <v>256</v>
      </c>
      <c r="AY115" t="s">
        <v>166</v>
      </c>
      <c r="AZ115" t="s">
        <v>166</v>
      </c>
      <c r="BA115" t="s">
        <v>166</v>
      </c>
      <c r="BB115" t="s">
        <v>166</v>
      </c>
      <c r="BC115" t="s">
        <v>166</v>
      </c>
      <c r="BD115" t="s">
        <v>166</v>
      </c>
      <c r="BE115" t="s">
        <v>166</v>
      </c>
      <c r="BF115" t="s">
        <v>166</v>
      </c>
      <c r="BG115" s="151" t="s">
        <v>229</v>
      </c>
      <c r="BH115" s="149" t="s">
        <v>192</v>
      </c>
      <c r="BI115" t="s">
        <v>166</v>
      </c>
      <c r="BJ115" s="152" t="s">
        <v>166</v>
      </c>
      <c r="BK115" t="s">
        <v>286</v>
      </c>
      <c r="BL115" t="s">
        <v>194</v>
      </c>
      <c r="BM115" t="s">
        <v>195</v>
      </c>
      <c r="BN115" t="s">
        <v>166</v>
      </c>
      <c r="BO115" t="s">
        <v>166</v>
      </c>
      <c r="BP115" t="s">
        <v>166</v>
      </c>
      <c r="BQ115" s="150">
        <v>14.836107916347817</v>
      </c>
      <c r="BR115" t="s">
        <v>196</v>
      </c>
      <c r="BS115" s="150">
        <v>0.24457846244768458</v>
      </c>
      <c r="BT115">
        <v>0.88</v>
      </c>
      <c r="BU115" t="s">
        <v>197</v>
      </c>
      <c r="BV115" t="s">
        <v>166</v>
      </c>
      <c r="BW115">
        <v>1.748</v>
      </c>
      <c r="BX115" t="s">
        <v>197</v>
      </c>
      <c r="BY115" t="s">
        <v>166</v>
      </c>
      <c r="BZ115" t="s">
        <v>402</v>
      </c>
      <c r="CA115" t="s">
        <v>360</v>
      </c>
      <c r="CB115" s="150">
        <f t="shared" si="78"/>
        <v>14.803774966386079</v>
      </c>
      <c r="CC115" t="s">
        <v>196</v>
      </c>
      <c r="CD115" s="150">
        <v>0.24457846244768458</v>
      </c>
      <c r="CE115" t="s">
        <v>199</v>
      </c>
      <c r="CF115" t="s">
        <v>166</v>
      </c>
      <c r="CG115" t="s">
        <v>200</v>
      </c>
      <c r="CH115" t="s">
        <v>166</v>
      </c>
      <c r="CI115" t="s">
        <v>166</v>
      </c>
      <c r="CJ115" s="139">
        <v>35.309729697804116</v>
      </c>
      <c r="CK115" t="s">
        <v>201</v>
      </c>
      <c r="CL115">
        <v>2</v>
      </c>
      <c r="CM115">
        <v>2</v>
      </c>
      <c r="CN115" t="s">
        <v>166</v>
      </c>
      <c r="CO115" s="139">
        <v>3.9801441627850931</v>
      </c>
      <c r="CP115" t="s">
        <v>166</v>
      </c>
      <c r="CQ115" t="s">
        <v>166</v>
      </c>
      <c r="CR115" t="s">
        <v>166</v>
      </c>
      <c r="CS115" s="153" t="s">
        <v>202</v>
      </c>
      <c r="CT115" t="s">
        <v>203</v>
      </c>
      <c r="CU115">
        <v>2.2000000000000002</v>
      </c>
      <c r="CV115" t="s">
        <v>204</v>
      </c>
      <c r="CW115" t="s">
        <v>166</v>
      </c>
      <c r="CX115" t="s">
        <v>166</v>
      </c>
      <c r="CY115" t="s">
        <v>166</v>
      </c>
      <c r="CZ115" t="s">
        <v>166</v>
      </c>
      <c r="DA115" s="154" t="s">
        <v>166</v>
      </c>
      <c r="DB115" t="s">
        <v>166</v>
      </c>
      <c r="DC115" t="s">
        <v>166</v>
      </c>
      <c r="DD115" t="s">
        <v>166</v>
      </c>
      <c r="DE115" t="s">
        <v>166</v>
      </c>
      <c r="DF115" t="s">
        <v>205</v>
      </c>
      <c r="DG115">
        <v>35</v>
      </c>
      <c r="DH115" t="s">
        <v>201</v>
      </c>
      <c r="DI115">
        <v>1</v>
      </c>
      <c r="DJ115" t="s">
        <v>206</v>
      </c>
      <c r="DK115">
        <v>17</v>
      </c>
      <c r="DL115" t="s">
        <v>166</v>
      </c>
      <c r="DM115" t="s">
        <v>166</v>
      </c>
      <c r="DN115" t="s">
        <v>207</v>
      </c>
      <c r="DO115">
        <v>38</v>
      </c>
      <c r="DP115" t="s">
        <v>208</v>
      </c>
      <c r="DQ115">
        <v>3</v>
      </c>
      <c r="DR115" t="s">
        <v>209</v>
      </c>
      <c r="DS115" t="s">
        <v>166</v>
      </c>
      <c r="DT115" t="s">
        <v>166</v>
      </c>
      <c r="DU115" t="s">
        <v>166</v>
      </c>
      <c r="DV115" t="s">
        <v>166</v>
      </c>
      <c r="DW115">
        <v>432.6</v>
      </c>
      <c r="DX115" t="s">
        <v>166</v>
      </c>
      <c r="DY115" t="s">
        <v>166</v>
      </c>
      <c r="DZ115" t="s">
        <v>210</v>
      </c>
      <c r="EA115" t="s">
        <v>361</v>
      </c>
      <c r="EB115" t="s">
        <v>212</v>
      </c>
      <c r="EC115" t="s">
        <v>166</v>
      </c>
      <c r="ED115" t="s">
        <v>213</v>
      </c>
      <c r="EE115" s="155" t="s">
        <v>214</v>
      </c>
      <c r="EF115" s="155" t="s">
        <v>214</v>
      </c>
      <c r="EG115">
        <v>1.0271999999999999</v>
      </c>
      <c r="EH115" t="s">
        <v>215</v>
      </c>
      <c r="EI115" t="s">
        <v>215</v>
      </c>
      <c r="EJ115" t="s">
        <v>216</v>
      </c>
      <c r="EK115" t="s">
        <v>215</v>
      </c>
      <c r="EL115" t="s">
        <v>215</v>
      </c>
      <c r="EM115" t="s">
        <v>217</v>
      </c>
      <c r="EN115" s="156" t="s">
        <v>214</v>
      </c>
      <c r="EO115" s="156" t="s">
        <v>214</v>
      </c>
      <c r="EP115" s="156" t="s">
        <v>214</v>
      </c>
      <c r="EQ115" s="156" t="s">
        <v>214</v>
      </c>
      <c r="ET115" t="s">
        <v>218</v>
      </c>
      <c r="EU115" t="s">
        <v>219</v>
      </c>
      <c r="EV115" t="s">
        <v>213</v>
      </c>
      <c r="EW115" t="s">
        <v>166</v>
      </c>
      <c r="EX115" t="s">
        <v>166</v>
      </c>
      <c r="EY115" t="s">
        <v>166</v>
      </c>
      <c r="EZ115" t="s">
        <v>166</v>
      </c>
      <c r="FA115" s="157">
        <v>6.5</v>
      </c>
      <c r="FB115" t="s">
        <v>220</v>
      </c>
      <c r="FC115" s="157">
        <v>1</v>
      </c>
      <c r="FD115" s="157">
        <v>1</v>
      </c>
      <c r="FE115" s="177">
        <v>7.66348883071392</v>
      </c>
      <c r="FF115" t="s">
        <v>221</v>
      </c>
      <c r="FG115" s="177">
        <v>3.6450536570179715E-2</v>
      </c>
      <c r="FH115" s="177">
        <v>3.687909277619994E-2</v>
      </c>
      <c r="FI115" s="178">
        <v>1241.3628200763701</v>
      </c>
      <c r="FK115" t="s">
        <v>166</v>
      </c>
      <c r="FL115" s="144">
        <f t="shared" si="79"/>
        <v>1241.3628200763701</v>
      </c>
      <c r="FM115" s="178">
        <v>248.26793077920001</v>
      </c>
      <c r="FN115" s="178">
        <v>222.40565829769002</v>
      </c>
      <c r="FO115" t="s">
        <v>222</v>
      </c>
      <c r="FP115" t="s">
        <v>223</v>
      </c>
      <c r="FQ115" s="144" t="s">
        <v>166</v>
      </c>
      <c r="FR115" s="144" t="s">
        <v>166</v>
      </c>
      <c r="FS115" s="144" t="s">
        <v>166</v>
      </c>
      <c r="FT115" s="144" t="s">
        <v>166</v>
      </c>
      <c r="FU115" s="144" t="s">
        <v>166</v>
      </c>
      <c r="FV115" s="144" t="s">
        <v>166</v>
      </c>
      <c r="FW115" s="144" t="s">
        <v>166</v>
      </c>
      <c r="FX115" s="144" t="s">
        <v>166</v>
      </c>
      <c r="FY115" s="144" t="s">
        <v>166</v>
      </c>
      <c r="FZ115" s="144" t="s">
        <v>166</v>
      </c>
      <c r="GA115" s="144" t="s">
        <v>166</v>
      </c>
      <c r="GB115" s="144" t="s">
        <v>166</v>
      </c>
      <c r="GC115" s="158" t="s">
        <v>362</v>
      </c>
    </row>
    <row r="116" spans="1:185" ht="16">
      <c r="A116" s="140" t="s">
        <v>162</v>
      </c>
      <c r="B116" s="143" t="s">
        <v>163</v>
      </c>
      <c r="C116" s="140" t="s">
        <v>164</v>
      </c>
      <c r="D116" s="140" t="s">
        <v>165</v>
      </c>
      <c r="E116" s="140">
        <v>2020</v>
      </c>
      <c r="F116" t="s">
        <v>184</v>
      </c>
      <c r="G116" s="139">
        <v>44873.441972637316</v>
      </c>
      <c r="H116" s="147">
        <f t="shared" ref="H116" si="117">0.0083*G116^(0.9482)</f>
        <v>213.84269805308594</v>
      </c>
      <c r="I116" s="147">
        <f t="shared" si="67"/>
        <v>213.84269805308594</v>
      </c>
      <c r="J116" s="144">
        <v>1014.87020460395</v>
      </c>
      <c r="K116" s="144">
        <v>197.44348469938996</v>
      </c>
      <c r="L116" s="144">
        <v>187.63742687474894</v>
      </c>
      <c r="M116" t="b">
        <v>1</v>
      </c>
      <c r="N116">
        <v>3</v>
      </c>
      <c r="O116" s="140" t="s">
        <v>185</v>
      </c>
      <c r="P116" s="140" t="s">
        <v>166</v>
      </c>
      <c r="Q116" s="140" t="s">
        <v>166</v>
      </c>
      <c r="R116" s="140" t="s">
        <v>166</v>
      </c>
      <c r="S116" s="140" t="b">
        <v>1</v>
      </c>
      <c r="T116" s="140" t="b">
        <v>0</v>
      </c>
      <c r="U116" s="140" t="s">
        <v>166</v>
      </c>
      <c r="V116" s="140" t="b">
        <v>0</v>
      </c>
      <c r="W116" s="140" t="b">
        <v>0</v>
      </c>
      <c r="X116" s="140" t="s">
        <v>580</v>
      </c>
      <c r="Y116" s="148" t="s">
        <v>186</v>
      </c>
      <c r="Z116" t="s">
        <v>184</v>
      </c>
      <c r="AA116" s="149">
        <v>865</v>
      </c>
      <c r="AB116" s="149" t="s">
        <v>233</v>
      </c>
      <c r="AC116" s="149">
        <v>7</v>
      </c>
      <c r="AD116" s="149">
        <v>3</v>
      </c>
      <c r="AE116">
        <v>11</v>
      </c>
      <c r="AF116">
        <v>18</v>
      </c>
      <c r="AG116" s="150">
        <v>59.11</v>
      </c>
      <c r="AH116" t="s">
        <v>166</v>
      </c>
      <c r="AI116" t="s">
        <v>166</v>
      </c>
      <c r="AJ116" t="s">
        <v>253</v>
      </c>
      <c r="AK116">
        <v>18.440300000000001</v>
      </c>
      <c r="AL116">
        <v>-179.5558</v>
      </c>
      <c r="AM116" s="163">
        <v>11.681659698486328</v>
      </c>
      <c r="AN116" t="s">
        <v>166</v>
      </c>
      <c r="AO116">
        <v>-1530</v>
      </c>
      <c r="AP116">
        <v>-1400</v>
      </c>
      <c r="AQ116" t="s">
        <v>254</v>
      </c>
      <c r="AR116" t="s">
        <v>166</v>
      </c>
      <c r="AS116" s="150">
        <v>44.873441972637316</v>
      </c>
      <c r="AT116" t="s">
        <v>166</v>
      </c>
      <c r="AU116" t="s">
        <v>166</v>
      </c>
      <c r="AV116" t="s">
        <v>166</v>
      </c>
      <c r="AW116" t="s">
        <v>255</v>
      </c>
      <c r="AX116" t="s">
        <v>256</v>
      </c>
      <c r="AY116" t="s">
        <v>166</v>
      </c>
      <c r="AZ116" t="s">
        <v>166</v>
      </c>
      <c r="BA116" t="s">
        <v>166</v>
      </c>
      <c r="BB116" t="s">
        <v>166</v>
      </c>
      <c r="BC116" t="s">
        <v>166</v>
      </c>
      <c r="BD116" t="s">
        <v>166</v>
      </c>
      <c r="BE116" t="s">
        <v>166</v>
      </c>
      <c r="BF116" t="s">
        <v>166</v>
      </c>
      <c r="BG116" s="151" t="s">
        <v>191</v>
      </c>
      <c r="BH116" s="149" t="s">
        <v>192</v>
      </c>
      <c r="BI116" t="s">
        <v>166</v>
      </c>
      <c r="BJ116" s="152" t="s">
        <v>166</v>
      </c>
      <c r="BK116" t="s">
        <v>287</v>
      </c>
      <c r="BL116" t="s">
        <v>194</v>
      </c>
      <c r="BM116" t="s">
        <v>195</v>
      </c>
      <c r="BN116" t="s">
        <v>166</v>
      </c>
      <c r="BO116" t="s">
        <v>166</v>
      </c>
      <c r="BP116" t="s">
        <v>166</v>
      </c>
      <c r="BQ116" s="150">
        <v>14.882084591231193</v>
      </c>
      <c r="BR116" t="s">
        <v>196</v>
      </c>
      <c r="BS116" s="150">
        <v>0.25251534266821263</v>
      </c>
      <c r="BT116">
        <v>0.88</v>
      </c>
      <c r="BU116" t="s">
        <v>197</v>
      </c>
      <c r="BV116" t="s">
        <v>166</v>
      </c>
      <c r="BW116">
        <v>1.748</v>
      </c>
      <c r="BX116" t="s">
        <v>197</v>
      </c>
      <c r="BY116" t="s">
        <v>166</v>
      </c>
      <c r="BZ116" t="s">
        <v>403</v>
      </c>
      <c r="CA116" t="s">
        <v>360</v>
      </c>
      <c r="CB116" s="150">
        <f t="shared" si="78"/>
        <v>14.844234440283449</v>
      </c>
      <c r="CC116" t="s">
        <v>196</v>
      </c>
      <c r="CD116" s="150">
        <v>0.25251534266821263</v>
      </c>
      <c r="CE116" t="s">
        <v>199</v>
      </c>
      <c r="CF116" t="s">
        <v>166</v>
      </c>
      <c r="CG116" t="s">
        <v>200</v>
      </c>
      <c r="CH116" t="s">
        <v>166</v>
      </c>
      <c r="CI116" t="s">
        <v>166</v>
      </c>
      <c r="CJ116" s="139">
        <v>34.403301549942093</v>
      </c>
      <c r="CK116" t="s">
        <v>201</v>
      </c>
      <c r="CL116">
        <v>2</v>
      </c>
      <c r="CM116">
        <v>2</v>
      </c>
      <c r="CN116" t="s">
        <v>166</v>
      </c>
      <c r="CO116" s="139">
        <v>3.7819060339103499</v>
      </c>
      <c r="CP116" t="s">
        <v>166</v>
      </c>
      <c r="CQ116" t="s">
        <v>166</v>
      </c>
      <c r="CR116" t="s">
        <v>166</v>
      </c>
      <c r="CS116" s="153" t="s">
        <v>202</v>
      </c>
      <c r="CT116" t="s">
        <v>203</v>
      </c>
      <c r="CU116">
        <v>2.2000000000000002</v>
      </c>
      <c r="CV116" t="s">
        <v>204</v>
      </c>
      <c r="CW116" t="s">
        <v>166</v>
      </c>
      <c r="CX116" t="s">
        <v>166</v>
      </c>
      <c r="CY116" t="s">
        <v>166</v>
      </c>
      <c r="CZ116" t="s">
        <v>166</v>
      </c>
      <c r="DA116" s="154" t="s">
        <v>166</v>
      </c>
      <c r="DB116" t="s">
        <v>166</v>
      </c>
      <c r="DC116" t="s">
        <v>166</v>
      </c>
      <c r="DD116" t="s">
        <v>166</v>
      </c>
      <c r="DE116" t="s">
        <v>166</v>
      </c>
      <c r="DF116" t="s">
        <v>205</v>
      </c>
      <c r="DG116">
        <v>35</v>
      </c>
      <c r="DH116" t="s">
        <v>201</v>
      </c>
      <c r="DI116">
        <v>1</v>
      </c>
      <c r="DJ116" t="s">
        <v>206</v>
      </c>
      <c r="DK116">
        <v>17</v>
      </c>
      <c r="DL116" t="s">
        <v>166</v>
      </c>
      <c r="DM116" t="s">
        <v>166</v>
      </c>
      <c r="DN116" t="s">
        <v>207</v>
      </c>
      <c r="DO116">
        <v>38</v>
      </c>
      <c r="DP116" t="s">
        <v>208</v>
      </c>
      <c r="DQ116">
        <v>3</v>
      </c>
      <c r="DR116" t="s">
        <v>209</v>
      </c>
      <c r="DS116" t="s">
        <v>166</v>
      </c>
      <c r="DT116" t="s">
        <v>166</v>
      </c>
      <c r="DU116" t="s">
        <v>166</v>
      </c>
      <c r="DV116" t="s">
        <v>166</v>
      </c>
      <c r="DW116">
        <v>432.6</v>
      </c>
      <c r="DX116" t="s">
        <v>166</v>
      </c>
      <c r="DY116" t="s">
        <v>166</v>
      </c>
      <c r="DZ116" t="s">
        <v>210</v>
      </c>
      <c r="EA116" t="s">
        <v>361</v>
      </c>
      <c r="EB116" t="s">
        <v>212</v>
      </c>
      <c r="EC116" t="s">
        <v>166</v>
      </c>
      <c r="ED116" t="s">
        <v>213</v>
      </c>
      <c r="EE116" s="155" t="s">
        <v>214</v>
      </c>
      <c r="EF116" s="155" t="s">
        <v>214</v>
      </c>
      <c r="EG116">
        <v>1.0271999999999999</v>
      </c>
      <c r="EH116" t="s">
        <v>215</v>
      </c>
      <c r="EI116" t="s">
        <v>215</v>
      </c>
      <c r="EJ116" t="s">
        <v>216</v>
      </c>
      <c r="EK116" t="s">
        <v>215</v>
      </c>
      <c r="EL116" t="s">
        <v>215</v>
      </c>
      <c r="EM116" t="s">
        <v>217</v>
      </c>
      <c r="EN116" s="156" t="s">
        <v>214</v>
      </c>
      <c r="EO116" s="156" t="s">
        <v>214</v>
      </c>
      <c r="EP116" s="156" t="s">
        <v>214</v>
      </c>
      <c r="EQ116" s="156" t="s">
        <v>214</v>
      </c>
      <c r="ET116" t="s">
        <v>218</v>
      </c>
      <c r="EU116" t="s">
        <v>219</v>
      </c>
      <c r="EV116" t="s">
        <v>213</v>
      </c>
      <c r="EW116" t="s">
        <v>166</v>
      </c>
      <c r="EX116" t="s">
        <v>166</v>
      </c>
      <c r="EY116" t="s">
        <v>166</v>
      </c>
      <c r="EZ116" t="s">
        <v>166</v>
      </c>
      <c r="FA116" s="157">
        <v>6.5</v>
      </c>
      <c r="FB116" t="s">
        <v>220</v>
      </c>
      <c r="FC116" s="157">
        <v>1</v>
      </c>
      <c r="FD116" s="157">
        <v>1</v>
      </c>
      <c r="FE116" s="177">
        <v>7.6814552714996402</v>
      </c>
      <c r="FF116" t="s">
        <v>221</v>
      </c>
      <c r="FG116" s="177">
        <v>3.3777603670549716E-2</v>
      </c>
      <c r="FH116" s="177">
        <v>3.8559576544730412E-2</v>
      </c>
      <c r="FI116" s="178">
        <v>1197.2819950410299</v>
      </c>
      <c r="FK116" t="s">
        <v>166</v>
      </c>
      <c r="FL116" s="144">
        <f t="shared" si="79"/>
        <v>1197.2819950410299</v>
      </c>
      <c r="FM116" s="178">
        <v>232.76642321280997</v>
      </c>
      <c r="FN116" s="178">
        <v>213.20132328543377</v>
      </c>
      <c r="FO116" t="s">
        <v>222</v>
      </c>
      <c r="FP116" t="s">
        <v>223</v>
      </c>
      <c r="FQ116" s="144" t="s">
        <v>166</v>
      </c>
      <c r="FR116" s="144" t="s">
        <v>166</v>
      </c>
      <c r="FS116" s="144" t="s">
        <v>166</v>
      </c>
      <c r="FT116" s="144" t="s">
        <v>166</v>
      </c>
      <c r="FU116" s="144" t="s">
        <v>166</v>
      </c>
      <c r="FV116" s="144" t="s">
        <v>166</v>
      </c>
      <c r="FW116" s="144" t="s">
        <v>166</v>
      </c>
      <c r="FX116" s="144" t="s">
        <v>166</v>
      </c>
      <c r="FY116" s="144" t="s">
        <v>166</v>
      </c>
      <c r="FZ116" s="144" t="s">
        <v>166</v>
      </c>
      <c r="GA116" s="144" t="s">
        <v>166</v>
      </c>
      <c r="GB116" s="144" t="s">
        <v>166</v>
      </c>
      <c r="GC116" s="158" t="s">
        <v>362</v>
      </c>
    </row>
    <row r="117" spans="1:185" ht="16">
      <c r="A117" s="140" t="s">
        <v>162</v>
      </c>
      <c r="B117" s="143" t="s">
        <v>163</v>
      </c>
      <c r="C117" s="140" t="s">
        <v>164</v>
      </c>
      <c r="D117" s="140" t="s">
        <v>165</v>
      </c>
      <c r="E117" s="140">
        <v>2020</v>
      </c>
      <c r="F117" t="s">
        <v>184</v>
      </c>
      <c r="G117" s="139">
        <v>44873.441972637316</v>
      </c>
      <c r="H117" s="147">
        <f t="shared" ref="H117" si="118">0.0083*G117^(0.9482)</f>
        <v>213.84269805308594</v>
      </c>
      <c r="I117" s="147">
        <f t="shared" si="67"/>
        <v>213.84269805308594</v>
      </c>
      <c r="J117" s="144">
        <v>1023.6960419742201</v>
      </c>
      <c r="K117" s="144">
        <v>208.22462851664989</v>
      </c>
      <c r="L117" s="144">
        <v>170.65406041453912</v>
      </c>
      <c r="M117" t="b">
        <v>1</v>
      </c>
      <c r="N117">
        <v>3</v>
      </c>
      <c r="O117" s="140" t="s">
        <v>185</v>
      </c>
      <c r="P117" s="140" t="s">
        <v>166</v>
      </c>
      <c r="Q117" s="140" t="s">
        <v>166</v>
      </c>
      <c r="R117" s="140" t="s">
        <v>166</v>
      </c>
      <c r="S117" s="140" t="b">
        <v>1</v>
      </c>
      <c r="T117" s="140" t="b">
        <v>0</v>
      </c>
      <c r="U117" s="140" t="s">
        <v>166</v>
      </c>
      <c r="V117" s="140" t="b">
        <v>0</v>
      </c>
      <c r="W117" s="140" t="b">
        <v>0</v>
      </c>
      <c r="X117" s="140" t="s">
        <v>580</v>
      </c>
      <c r="Y117" s="148" t="s">
        <v>186</v>
      </c>
      <c r="Z117" t="s">
        <v>184</v>
      </c>
      <c r="AA117" s="149">
        <v>865</v>
      </c>
      <c r="AB117" s="149" t="s">
        <v>233</v>
      </c>
      <c r="AC117" s="149">
        <v>7</v>
      </c>
      <c r="AD117" s="149">
        <v>3</v>
      </c>
      <c r="AE117">
        <v>11</v>
      </c>
      <c r="AF117">
        <v>18</v>
      </c>
      <c r="AG117" s="150">
        <v>59.11</v>
      </c>
      <c r="AH117" t="s">
        <v>166</v>
      </c>
      <c r="AI117" t="s">
        <v>166</v>
      </c>
      <c r="AJ117" t="s">
        <v>253</v>
      </c>
      <c r="AK117">
        <v>18.440300000000001</v>
      </c>
      <c r="AL117">
        <v>-179.5558</v>
      </c>
      <c r="AM117" s="163">
        <v>11.681659698486328</v>
      </c>
      <c r="AN117" t="s">
        <v>166</v>
      </c>
      <c r="AO117">
        <v>-1530</v>
      </c>
      <c r="AP117">
        <v>-1400</v>
      </c>
      <c r="AQ117" t="s">
        <v>254</v>
      </c>
      <c r="AR117" t="s">
        <v>166</v>
      </c>
      <c r="AS117" s="150">
        <v>44.873441972637316</v>
      </c>
      <c r="AT117" t="s">
        <v>166</v>
      </c>
      <c r="AU117" t="s">
        <v>166</v>
      </c>
      <c r="AV117" t="s">
        <v>166</v>
      </c>
      <c r="AW117" t="s">
        <v>255</v>
      </c>
      <c r="AX117" t="s">
        <v>256</v>
      </c>
      <c r="AY117" t="s">
        <v>166</v>
      </c>
      <c r="AZ117" t="s">
        <v>166</v>
      </c>
      <c r="BA117" t="s">
        <v>166</v>
      </c>
      <c r="BB117" t="s">
        <v>166</v>
      </c>
      <c r="BC117" t="s">
        <v>166</v>
      </c>
      <c r="BD117" t="s">
        <v>166</v>
      </c>
      <c r="BE117" t="s">
        <v>166</v>
      </c>
      <c r="BF117" t="s">
        <v>166</v>
      </c>
      <c r="BG117" s="151" t="s">
        <v>288</v>
      </c>
      <c r="BH117" s="149" t="s">
        <v>192</v>
      </c>
      <c r="BI117" t="s">
        <v>166</v>
      </c>
      <c r="BJ117" s="152" t="s">
        <v>166</v>
      </c>
      <c r="BK117" t="s">
        <v>289</v>
      </c>
      <c r="BL117" t="s">
        <v>194</v>
      </c>
      <c r="BM117" t="s">
        <v>195</v>
      </c>
      <c r="BN117" t="s">
        <v>166</v>
      </c>
      <c r="BO117" t="s">
        <v>166</v>
      </c>
      <c r="BP117" t="s">
        <v>166</v>
      </c>
      <c r="BQ117" s="150">
        <v>14.895043364389071</v>
      </c>
      <c r="BR117" t="s">
        <v>196</v>
      </c>
      <c r="BS117" s="150">
        <v>0.21974687008674654</v>
      </c>
      <c r="BT117">
        <v>0.88</v>
      </c>
      <c r="BU117" t="s">
        <v>197</v>
      </c>
      <c r="BV117" t="s">
        <v>166</v>
      </c>
      <c r="BW117">
        <v>1.748</v>
      </c>
      <c r="BX117" t="s">
        <v>197</v>
      </c>
      <c r="BY117" t="s">
        <v>166</v>
      </c>
      <c r="BZ117" t="s">
        <v>404</v>
      </c>
      <c r="CA117" t="s">
        <v>360</v>
      </c>
      <c r="CB117" s="150">
        <f t="shared" si="78"/>
        <v>14.855638160662382</v>
      </c>
      <c r="CC117" t="s">
        <v>196</v>
      </c>
      <c r="CD117" s="150">
        <v>0.21974687008674654</v>
      </c>
      <c r="CE117" t="s">
        <v>199</v>
      </c>
      <c r="CF117" t="s">
        <v>166</v>
      </c>
      <c r="CG117" t="s">
        <v>200</v>
      </c>
      <c r="CH117" t="s">
        <v>166</v>
      </c>
      <c r="CI117" t="s">
        <v>166</v>
      </c>
      <c r="CJ117" s="139">
        <v>35.329249031661611</v>
      </c>
      <c r="CK117" t="s">
        <v>201</v>
      </c>
      <c r="CL117">
        <v>2</v>
      </c>
      <c r="CM117">
        <v>2</v>
      </c>
      <c r="CN117" t="s">
        <v>166</v>
      </c>
      <c r="CO117" s="139">
        <v>3.9845254782635648</v>
      </c>
      <c r="CP117" t="s">
        <v>166</v>
      </c>
      <c r="CQ117" t="s">
        <v>166</v>
      </c>
      <c r="CR117" t="s">
        <v>166</v>
      </c>
      <c r="CS117" s="153" t="s">
        <v>202</v>
      </c>
      <c r="CT117" t="s">
        <v>203</v>
      </c>
      <c r="CU117">
        <v>2.2000000000000002</v>
      </c>
      <c r="CV117" t="s">
        <v>204</v>
      </c>
      <c r="CW117" t="s">
        <v>166</v>
      </c>
      <c r="CX117" t="s">
        <v>166</v>
      </c>
      <c r="CY117" t="s">
        <v>166</v>
      </c>
      <c r="CZ117" t="s">
        <v>166</v>
      </c>
      <c r="DA117" s="154" t="s">
        <v>166</v>
      </c>
      <c r="DB117" t="s">
        <v>166</v>
      </c>
      <c r="DC117" t="s">
        <v>166</v>
      </c>
      <c r="DD117" t="s">
        <v>166</v>
      </c>
      <c r="DE117" t="s">
        <v>166</v>
      </c>
      <c r="DF117" t="s">
        <v>205</v>
      </c>
      <c r="DG117">
        <v>35</v>
      </c>
      <c r="DH117" t="s">
        <v>201</v>
      </c>
      <c r="DI117">
        <v>1</v>
      </c>
      <c r="DJ117" t="s">
        <v>206</v>
      </c>
      <c r="DK117">
        <v>17</v>
      </c>
      <c r="DL117" t="s">
        <v>166</v>
      </c>
      <c r="DM117" t="s">
        <v>166</v>
      </c>
      <c r="DN117" t="s">
        <v>207</v>
      </c>
      <c r="DO117">
        <v>38</v>
      </c>
      <c r="DP117" t="s">
        <v>208</v>
      </c>
      <c r="DQ117">
        <v>3</v>
      </c>
      <c r="DR117" t="s">
        <v>209</v>
      </c>
      <c r="DS117" t="s">
        <v>166</v>
      </c>
      <c r="DT117" t="s">
        <v>166</v>
      </c>
      <c r="DU117" t="s">
        <v>166</v>
      </c>
      <c r="DV117" t="s">
        <v>166</v>
      </c>
      <c r="DW117">
        <v>432.6</v>
      </c>
      <c r="DX117" t="s">
        <v>166</v>
      </c>
      <c r="DY117" t="s">
        <v>166</v>
      </c>
      <c r="DZ117" t="s">
        <v>210</v>
      </c>
      <c r="EA117" t="s">
        <v>361</v>
      </c>
      <c r="EB117" t="s">
        <v>212</v>
      </c>
      <c r="EC117" t="s">
        <v>166</v>
      </c>
      <c r="ED117" t="s">
        <v>213</v>
      </c>
      <c r="EE117" s="155" t="s">
        <v>214</v>
      </c>
      <c r="EF117" s="155" t="s">
        <v>214</v>
      </c>
      <c r="EG117">
        <v>1.0271999999999999</v>
      </c>
      <c r="EH117" t="s">
        <v>215</v>
      </c>
      <c r="EI117" t="s">
        <v>215</v>
      </c>
      <c r="EJ117" t="s">
        <v>216</v>
      </c>
      <c r="EK117" t="s">
        <v>215</v>
      </c>
      <c r="EL117" t="s">
        <v>215</v>
      </c>
      <c r="EM117" t="s">
        <v>217</v>
      </c>
      <c r="EN117" s="156" t="s">
        <v>214</v>
      </c>
      <c r="EO117" s="156" t="s">
        <v>214</v>
      </c>
      <c r="EP117" s="156" t="s">
        <v>214</v>
      </c>
      <c r="EQ117" s="156" t="s">
        <v>214</v>
      </c>
      <c r="ET117" t="s">
        <v>218</v>
      </c>
      <c r="EU117" t="s">
        <v>219</v>
      </c>
      <c r="EV117" t="s">
        <v>213</v>
      </c>
      <c r="EW117" t="s">
        <v>166</v>
      </c>
      <c r="EX117" t="s">
        <v>166</v>
      </c>
      <c r="EY117" t="s">
        <v>166</v>
      </c>
      <c r="EZ117" t="s">
        <v>166</v>
      </c>
      <c r="FA117" s="157">
        <v>6.5</v>
      </c>
      <c r="FB117" t="s">
        <v>220</v>
      </c>
      <c r="FC117" s="157">
        <v>1</v>
      </c>
      <c r="FD117" s="157">
        <v>1</v>
      </c>
      <c r="FE117" s="177">
        <v>7.6724366605498204</v>
      </c>
      <c r="FF117" t="s">
        <v>221</v>
      </c>
      <c r="FG117" s="177">
        <v>3.2934554380559256E-2</v>
      </c>
      <c r="FH117" s="177">
        <v>3.4511801286880583E-2</v>
      </c>
      <c r="FI117" s="178">
        <v>1193.3812416229898</v>
      </c>
      <c r="FK117" t="s">
        <v>166</v>
      </c>
      <c r="FL117" s="144">
        <f t="shared" si="79"/>
        <v>1193.3812416229898</v>
      </c>
      <c r="FM117" s="178">
        <v>231.46219043605038</v>
      </c>
      <c r="FN117" s="178">
        <v>189.17666906444992</v>
      </c>
      <c r="FO117" t="s">
        <v>222</v>
      </c>
      <c r="FP117" t="s">
        <v>223</v>
      </c>
      <c r="FQ117" s="144" t="s">
        <v>166</v>
      </c>
      <c r="FR117" s="144" t="s">
        <v>166</v>
      </c>
      <c r="FS117" s="144" t="s">
        <v>166</v>
      </c>
      <c r="FT117" s="144" t="s">
        <v>166</v>
      </c>
      <c r="FU117" s="144" t="s">
        <v>166</v>
      </c>
      <c r="FV117" s="144" t="s">
        <v>166</v>
      </c>
      <c r="FW117" s="144" t="s">
        <v>166</v>
      </c>
      <c r="FX117" s="144" t="s">
        <v>166</v>
      </c>
      <c r="FY117" s="144" t="s">
        <v>166</v>
      </c>
      <c r="FZ117" s="144" t="s">
        <v>166</v>
      </c>
      <c r="GA117" s="144" t="s">
        <v>166</v>
      </c>
      <c r="GB117" s="144" t="s">
        <v>166</v>
      </c>
      <c r="GC117" s="158" t="s">
        <v>362</v>
      </c>
    </row>
    <row r="118" spans="1:185" ht="16">
      <c r="A118" s="140" t="s">
        <v>162</v>
      </c>
      <c r="B118" s="143" t="s">
        <v>163</v>
      </c>
      <c r="C118" s="140" t="s">
        <v>164</v>
      </c>
      <c r="D118" s="140" t="s">
        <v>165</v>
      </c>
      <c r="E118" s="140">
        <v>2020</v>
      </c>
      <c r="F118" t="s">
        <v>184</v>
      </c>
      <c r="G118" s="139">
        <v>44873.441972637316</v>
      </c>
      <c r="H118" s="147">
        <f t="shared" ref="H118" si="119">0.0083*G118^(0.9482)</f>
        <v>213.84269805308594</v>
      </c>
      <c r="I118" s="147">
        <f t="shared" si="67"/>
        <v>213.84269805308594</v>
      </c>
      <c r="J118" s="144">
        <v>895.03114612380898</v>
      </c>
      <c r="K118" s="144">
        <v>187.41934928287117</v>
      </c>
      <c r="L118" s="144">
        <v>152.67764467715597</v>
      </c>
      <c r="M118" t="b">
        <v>1</v>
      </c>
      <c r="N118">
        <v>3</v>
      </c>
      <c r="O118" s="140" t="s">
        <v>185</v>
      </c>
      <c r="P118" s="140" t="s">
        <v>166</v>
      </c>
      <c r="Q118" s="140" t="s">
        <v>166</v>
      </c>
      <c r="R118" s="140" t="s">
        <v>166</v>
      </c>
      <c r="S118" s="140" t="b">
        <v>1</v>
      </c>
      <c r="T118" s="140" t="b">
        <v>0</v>
      </c>
      <c r="U118" s="140" t="s">
        <v>166</v>
      </c>
      <c r="V118" s="140" t="b">
        <v>0</v>
      </c>
      <c r="W118" s="140" t="b">
        <v>0</v>
      </c>
      <c r="X118" s="140" t="s">
        <v>580</v>
      </c>
      <c r="Y118" s="148" t="s">
        <v>186</v>
      </c>
      <c r="Z118" t="s">
        <v>184</v>
      </c>
      <c r="AA118" s="149">
        <v>865</v>
      </c>
      <c r="AB118" s="149" t="s">
        <v>233</v>
      </c>
      <c r="AC118" s="149">
        <v>7</v>
      </c>
      <c r="AD118" s="149">
        <v>3</v>
      </c>
      <c r="AE118">
        <v>11</v>
      </c>
      <c r="AF118">
        <v>18</v>
      </c>
      <c r="AG118" s="150">
        <v>59.11</v>
      </c>
      <c r="AH118" t="s">
        <v>166</v>
      </c>
      <c r="AI118" t="s">
        <v>166</v>
      </c>
      <c r="AJ118" t="s">
        <v>253</v>
      </c>
      <c r="AK118">
        <v>18.440300000000001</v>
      </c>
      <c r="AL118">
        <v>-179.5558</v>
      </c>
      <c r="AM118" s="163">
        <v>11.681659698486328</v>
      </c>
      <c r="AN118" t="s">
        <v>166</v>
      </c>
      <c r="AO118">
        <v>-1530</v>
      </c>
      <c r="AP118">
        <v>-1400</v>
      </c>
      <c r="AQ118" t="s">
        <v>254</v>
      </c>
      <c r="AR118" t="s">
        <v>166</v>
      </c>
      <c r="AS118" s="150">
        <v>44.873441972637316</v>
      </c>
      <c r="AT118" t="s">
        <v>166</v>
      </c>
      <c r="AU118" t="s">
        <v>166</v>
      </c>
      <c r="AV118" t="s">
        <v>166</v>
      </c>
      <c r="AW118" t="s">
        <v>255</v>
      </c>
      <c r="AX118" t="s">
        <v>256</v>
      </c>
      <c r="AY118" t="s">
        <v>166</v>
      </c>
      <c r="AZ118" t="s">
        <v>166</v>
      </c>
      <c r="BA118" t="s">
        <v>166</v>
      </c>
      <c r="BB118" t="s">
        <v>166</v>
      </c>
      <c r="BC118" t="s">
        <v>166</v>
      </c>
      <c r="BD118" t="s">
        <v>166</v>
      </c>
      <c r="BE118" t="s">
        <v>166</v>
      </c>
      <c r="BF118" t="s">
        <v>166</v>
      </c>
      <c r="BG118" s="151" t="s">
        <v>229</v>
      </c>
      <c r="BH118" s="149" t="s">
        <v>192</v>
      </c>
      <c r="BI118" t="s">
        <v>166</v>
      </c>
      <c r="BJ118" s="152" t="s">
        <v>166</v>
      </c>
      <c r="BK118" t="s">
        <v>290</v>
      </c>
      <c r="BL118" t="s">
        <v>194</v>
      </c>
      <c r="BM118" t="s">
        <v>195</v>
      </c>
      <c r="BN118" t="s">
        <v>166</v>
      </c>
      <c r="BO118" t="s">
        <v>166</v>
      </c>
      <c r="BP118" t="s">
        <v>166</v>
      </c>
      <c r="BQ118" s="150">
        <v>15.095335495043493</v>
      </c>
      <c r="BR118" t="s">
        <v>196</v>
      </c>
      <c r="BS118" s="150">
        <v>0.24128334116152253</v>
      </c>
      <c r="BT118">
        <v>0.88</v>
      </c>
      <c r="BU118" t="s">
        <v>197</v>
      </c>
      <c r="BV118" t="s">
        <v>166</v>
      </c>
      <c r="BW118">
        <v>1.748</v>
      </c>
      <c r="BX118" t="s">
        <v>197</v>
      </c>
      <c r="BY118" t="s">
        <v>166</v>
      </c>
      <c r="BZ118" t="s">
        <v>405</v>
      </c>
      <c r="CA118" t="s">
        <v>360</v>
      </c>
      <c r="CB118" s="150">
        <f t="shared" si="78"/>
        <v>15.031895235638274</v>
      </c>
      <c r="CC118" t="s">
        <v>196</v>
      </c>
      <c r="CD118" s="150">
        <v>0.24128334116152253</v>
      </c>
      <c r="CE118" t="s">
        <v>199</v>
      </c>
      <c r="CF118" t="s">
        <v>166</v>
      </c>
      <c r="CG118" t="s">
        <v>200</v>
      </c>
      <c r="CH118" t="s">
        <v>166</v>
      </c>
      <c r="CI118" t="s">
        <v>166</v>
      </c>
      <c r="CJ118" s="139">
        <v>34.575625932289306</v>
      </c>
      <c r="CK118" t="s">
        <v>201</v>
      </c>
      <c r="CL118">
        <v>2</v>
      </c>
      <c r="CM118">
        <v>2</v>
      </c>
      <c r="CN118" t="s">
        <v>166</v>
      </c>
      <c r="CO118" s="139">
        <v>3.8188182488073452</v>
      </c>
      <c r="CP118" t="s">
        <v>166</v>
      </c>
      <c r="CQ118" t="s">
        <v>166</v>
      </c>
      <c r="CR118" t="s">
        <v>166</v>
      </c>
      <c r="CS118" s="153" t="s">
        <v>202</v>
      </c>
      <c r="CT118" t="s">
        <v>203</v>
      </c>
      <c r="CU118">
        <v>2.2000000000000002</v>
      </c>
      <c r="CV118" t="s">
        <v>204</v>
      </c>
      <c r="CW118" t="s">
        <v>166</v>
      </c>
      <c r="CX118" t="s">
        <v>166</v>
      </c>
      <c r="CY118" t="s">
        <v>166</v>
      </c>
      <c r="CZ118" t="s">
        <v>166</v>
      </c>
      <c r="DA118" s="154" t="s">
        <v>166</v>
      </c>
      <c r="DB118" t="s">
        <v>166</v>
      </c>
      <c r="DC118" t="s">
        <v>166</v>
      </c>
      <c r="DD118" t="s">
        <v>166</v>
      </c>
      <c r="DE118" t="s">
        <v>166</v>
      </c>
      <c r="DF118" t="s">
        <v>205</v>
      </c>
      <c r="DG118">
        <v>35</v>
      </c>
      <c r="DH118" t="s">
        <v>201</v>
      </c>
      <c r="DI118">
        <v>1</v>
      </c>
      <c r="DJ118" t="s">
        <v>206</v>
      </c>
      <c r="DK118">
        <v>17</v>
      </c>
      <c r="DL118" t="s">
        <v>166</v>
      </c>
      <c r="DM118" t="s">
        <v>166</v>
      </c>
      <c r="DN118" t="s">
        <v>207</v>
      </c>
      <c r="DO118">
        <v>38</v>
      </c>
      <c r="DP118" t="s">
        <v>208</v>
      </c>
      <c r="DQ118">
        <v>3</v>
      </c>
      <c r="DR118" t="s">
        <v>209</v>
      </c>
      <c r="DS118" t="s">
        <v>166</v>
      </c>
      <c r="DT118" t="s">
        <v>166</v>
      </c>
      <c r="DU118" t="s">
        <v>166</v>
      </c>
      <c r="DV118" t="s">
        <v>166</v>
      </c>
      <c r="DW118">
        <v>432.6</v>
      </c>
      <c r="DX118" t="s">
        <v>166</v>
      </c>
      <c r="DY118" t="s">
        <v>166</v>
      </c>
      <c r="DZ118" t="s">
        <v>210</v>
      </c>
      <c r="EA118" t="s">
        <v>361</v>
      </c>
      <c r="EB118" t="s">
        <v>212</v>
      </c>
      <c r="EC118" t="s">
        <v>166</v>
      </c>
      <c r="ED118" t="s">
        <v>213</v>
      </c>
      <c r="EE118" s="155" t="s">
        <v>214</v>
      </c>
      <c r="EF118" s="155" t="s">
        <v>214</v>
      </c>
      <c r="EG118">
        <v>1.0271999999999999</v>
      </c>
      <c r="EH118" t="s">
        <v>215</v>
      </c>
      <c r="EI118" t="s">
        <v>215</v>
      </c>
      <c r="EJ118" t="s">
        <v>216</v>
      </c>
      <c r="EK118" t="s">
        <v>215</v>
      </c>
      <c r="EL118" t="s">
        <v>215</v>
      </c>
      <c r="EM118" t="s">
        <v>217</v>
      </c>
      <c r="EN118" s="156" t="s">
        <v>214</v>
      </c>
      <c r="EO118" s="156" t="s">
        <v>214</v>
      </c>
      <c r="EP118" s="156" t="s">
        <v>214</v>
      </c>
      <c r="EQ118" s="156" t="s">
        <v>214</v>
      </c>
      <c r="ET118" t="s">
        <v>218</v>
      </c>
      <c r="EU118" t="s">
        <v>219</v>
      </c>
      <c r="EV118" t="s">
        <v>213</v>
      </c>
      <c r="EW118" t="s">
        <v>166</v>
      </c>
      <c r="EX118" t="s">
        <v>166</v>
      </c>
      <c r="EY118" t="s">
        <v>166</v>
      </c>
      <c r="EZ118" t="s">
        <v>166</v>
      </c>
      <c r="FA118" s="157">
        <v>6.5</v>
      </c>
      <c r="FB118" t="s">
        <v>220</v>
      </c>
      <c r="FC118" s="157">
        <v>1</v>
      </c>
      <c r="FD118" s="157">
        <v>1</v>
      </c>
      <c r="FE118" s="177">
        <v>7.7112497420633996</v>
      </c>
      <c r="FF118" t="s">
        <v>221</v>
      </c>
      <c r="FG118" s="177">
        <v>3.3716919914360766E-2</v>
      </c>
      <c r="FH118" s="177">
        <v>3.3981814008319233E-2</v>
      </c>
      <c r="FI118" s="178">
        <v>1034.10424196996</v>
      </c>
      <c r="FK118" t="s">
        <v>166</v>
      </c>
      <c r="FL118" s="144">
        <f t="shared" si="79"/>
        <v>1034.10424196996</v>
      </c>
      <c r="FM118" s="178">
        <v>197.49949228928995</v>
      </c>
      <c r="FN118" s="178">
        <v>181.66057361737091</v>
      </c>
      <c r="FO118" t="s">
        <v>222</v>
      </c>
      <c r="FP118" t="s">
        <v>223</v>
      </c>
      <c r="FQ118" s="144" t="s">
        <v>166</v>
      </c>
      <c r="FR118" s="144" t="s">
        <v>166</v>
      </c>
      <c r="FS118" s="144" t="s">
        <v>166</v>
      </c>
      <c r="FT118" s="144" t="s">
        <v>166</v>
      </c>
      <c r="FU118" s="144" t="s">
        <v>166</v>
      </c>
      <c r="FV118" s="144" t="s">
        <v>166</v>
      </c>
      <c r="FW118" s="144" t="s">
        <v>166</v>
      </c>
      <c r="FX118" s="144" t="s">
        <v>166</v>
      </c>
      <c r="FY118" s="144" t="s">
        <v>166</v>
      </c>
      <c r="FZ118" s="144" t="s">
        <v>166</v>
      </c>
      <c r="GA118" s="144" t="s">
        <v>166</v>
      </c>
      <c r="GB118" s="144" t="s">
        <v>166</v>
      </c>
      <c r="GC118" s="158" t="s">
        <v>362</v>
      </c>
    </row>
    <row r="119" spans="1:185" ht="16">
      <c r="A119" s="140" t="s">
        <v>162</v>
      </c>
      <c r="B119" s="143" t="s">
        <v>163</v>
      </c>
      <c r="C119" s="140" t="s">
        <v>164</v>
      </c>
      <c r="D119" s="140" t="s">
        <v>165</v>
      </c>
      <c r="E119" s="140">
        <v>2020</v>
      </c>
      <c r="F119" t="s">
        <v>184</v>
      </c>
      <c r="G119" s="139">
        <v>44873.441972637316</v>
      </c>
      <c r="H119" s="147">
        <f t="shared" ref="H119" si="120">0.0083*G119^(0.9482)</f>
        <v>213.84269805308594</v>
      </c>
      <c r="I119" s="147">
        <f t="shared" si="67"/>
        <v>213.84269805308594</v>
      </c>
      <c r="J119" s="144">
        <v>874.27899522697805</v>
      </c>
      <c r="K119" s="144">
        <v>184.72071903394192</v>
      </c>
      <c r="L119" s="144">
        <v>152.8083464435631</v>
      </c>
      <c r="M119" t="b">
        <v>1</v>
      </c>
      <c r="N119">
        <v>3</v>
      </c>
      <c r="O119" s="140" t="s">
        <v>185</v>
      </c>
      <c r="P119" s="140" t="s">
        <v>166</v>
      </c>
      <c r="Q119" s="140" t="s">
        <v>166</v>
      </c>
      <c r="R119" s="140" t="s">
        <v>166</v>
      </c>
      <c r="S119" s="140" t="b">
        <v>1</v>
      </c>
      <c r="T119" s="140" t="b">
        <v>0</v>
      </c>
      <c r="U119" s="140" t="s">
        <v>166</v>
      </c>
      <c r="V119" s="140" t="b">
        <v>0</v>
      </c>
      <c r="W119" s="140" t="b">
        <v>0</v>
      </c>
      <c r="X119" s="140" t="s">
        <v>580</v>
      </c>
      <c r="Y119" s="148" t="s">
        <v>186</v>
      </c>
      <c r="Z119" t="s">
        <v>184</v>
      </c>
      <c r="AA119" s="149">
        <v>865</v>
      </c>
      <c r="AB119" s="149" t="s">
        <v>233</v>
      </c>
      <c r="AC119" s="149">
        <v>7</v>
      </c>
      <c r="AD119" s="149">
        <v>3</v>
      </c>
      <c r="AE119">
        <v>11</v>
      </c>
      <c r="AF119">
        <v>18</v>
      </c>
      <c r="AG119" s="150">
        <v>59.11</v>
      </c>
      <c r="AH119" t="s">
        <v>166</v>
      </c>
      <c r="AI119" t="s">
        <v>166</v>
      </c>
      <c r="AJ119" t="s">
        <v>253</v>
      </c>
      <c r="AK119">
        <v>18.440300000000001</v>
      </c>
      <c r="AL119">
        <v>-179.5558</v>
      </c>
      <c r="AM119" s="163">
        <v>11.681659698486328</v>
      </c>
      <c r="AN119" t="s">
        <v>166</v>
      </c>
      <c r="AO119">
        <v>-1530</v>
      </c>
      <c r="AP119">
        <v>-1400</v>
      </c>
      <c r="AQ119" t="s">
        <v>254</v>
      </c>
      <c r="AR119" t="s">
        <v>166</v>
      </c>
      <c r="AS119" s="150">
        <v>44.873441972637316</v>
      </c>
      <c r="AT119" t="s">
        <v>166</v>
      </c>
      <c r="AU119" t="s">
        <v>166</v>
      </c>
      <c r="AV119" t="s">
        <v>166</v>
      </c>
      <c r="AW119" t="s">
        <v>255</v>
      </c>
      <c r="AX119" t="s">
        <v>256</v>
      </c>
      <c r="AY119" t="s">
        <v>166</v>
      </c>
      <c r="AZ119" t="s">
        <v>166</v>
      </c>
      <c r="BA119" t="s">
        <v>166</v>
      </c>
      <c r="BB119" t="s">
        <v>166</v>
      </c>
      <c r="BC119" t="s">
        <v>166</v>
      </c>
      <c r="BD119" t="s">
        <v>166</v>
      </c>
      <c r="BE119" t="s">
        <v>166</v>
      </c>
      <c r="BF119" t="s">
        <v>166</v>
      </c>
      <c r="BG119" s="151" t="s">
        <v>291</v>
      </c>
      <c r="BH119" s="149" t="s">
        <v>192</v>
      </c>
      <c r="BI119" t="s">
        <v>166</v>
      </c>
      <c r="BJ119" s="152" t="s">
        <v>166</v>
      </c>
      <c r="BK119" t="s">
        <v>292</v>
      </c>
      <c r="BL119" t="s">
        <v>194</v>
      </c>
      <c r="BM119" t="s">
        <v>195</v>
      </c>
      <c r="BN119" t="s">
        <v>166</v>
      </c>
      <c r="BO119" t="s">
        <v>166</v>
      </c>
      <c r="BP119" t="s">
        <v>166</v>
      </c>
      <c r="BQ119" s="150">
        <v>15.0862000523883</v>
      </c>
      <c r="BR119" t="s">
        <v>196</v>
      </c>
      <c r="BS119" s="150">
        <v>0.26413669577693244</v>
      </c>
      <c r="BT119">
        <v>0.88</v>
      </c>
      <c r="BU119" t="s">
        <v>197</v>
      </c>
      <c r="BV119" t="s">
        <v>166</v>
      </c>
      <c r="BW119">
        <v>1.748</v>
      </c>
      <c r="BX119" t="s">
        <v>197</v>
      </c>
      <c r="BY119" t="s">
        <v>166</v>
      </c>
      <c r="BZ119" t="s">
        <v>406</v>
      </c>
      <c r="CA119" t="s">
        <v>360</v>
      </c>
      <c r="CB119" s="150">
        <f t="shared" si="78"/>
        <v>15.023856046101702</v>
      </c>
      <c r="CC119" t="s">
        <v>196</v>
      </c>
      <c r="CD119" s="150">
        <v>0.264136695776932</v>
      </c>
      <c r="CE119" t="s">
        <v>259</v>
      </c>
      <c r="CF119" t="s">
        <v>260</v>
      </c>
      <c r="CG119" t="s">
        <v>200</v>
      </c>
      <c r="CH119" t="s">
        <v>166</v>
      </c>
      <c r="CI119" t="s">
        <v>166</v>
      </c>
      <c r="CJ119" s="139">
        <v>32.540744089319737</v>
      </c>
      <c r="CK119" t="s">
        <v>201</v>
      </c>
      <c r="CL119">
        <v>2</v>
      </c>
      <c r="CM119">
        <v>2</v>
      </c>
      <c r="CN119" t="s">
        <v>166</v>
      </c>
      <c r="CO119" s="139">
        <v>3.4050067964125357</v>
      </c>
      <c r="CP119" t="s">
        <v>166</v>
      </c>
      <c r="CQ119" t="s">
        <v>166</v>
      </c>
      <c r="CR119" t="s">
        <v>166</v>
      </c>
      <c r="CS119" s="153" t="s">
        <v>202</v>
      </c>
      <c r="CT119" t="s">
        <v>203</v>
      </c>
      <c r="CU119">
        <v>2.2000000000000002</v>
      </c>
      <c r="CV119" t="s">
        <v>204</v>
      </c>
      <c r="CW119" t="s">
        <v>166</v>
      </c>
      <c r="CX119" t="s">
        <v>166</v>
      </c>
      <c r="CY119" t="s">
        <v>166</v>
      </c>
      <c r="CZ119" t="s">
        <v>166</v>
      </c>
      <c r="DA119" s="154" t="s">
        <v>166</v>
      </c>
      <c r="DB119" t="s">
        <v>166</v>
      </c>
      <c r="DC119" t="s">
        <v>166</v>
      </c>
      <c r="DD119" t="s">
        <v>166</v>
      </c>
      <c r="DE119" t="s">
        <v>166</v>
      </c>
      <c r="DF119" t="s">
        <v>205</v>
      </c>
      <c r="DG119">
        <v>35</v>
      </c>
      <c r="DH119" t="s">
        <v>201</v>
      </c>
      <c r="DI119">
        <v>1</v>
      </c>
      <c r="DJ119" t="s">
        <v>206</v>
      </c>
      <c r="DK119">
        <v>17</v>
      </c>
      <c r="DL119" t="s">
        <v>166</v>
      </c>
      <c r="DM119" t="s">
        <v>166</v>
      </c>
      <c r="DN119" t="s">
        <v>207</v>
      </c>
      <c r="DO119">
        <v>38</v>
      </c>
      <c r="DP119" t="s">
        <v>208</v>
      </c>
      <c r="DQ119">
        <v>3</v>
      </c>
      <c r="DR119" t="s">
        <v>209</v>
      </c>
      <c r="DS119" t="s">
        <v>166</v>
      </c>
      <c r="DT119" t="s">
        <v>166</v>
      </c>
      <c r="DU119" t="s">
        <v>166</v>
      </c>
      <c r="DV119" t="s">
        <v>166</v>
      </c>
      <c r="DW119">
        <v>432.6</v>
      </c>
      <c r="DX119" t="s">
        <v>166</v>
      </c>
      <c r="DY119" t="s">
        <v>166</v>
      </c>
      <c r="DZ119" t="s">
        <v>210</v>
      </c>
      <c r="EA119" t="s">
        <v>361</v>
      </c>
      <c r="EB119" t="s">
        <v>212</v>
      </c>
      <c r="EC119" t="s">
        <v>166</v>
      </c>
      <c r="ED119" t="s">
        <v>213</v>
      </c>
      <c r="EE119" s="155" t="s">
        <v>214</v>
      </c>
      <c r="EF119" s="155" t="s">
        <v>214</v>
      </c>
      <c r="EG119">
        <v>1.0271999999999999</v>
      </c>
      <c r="EH119" t="s">
        <v>215</v>
      </c>
      <c r="EI119" t="s">
        <v>215</v>
      </c>
      <c r="EJ119" t="s">
        <v>216</v>
      </c>
      <c r="EK119" t="s">
        <v>215</v>
      </c>
      <c r="EL119" t="s">
        <v>215</v>
      </c>
      <c r="EM119" t="s">
        <v>217</v>
      </c>
      <c r="EN119" s="156" t="s">
        <v>214</v>
      </c>
      <c r="EO119" s="156" t="s">
        <v>214</v>
      </c>
      <c r="EP119" s="156" t="s">
        <v>214</v>
      </c>
      <c r="EQ119" s="156" t="s">
        <v>214</v>
      </c>
      <c r="ET119" t="s">
        <v>218</v>
      </c>
      <c r="EU119" t="s">
        <v>219</v>
      </c>
      <c r="EV119" t="s">
        <v>213</v>
      </c>
      <c r="EW119" t="s">
        <v>166</v>
      </c>
      <c r="EX119" t="s">
        <v>166</v>
      </c>
      <c r="EY119" t="s">
        <v>166</v>
      </c>
      <c r="EZ119" t="s">
        <v>166</v>
      </c>
      <c r="FA119" s="157">
        <v>6.5</v>
      </c>
      <c r="FB119" t="s">
        <v>220</v>
      </c>
      <c r="FC119" s="157">
        <v>1</v>
      </c>
      <c r="FD119" s="157">
        <v>1</v>
      </c>
      <c r="FE119" s="177">
        <v>7.7328724551628003</v>
      </c>
      <c r="FF119" t="s">
        <v>221</v>
      </c>
      <c r="FG119" s="177">
        <v>3.5504907518679296E-2</v>
      </c>
      <c r="FH119" s="177">
        <v>3.6620016686330636E-2</v>
      </c>
      <c r="FI119" s="178">
        <v>1000.11549838663</v>
      </c>
      <c r="FK119" t="s">
        <v>166</v>
      </c>
      <c r="FL119" s="144">
        <f t="shared" si="79"/>
        <v>1000.11549838663</v>
      </c>
      <c r="FM119" s="178">
        <v>200.55957171982004</v>
      </c>
      <c r="FN119" s="178">
        <v>190.09765632699396</v>
      </c>
      <c r="FO119" t="s">
        <v>222</v>
      </c>
      <c r="FP119" t="s">
        <v>223</v>
      </c>
      <c r="FQ119" s="144" t="s">
        <v>166</v>
      </c>
      <c r="FR119" s="144" t="s">
        <v>166</v>
      </c>
      <c r="FS119" s="144" t="s">
        <v>166</v>
      </c>
      <c r="FT119" s="144" t="s">
        <v>166</v>
      </c>
      <c r="FU119" s="144" t="s">
        <v>166</v>
      </c>
      <c r="FV119" s="144" t="s">
        <v>166</v>
      </c>
      <c r="FW119" s="144" t="s">
        <v>166</v>
      </c>
      <c r="FX119" s="144" t="s">
        <v>166</v>
      </c>
      <c r="FY119" s="144" t="s">
        <v>166</v>
      </c>
      <c r="FZ119" s="144" t="s">
        <v>166</v>
      </c>
      <c r="GA119" s="144" t="s">
        <v>166</v>
      </c>
      <c r="GB119" s="144" t="s">
        <v>166</v>
      </c>
      <c r="GC119" s="158" t="s">
        <v>382</v>
      </c>
    </row>
    <row r="120" spans="1:185" ht="16">
      <c r="A120" s="140" t="s">
        <v>162</v>
      </c>
      <c r="B120" s="143" t="s">
        <v>163</v>
      </c>
      <c r="C120" s="140" t="s">
        <v>164</v>
      </c>
      <c r="D120" s="140" t="s">
        <v>165</v>
      </c>
      <c r="E120" s="140">
        <v>2020</v>
      </c>
      <c r="F120" t="s">
        <v>184</v>
      </c>
      <c r="G120" s="139">
        <v>45204.769310523589</v>
      </c>
      <c r="H120" s="147">
        <f t="shared" ref="H120" si="121">0.0083*G120^(0.9482)</f>
        <v>215.33955197071546</v>
      </c>
      <c r="I120" s="147">
        <f t="shared" si="67"/>
        <v>215.33955197071546</v>
      </c>
      <c r="J120" s="144">
        <v>958.56022386520601</v>
      </c>
      <c r="K120" s="144">
        <v>175.94132118365394</v>
      </c>
      <c r="L120" s="144">
        <v>154.14751727530904</v>
      </c>
      <c r="M120" t="b">
        <v>1</v>
      </c>
      <c r="N120">
        <v>3</v>
      </c>
      <c r="O120" s="140" t="s">
        <v>185</v>
      </c>
      <c r="P120" s="140" t="s">
        <v>166</v>
      </c>
      <c r="Q120" s="140" t="s">
        <v>166</v>
      </c>
      <c r="R120" s="140" t="s">
        <v>166</v>
      </c>
      <c r="S120" s="140" t="b">
        <v>1</v>
      </c>
      <c r="T120" s="140" t="b">
        <v>0</v>
      </c>
      <c r="U120" s="140" t="s">
        <v>166</v>
      </c>
      <c r="V120" s="140" t="b">
        <v>0</v>
      </c>
      <c r="W120" s="140" t="b">
        <v>0</v>
      </c>
      <c r="X120" s="140" t="s">
        <v>580</v>
      </c>
      <c r="Y120" s="148" t="s">
        <v>186</v>
      </c>
      <c r="Z120" t="s">
        <v>184</v>
      </c>
      <c r="AA120" s="149">
        <v>865</v>
      </c>
      <c r="AB120" s="149" t="s">
        <v>233</v>
      </c>
      <c r="AC120" s="149">
        <v>7</v>
      </c>
      <c r="AD120" s="149">
        <v>4</v>
      </c>
      <c r="AE120">
        <v>8</v>
      </c>
      <c r="AF120">
        <v>17</v>
      </c>
      <c r="AG120" s="150">
        <v>60.58</v>
      </c>
      <c r="AH120" t="s">
        <v>166</v>
      </c>
      <c r="AI120" t="s">
        <v>166</v>
      </c>
      <c r="AJ120" t="s">
        <v>253</v>
      </c>
      <c r="AK120">
        <v>18.440300000000001</v>
      </c>
      <c r="AL120">
        <v>-179.5558</v>
      </c>
      <c r="AM120" s="163">
        <v>11.707368850708008</v>
      </c>
      <c r="AN120" t="s">
        <v>166</v>
      </c>
      <c r="AO120">
        <v>-1530</v>
      </c>
      <c r="AP120">
        <v>-1400</v>
      </c>
      <c r="AQ120" t="s">
        <v>254</v>
      </c>
      <c r="AR120" t="s">
        <v>166</v>
      </c>
      <c r="AS120" s="150">
        <v>45.204769310523588</v>
      </c>
      <c r="AT120" t="s">
        <v>166</v>
      </c>
      <c r="AU120" t="s">
        <v>166</v>
      </c>
      <c r="AV120" t="s">
        <v>166</v>
      </c>
      <c r="AW120" t="s">
        <v>255</v>
      </c>
      <c r="AX120" t="s">
        <v>256</v>
      </c>
      <c r="AY120" t="s">
        <v>166</v>
      </c>
      <c r="AZ120" t="s">
        <v>166</v>
      </c>
      <c r="BA120" t="s">
        <v>166</v>
      </c>
      <c r="BB120" t="s">
        <v>166</v>
      </c>
      <c r="BC120" t="s">
        <v>166</v>
      </c>
      <c r="BD120" t="s">
        <v>166</v>
      </c>
      <c r="BE120" t="s">
        <v>166</v>
      </c>
      <c r="BF120" t="s">
        <v>166</v>
      </c>
      <c r="BG120" s="151" t="s">
        <v>229</v>
      </c>
      <c r="BH120" s="149" t="s">
        <v>192</v>
      </c>
      <c r="BI120" t="s">
        <v>166</v>
      </c>
      <c r="BJ120" s="152" t="s">
        <v>166</v>
      </c>
      <c r="BK120" t="s">
        <v>293</v>
      </c>
      <c r="BL120" t="s">
        <v>194</v>
      </c>
      <c r="BM120" t="s">
        <v>195</v>
      </c>
      <c r="BN120" t="s">
        <v>166</v>
      </c>
      <c r="BO120" t="s">
        <v>166</v>
      </c>
      <c r="BP120" t="s">
        <v>166</v>
      </c>
      <c r="BQ120" s="150">
        <v>15.006661151981127</v>
      </c>
      <c r="BR120" t="s">
        <v>196</v>
      </c>
      <c r="BS120" s="150">
        <v>0.18548603285507165</v>
      </c>
      <c r="BT120">
        <v>0.88</v>
      </c>
      <c r="BU120" t="s">
        <v>197</v>
      </c>
      <c r="BV120" t="s">
        <v>166</v>
      </c>
      <c r="BW120">
        <v>1.748</v>
      </c>
      <c r="BX120" t="s">
        <v>197</v>
      </c>
      <c r="BY120" t="s">
        <v>166</v>
      </c>
      <c r="BZ120" t="s">
        <v>407</v>
      </c>
      <c r="CA120" t="s">
        <v>360</v>
      </c>
      <c r="CB120" s="150">
        <f t="shared" si="78"/>
        <v>14.953861813743391</v>
      </c>
      <c r="CC120" t="s">
        <v>196</v>
      </c>
      <c r="CD120" s="150">
        <v>0.18548603285507165</v>
      </c>
      <c r="CE120" t="s">
        <v>199</v>
      </c>
      <c r="CF120" t="s">
        <v>166</v>
      </c>
      <c r="CG120" t="s">
        <v>200</v>
      </c>
      <c r="CH120" t="s">
        <v>166</v>
      </c>
      <c r="CI120" t="s">
        <v>166</v>
      </c>
      <c r="CJ120" s="139">
        <v>35.249208711134713</v>
      </c>
      <c r="CK120" t="s">
        <v>201</v>
      </c>
      <c r="CL120">
        <v>2</v>
      </c>
      <c r="CM120">
        <v>2</v>
      </c>
      <c r="CN120" t="s">
        <v>166</v>
      </c>
      <c r="CO120" s="139">
        <v>3.9665902063480458</v>
      </c>
      <c r="CP120" t="s">
        <v>166</v>
      </c>
      <c r="CQ120" t="s">
        <v>166</v>
      </c>
      <c r="CR120" t="s">
        <v>166</v>
      </c>
      <c r="CS120" s="153" t="s">
        <v>202</v>
      </c>
      <c r="CT120" t="s">
        <v>203</v>
      </c>
      <c r="CU120">
        <v>2.2000000000000002</v>
      </c>
      <c r="CV120" t="s">
        <v>204</v>
      </c>
      <c r="CW120" t="s">
        <v>166</v>
      </c>
      <c r="CX120" t="s">
        <v>166</v>
      </c>
      <c r="CY120" t="s">
        <v>166</v>
      </c>
      <c r="CZ120" t="s">
        <v>166</v>
      </c>
      <c r="DA120" s="154" t="s">
        <v>166</v>
      </c>
      <c r="DB120" t="s">
        <v>166</v>
      </c>
      <c r="DC120" t="s">
        <v>166</v>
      </c>
      <c r="DD120" t="s">
        <v>166</v>
      </c>
      <c r="DE120" t="s">
        <v>166</v>
      </c>
      <c r="DF120" t="s">
        <v>205</v>
      </c>
      <c r="DG120">
        <v>35</v>
      </c>
      <c r="DH120" t="s">
        <v>201</v>
      </c>
      <c r="DI120">
        <v>1</v>
      </c>
      <c r="DJ120" t="s">
        <v>206</v>
      </c>
      <c r="DK120">
        <v>17</v>
      </c>
      <c r="DL120" t="s">
        <v>166</v>
      </c>
      <c r="DM120" t="s">
        <v>166</v>
      </c>
      <c r="DN120" t="s">
        <v>207</v>
      </c>
      <c r="DO120">
        <v>38</v>
      </c>
      <c r="DP120" t="s">
        <v>208</v>
      </c>
      <c r="DQ120">
        <v>3</v>
      </c>
      <c r="DR120" t="s">
        <v>209</v>
      </c>
      <c r="DS120" t="s">
        <v>166</v>
      </c>
      <c r="DT120" t="s">
        <v>166</v>
      </c>
      <c r="DU120" t="s">
        <v>166</v>
      </c>
      <c r="DV120" t="s">
        <v>166</v>
      </c>
      <c r="DW120">
        <v>432.6</v>
      </c>
      <c r="DX120" t="s">
        <v>166</v>
      </c>
      <c r="DY120" t="s">
        <v>166</v>
      </c>
      <c r="DZ120" t="s">
        <v>210</v>
      </c>
      <c r="EA120" t="s">
        <v>361</v>
      </c>
      <c r="EB120" t="s">
        <v>212</v>
      </c>
      <c r="EC120" t="s">
        <v>166</v>
      </c>
      <c r="ED120" t="s">
        <v>213</v>
      </c>
      <c r="EE120" s="155" t="s">
        <v>214</v>
      </c>
      <c r="EF120" s="155" t="s">
        <v>214</v>
      </c>
      <c r="EG120">
        <v>1.0271999999999999</v>
      </c>
      <c r="EH120" t="s">
        <v>215</v>
      </c>
      <c r="EI120" t="s">
        <v>215</v>
      </c>
      <c r="EJ120" t="s">
        <v>216</v>
      </c>
      <c r="EK120" t="s">
        <v>215</v>
      </c>
      <c r="EL120" t="s">
        <v>215</v>
      </c>
      <c r="EM120" t="s">
        <v>217</v>
      </c>
      <c r="EN120" s="156" t="s">
        <v>214</v>
      </c>
      <c r="EO120" s="156" t="s">
        <v>214</v>
      </c>
      <c r="EP120" s="156" t="s">
        <v>214</v>
      </c>
      <c r="EQ120" s="156" t="s">
        <v>214</v>
      </c>
      <c r="ET120" t="s">
        <v>218</v>
      </c>
      <c r="EU120" t="s">
        <v>219</v>
      </c>
      <c r="EV120" t="s">
        <v>213</v>
      </c>
      <c r="EW120" t="s">
        <v>166</v>
      </c>
      <c r="EX120" t="s">
        <v>166</v>
      </c>
      <c r="EY120" t="s">
        <v>166</v>
      </c>
      <c r="EZ120" t="s">
        <v>166</v>
      </c>
      <c r="FA120" s="157">
        <v>6.5</v>
      </c>
      <c r="FB120" t="s">
        <v>220</v>
      </c>
      <c r="FC120" s="157">
        <v>1</v>
      </c>
      <c r="FD120" s="157">
        <v>1</v>
      </c>
      <c r="FE120" s="177">
        <v>7.6912540691701601</v>
      </c>
      <c r="FF120" t="s">
        <v>221</v>
      </c>
      <c r="FG120" s="177">
        <v>2.8350762380870087E-2</v>
      </c>
      <c r="FH120" s="177">
        <v>3.205787071614008E-2</v>
      </c>
      <c r="FI120" s="178">
        <v>1101.89843276906</v>
      </c>
      <c r="FK120" t="s">
        <v>166</v>
      </c>
      <c r="FL120" s="144">
        <f t="shared" si="79"/>
        <v>1101.89843276906</v>
      </c>
      <c r="FM120" s="178">
        <v>196.01620675200002</v>
      </c>
      <c r="FN120" s="178">
        <v>176.041213008726</v>
      </c>
      <c r="FO120" t="s">
        <v>222</v>
      </c>
      <c r="FP120" t="s">
        <v>223</v>
      </c>
      <c r="FQ120" s="144" t="s">
        <v>166</v>
      </c>
      <c r="FR120" s="144" t="s">
        <v>166</v>
      </c>
      <c r="FS120" s="144" t="s">
        <v>166</v>
      </c>
      <c r="FT120" s="144" t="s">
        <v>166</v>
      </c>
      <c r="FU120" s="144" t="s">
        <v>166</v>
      </c>
      <c r="FV120" s="144" t="s">
        <v>166</v>
      </c>
      <c r="FW120" s="144" t="s">
        <v>166</v>
      </c>
      <c r="FX120" s="144" t="s">
        <v>166</v>
      </c>
      <c r="FY120" s="144" t="s">
        <v>166</v>
      </c>
      <c r="FZ120" s="144" t="s">
        <v>166</v>
      </c>
      <c r="GA120" s="144" t="s">
        <v>166</v>
      </c>
      <c r="GB120" s="144" t="s">
        <v>166</v>
      </c>
      <c r="GC120" s="158" t="s">
        <v>362</v>
      </c>
    </row>
    <row r="121" spans="1:185" ht="16">
      <c r="A121" s="140" t="s">
        <v>162</v>
      </c>
      <c r="B121" s="143" t="s">
        <v>163</v>
      </c>
      <c r="C121" s="140" t="s">
        <v>164</v>
      </c>
      <c r="D121" s="140" t="s">
        <v>165</v>
      </c>
      <c r="E121" s="140">
        <v>2020</v>
      </c>
      <c r="F121" t="s">
        <v>184</v>
      </c>
      <c r="G121" s="139">
        <v>45204.769310523589</v>
      </c>
      <c r="H121" s="147">
        <f t="shared" ref="H121" si="122">0.0083*G121^(0.9482)</f>
        <v>215.33955197071546</v>
      </c>
      <c r="I121" s="147">
        <f t="shared" si="67"/>
        <v>215.33955197071546</v>
      </c>
      <c r="J121" s="144">
        <v>1116.11969989964</v>
      </c>
      <c r="K121" s="144">
        <v>235.12081178601011</v>
      </c>
      <c r="L121" s="144">
        <v>197.95571081182788</v>
      </c>
      <c r="M121" t="b">
        <v>1</v>
      </c>
      <c r="N121">
        <v>3</v>
      </c>
      <c r="O121" s="140" t="s">
        <v>185</v>
      </c>
      <c r="P121" s="140" t="s">
        <v>166</v>
      </c>
      <c r="Q121" s="140" t="s">
        <v>166</v>
      </c>
      <c r="R121" s="140" t="s">
        <v>166</v>
      </c>
      <c r="S121" s="140" t="b">
        <v>1</v>
      </c>
      <c r="T121" s="140" t="b">
        <v>0</v>
      </c>
      <c r="U121" s="140" t="s">
        <v>166</v>
      </c>
      <c r="V121" s="140" t="b">
        <v>0</v>
      </c>
      <c r="W121" s="140" t="b">
        <v>0</v>
      </c>
      <c r="X121" s="140" t="s">
        <v>580</v>
      </c>
      <c r="Y121" s="148" t="s">
        <v>186</v>
      </c>
      <c r="Z121" t="s">
        <v>184</v>
      </c>
      <c r="AA121" s="149">
        <v>865</v>
      </c>
      <c r="AB121" s="149" t="s">
        <v>233</v>
      </c>
      <c r="AC121" s="149">
        <v>7</v>
      </c>
      <c r="AD121" s="149">
        <v>4</v>
      </c>
      <c r="AE121">
        <v>8</v>
      </c>
      <c r="AF121">
        <v>17</v>
      </c>
      <c r="AG121" s="150">
        <v>60.58</v>
      </c>
      <c r="AH121" t="s">
        <v>166</v>
      </c>
      <c r="AI121" t="s">
        <v>166</v>
      </c>
      <c r="AJ121" t="s">
        <v>253</v>
      </c>
      <c r="AK121">
        <v>18.440300000000001</v>
      </c>
      <c r="AL121">
        <v>-179.5558</v>
      </c>
      <c r="AM121" s="163">
        <v>11.707368850708008</v>
      </c>
      <c r="AN121" t="s">
        <v>166</v>
      </c>
      <c r="AO121">
        <v>-1530</v>
      </c>
      <c r="AP121">
        <v>-1400</v>
      </c>
      <c r="AQ121" t="s">
        <v>254</v>
      </c>
      <c r="AR121" t="s">
        <v>166</v>
      </c>
      <c r="AS121" s="150">
        <v>45.204769310523588</v>
      </c>
      <c r="AT121" t="s">
        <v>166</v>
      </c>
      <c r="AU121" t="s">
        <v>166</v>
      </c>
      <c r="AV121" t="s">
        <v>166</v>
      </c>
      <c r="AW121" t="s">
        <v>255</v>
      </c>
      <c r="AX121" t="s">
        <v>256</v>
      </c>
      <c r="AY121" t="s">
        <v>166</v>
      </c>
      <c r="AZ121" t="s">
        <v>166</v>
      </c>
      <c r="BA121" t="s">
        <v>166</v>
      </c>
      <c r="BB121" t="s">
        <v>166</v>
      </c>
      <c r="BC121" t="s">
        <v>166</v>
      </c>
      <c r="BD121" t="s">
        <v>166</v>
      </c>
      <c r="BE121" t="s">
        <v>166</v>
      </c>
      <c r="BF121" t="s">
        <v>166</v>
      </c>
      <c r="BG121" s="151" t="s">
        <v>229</v>
      </c>
      <c r="BH121" s="149" t="s">
        <v>192</v>
      </c>
      <c r="BI121" t="s">
        <v>166</v>
      </c>
      <c r="BJ121" s="152" t="s">
        <v>166</v>
      </c>
      <c r="BK121" t="s">
        <v>294</v>
      </c>
      <c r="BL121" t="s">
        <v>194</v>
      </c>
      <c r="BM121" t="s">
        <v>195</v>
      </c>
      <c r="BN121" t="s">
        <v>166</v>
      </c>
      <c r="BO121" t="s">
        <v>166</v>
      </c>
      <c r="BP121" t="s">
        <v>166</v>
      </c>
      <c r="BQ121" s="150">
        <v>14.707199223760735</v>
      </c>
      <c r="BR121" t="s">
        <v>196</v>
      </c>
      <c r="BS121" s="150">
        <v>0.22978247658204684</v>
      </c>
      <c r="BT121">
        <v>0.88</v>
      </c>
      <c r="BU121" t="s">
        <v>197</v>
      </c>
      <c r="BV121" t="s">
        <v>166</v>
      </c>
      <c r="BW121">
        <v>1.748</v>
      </c>
      <c r="BX121" t="s">
        <v>197</v>
      </c>
      <c r="BY121" t="s">
        <v>166</v>
      </c>
      <c r="BZ121" t="s">
        <v>408</v>
      </c>
      <c r="CA121" t="s">
        <v>360</v>
      </c>
      <c r="CB121" s="150">
        <f t="shared" si="78"/>
        <v>14.690335316909447</v>
      </c>
      <c r="CC121" t="s">
        <v>196</v>
      </c>
      <c r="CD121" s="150">
        <v>0.22978247658204684</v>
      </c>
      <c r="CE121" t="s">
        <v>199</v>
      </c>
      <c r="CF121" t="s">
        <v>166</v>
      </c>
      <c r="CG121" t="s">
        <v>200</v>
      </c>
      <c r="CH121" t="s">
        <v>166</v>
      </c>
      <c r="CI121" t="s">
        <v>166</v>
      </c>
      <c r="CJ121" s="139">
        <v>34.197725467917621</v>
      </c>
      <c r="CK121" t="s">
        <v>201</v>
      </c>
      <c r="CL121">
        <v>2</v>
      </c>
      <c r="CM121">
        <v>2</v>
      </c>
      <c r="CN121" t="s">
        <v>166</v>
      </c>
      <c r="CO121" s="139">
        <v>3.738337650095001</v>
      </c>
      <c r="CP121" t="s">
        <v>166</v>
      </c>
      <c r="CQ121" t="s">
        <v>166</v>
      </c>
      <c r="CR121" t="s">
        <v>166</v>
      </c>
      <c r="CS121" s="153" t="s">
        <v>202</v>
      </c>
      <c r="CT121" t="s">
        <v>203</v>
      </c>
      <c r="CU121">
        <v>2.2000000000000002</v>
      </c>
      <c r="CV121" t="s">
        <v>204</v>
      </c>
      <c r="CW121" t="s">
        <v>166</v>
      </c>
      <c r="CX121" t="s">
        <v>166</v>
      </c>
      <c r="CY121" t="s">
        <v>166</v>
      </c>
      <c r="CZ121" t="s">
        <v>166</v>
      </c>
      <c r="DA121" s="154" t="s">
        <v>166</v>
      </c>
      <c r="DB121" t="s">
        <v>166</v>
      </c>
      <c r="DC121" t="s">
        <v>166</v>
      </c>
      <c r="DD121" t="s">
        <v>166</v>
      </c>
      <c r="DE121" t="s">
        <v>166</v>
      </c>
      <c r="DF121" t="s">
        <v>205</v>
      </c>
      <c r="DG121">
        <v>35</v>
      </c>
      <c r="DH121" t="s">
        <v>201</v>
      </c>
      <c r="DI121">
        <v>1</v>
      </c>
      <c r="DJ121" t="s">
        <v>206</v>
      </c>
      <c r="DK121">
        <v>17</v>
      </c>
      <c r="DL121" t="s">
        <v>166</v>
      </c>
      <c r="DM121" t="s">
        <v>166</v>
      </c>
      <c r="DN121" t="s">
        <v>207</v>
      </c>
      <c r="DO121">
        <v>38</v>
      </c>
      <c r="DP121" t="s">
        <v>208</v>
      </c>
      <c r="DQ121">
        <v>3</v>
      </c>
      <c r="DR121" t="s">
        <v>209</v>
      </c>
      <c r="DS121" t="s">
        <v>166</v>
      </c>
      <c r="DT121" t="s">
        <v>166</v>
      </c>
      <c r="DU121" t="s">
        <v>166</v>
      </c>
      <c r="DV121" t="s">
        <v>166</v>
      </c>
      <c r="DW121">
        <v>432.6</v>
      </c>
      <c r="DX121" t="s">
        <v>166</v>
      </c>
      <c r="DY121" t="s">
        <v>166</v>
      </c>
      <c r="DZ121" t="s">
        <v>210</v>
      </c>
      <c r="EA121" t="s">
        <v>361</v>
      </c>
      <c r="EB121" t="s">
        <v>212</v>
      </c>
      <c r="EC121" t="s">
        <v>166</v>
      </c>
      <c r="ED121" t="s">
        <v>213</v>
      </c>
      <c r="EE121" s="155" t="s">
        <v>214</v>
      </c>
      <c r="EF121" s="155" t="s">
        <v>214</v>
      </c>
      <c r="EG121">
        <v>1.0271999999999999</v>
      </c>
      <c r="EH121" t="s">
        <v>215</v>
      </c>
      <c r="EI121" t="s">
        <v>215</v>
      </c>
      <c r="EJ121" t="s">
        <v>216</v>
      </c>
      <c r="EK121" t="s">
        <v>215</v>
      </c>
      <c r="EL121" t="s">
        <v>215</v>
      </c>
      <c r="EM121" t="s">
        <v>217</v>
      </c>
      <c r="EN121" s="156" t="s">
        <v>214</v>
      </c>
      <c r="EO121" s="156" t="s">
        <v>214</v>
      </c>
      <c r="EP121" s="156" t="s">
        <v>214</v>
      </c>
      <c r="EQ121" s="156" t="s">
        <v>214</v>
      </c>
      <c r="ET121" t="s">
        <v>218</v>
      </c>
      <c r="EU121" t="s">
        <v>219</v>
      </c>
      <c r="EV121" t="s">
        <v>213</v>
      </c>
      <c r="EW121" t="s">
        <v>166</v>
      </c>
      <c r="EX121" t="s">
        <v>166</v>
      </c>
      <c r="EY121" t="s">
        <v>166</v>
      </c>
      <c r="EZ121" t="s">
        <v>166</v>
      </c>
      <c r="FA121" s="157">
        <v>6.5</v>
      </c>
      <c r="FB121" t="s">
        <v>220</v>
      </c>
      <c r="FC121" s="157">
        <v>1</v>
      </c>
      <c r="FD121" s="157">
        <v>1</v>
      </c>
      <c r="FE121" s="177">
        <v>7.6555341754416997</v>
      </c>
      <c r="FF121" t="s">
        <v>221</v>
      </c>
      <c r="FG121" s="177">
        <v>3.4421733566539992E-2</v>
      </c>
      <c r="FH121" s="177">
        <v>3.5705142485909391E-2</v>
      </c>
      <c r="FI121" s="178">
        <v>1341.2276057301699</v>
      </c>
      <c r="FK121" t="s">
        <v>166</v>
      </c>
      <c r="FL121" s="144">
        <f t="shared" si="79"/>
        <v>1341.2276057301699</v>
      </c>
      <c r="FM121" s="178">
        <v>279.32628517775015</v>
      </c>
      <c r="FN121" s="178">
        <v>226.60933780462983</v>
      </c>
      <c r="FO121" t="s">
        <v>222</v>
      </c>
      <c r="FP121" t="s">
        <v>223</v>
      </c>
      <c r="FQ121" s="144" t="s">
        <v>166</v>
      </c>
      <c r="FR121" s="144" t="s">
        <v>166</v>
      </c>
      <c r="FS121" s="144" t="s">
        <v>166</v>
      </c>
      <c r="FT121" s="144" t="s">
        <v>166</v>
      </c>
      <c r="FU121" s="144" t="s">
        <v>166</v>
      </c>
      <c r="FV121" s="144" t="s">
        <v>166</v>
      </c>
      <c r="FW121" s="144" t="s">
        <v>166</v>
      </c>
      <c r="FX121" s="144" t="s">
        <v>166</v>
      </c>
      <c r="FY121" s="144" t="s">
        <v>166</v>
      </c>
      <c r="FZ121" s="144" t="s">
        <v>166</v>
      </c>
      <c r="GA121" s="144" t="s">
        <v>166</v>
      </c>
      <c r="GB121" s="144" t="s">
        <v>166</v>
      </c>
      <c r="GC121" s="158" t="s">
        <v>362</v>
      </c>
    </row>
    <row r="122" spans="1:185" ht="16">
      <c r="A122" s="140" t="s">
        <v>162</v>
      </c>
      <c r="B122" s="143" t="s">
        <v>163</v>
      </c>
      <c r="C122" s="140" t="s">
        <v>164</v>
      </c>
      <c r="D122" s="140" t="s">
        <v>165</v>
      </c>
      <c r="E122" s="140">
        <v>2020</v>
      </c>
      <c r="F122" t="s">
        <v>184</v>
      </c>
      <c r="G122" s="139">
        <v>45753.600649131105</v>
      </c>
      <c r="H122" s="147">
        <f t="shared" ref="H122" si="123">0.0083*G122^(0.9482)</f>
        <v>217.8177864351706</v>
      </c>
      <c r="I122" s="147">
        <f t="shared" si="67"/>
        <v>217.8177864351706</v>
      </c>
      <c r="J122" s="144">
        <v>1030.3035929560499</v>
      </c>
      <c r="K122" s="144">
        <v>197.15820936861019</v>
      </c>
      <c r="L122" s="144">
        <v>174.93897896971987</v>
      </c>
      <c r="M122" t="b">
        <v>1</v>
      </c>
      <c r="N122">
        <v>3</v>
      </c>
      <c r="O122" s="140" t="s">
        <v>185</v>
      </c>
      <c r="P122" s="140" t="s">
        <v>166</v>
      </c>
      <c r="Q122" s="140" t="s">
        <v>166</v>
      </c>
      <c r="R122" s="140" t="s">
        <v>166</v>
      </c>
      <c r="S122" s="140" t="b">
        <v>1</v>
      </c>
      <c r="T122" s="140" t="b">
        <v>0</v>
      </c>
      <c r="U122" s="140" t="s">
        <v>166</v>
      </c>
      <c r="V122" s="140" t="b">
        <v>0</v>
      </c>
      <c r="W122" s="140" t="b">
        <v>0</v>
      </c>
      <c r="X122" s="140" t="s">
        <v>580</v>
      </c>
      <c r="Y122" s="148" t="s">
        <v>186</v>
      </c>
      <c r="Z122" t="s">
        <v>184</v>
      </c>
      <c r="AA122" s="149">
        <v>865</v>
      </c>
      <c r="AB122" s="149" t="s">
        <v>233</v>
      </c>
      <c r="AC122" s="149">
        <v>7</v>
      </c>
      <c r="AD122" s="149">
        <v>6</v>
      </c>
      <c r="AE122" t="s">
        <v>166</v>
      </c>
      <c r="AF122" t="s">
        <v>166</v>
      </c>
      <c r="AG122" s="150">
        <v>63.015000000000001</v>
      </c>
      <c r="AH122" t="s">
        <v>166</v>
      </c>
      <c r="AI122" t="s">
        <v>166</v>
      </c>
      <c r="AJ122" t="s">
        <v>253</v>
      </c>
      <c r="AK122">
        <v>18.440300000000001</v>
      </c>
      <c r="AL122">
        <v>-179.5558</v>
      </c>
      <c r="AM122" s="163">
        <v>11.749956130981445</v>
      </c>
      <c r="AN122" t="s">
        <v>166</v>
      </c>
      <c r="AO122">
        <v>-1530</v>
      </c>
      <c r="AP122">
        <v>-1400</v>
      </c>
      <c r="AQ122" t="s">
        <v>254</v>
      </c>
      <c r="AR122" t="s">
        <v>166</v>
      </c>
      <c r="AS122" s="150">
        <v>45.753600649131108</v>
      </c>
      <c r="AT122" t="s">
        <v>166</v>
      </c>
      <c r="AU122" t="s">
        <v>166</v>
      </c>
      <c r="AV122" t="s">
        <v>166</v>
      </c>
      <c r="AW122" t="s">
        <v>255</v>
      </c>
      <c r="AX122" t="s">
        <v>256</v>
      </c>
      <c r="AY122" t="s">
        <v>166</v>
      </c>
      <c r="AZ122" t="s">
        <v>166</v>
      </c>
      <c r="BA122" t="s">
        <v>166</v>
      </c>
      <c r="BB122" t="s">
        <v>166</v>
      </c>
      <c r="BC122" t="s">
        <v>166</v>
      </c>
      <c r="BD122" t="s">
        <v>166</v>
      </c>
      <c r="BE122" t="s">
        <v>166</v>
      </c>
      <c r="BF122" t="s">
        <v>166</v>
      </c>
      <c r="BG122" s="151" t="s">
        <v>229</v>
      </c>
      <c r="BH122" s="149" t="s">
        <v>192</v>
      </c>
      <c r="BI122" t="s">
        <v>166</v>
      </c>
      <c r="BJ122" s="152" t="s">
        <v>166</v>
      </c>
      <c r="BK122" t="s">
        <v>295</v>
      </c>
      <c r="BL122" t="s">
        <v>194</v>
      </c>
      <c r="BM122" t="s">
        <v>195</v>
      </c>
      <c r="BN122" t="s">
        <v>166</v>
      </c>
      <c r="BO122" t="s">
        <v>166</v>
      </c>
      <c r="BP122" t="s">
        <v>166</v>
      </c>
      <c r="BQ122" s="150">
        <v>14.865228583601397</v>
      </c>
      <c r="BR122" t="s">
        <v>196</v>
      </c>
      <c r="BS122" s="150">
        <v>0.21884191262933728</v>
      </c>
      <c r="BT122">
        <v>0.88</v>
      </c>
      <c r="BU122" t="s">
        <v>197</v>
      </c>
      <c r="BV122" t="s">
        <v>166</v>
      </c>
      <c r="BW122">
        <v>1.748</v>
      </c>
      <c r="BX122" t="s">
        <v>197</v>
      </c>
      <c r="BY122" t="s">
        <v>166</v>
      </c>
      <c r="BZ122" t="s">
        <v>409</v>
      </c>
      <c r="CA122" t="s">
        <v>360</v>
      </c>
      <c r="CB122" s="150">
        <f t="shared" si="78"/>
        <v>14.829401153569229</v>
      </c>
      <c r="CC122" t="s">
        <v>196</v>
      </c>
      <c r="CD122" s="150">
        <v>0.21884191262933728</v>
      </c>
      <c r="CE122" t="s">
        <v>199</v>
      </c>
      <c r="CF122" t="s">
        <v>166</v>
      </c>
      <c r="CG122" t="s">
        <v>200</v>
      </c>
      <c r="CH122" t="s">
        <v>166</v>
      </c>
      <c r="CI122" t="s">
        <v>166</v>
      </c>
      <c r="CJ122" s="139">
        <v>34.098475412025458</v>
      </c>
      <c r="CK122" t="s">
        <v>201</v>
      </c>
      <c r="CL122">
        <v>2</v>
      </c>
      <c r="CM122">
        <v>2</v>
      </c>
      <c r="CN122" t="s">
        <v>166</v>
      </c>
      <c r="CO122" s="139">
        <v>3.7174832881272852</v>
      </c>
      <c r="CP122" t="s">
        <v>166</v>
      </c>
      <c r="CQ122" t="s">
        <v>166</v>
      </c>
      <c r="CR122" t="s">
        <v>166</v>
      </c>
      <c r="CS122" s="153" t="s">
        <v>202</v>
      </c>
      <c r="CT122" t="s">
        <v>203</v>
      </c>
      <c r="CU122">
        <v>2.2000000000000002</v>
      </c>
      <c r="CV122" t="s">
        <v>204</v>
      </c>
      <c r="CW122" t="s">
        <v>166</v>
      </c>
      <c r="CX122" t="s">
        <v>166</v>
      </c>
      <c r="CY122" t="s">
        <v>166</v>
      </c>
      <c r="CZ122" t="s">
        <v>166</v>
      </c>
      <c r="DA122" s="154" t="s">
        <v>166</v>
      </c>
      <c r="DB122" t="s">
        <v>166</v>
      </c>
      <c r="DC122" t="s">
        <v>166</v>
      </c>
      <c r="DD122" t="s">
        <v>166</v>
      </c>
      <c r="DE122" t="s">
        <v>166</v>
      </c>
      <c r="DF122" t="s">
        <v>205</v>
      </c>
      <c r="DG122">
        <v>35</v>
      </c>
      <c r="DH122" t="s">
        <v>201</v>
      </c>
      <c r="DI122">
        <v>1</v>
      </c>
      <c r="DJ122" t="s">
        <v>206</v>
      </c>
      <c r="DK122">
        <v>17</v>
      </c>
      <c r="DL122" t="s">
        <v>166</v>
      </c>
      <c r="DM122" t="s">
        <v>166</v>
      </c>
      <c r="DN122" t="s">
        <v>207</v>
      </c>
      <c r="DO122">
        <v>38</v>
      </c>
      <c r="DP122" t="s">
        <v>208</v>
      </c>
      <c r="DQ122">
        <v>3</v>
      </c>
      <c r="DR122" t="s">
        <v>209</v>
      </c>
      <c r="DS122" t="s">
        <v>166</v>
      </c>
      <c r="DT122" t="s">
        <v>166</v>
      </c>
      <c r="DU122" t="s">
        <v>166</v>
      </c>
      <c r="DV122" t="s">
        <v>166</v>
      </c>
      <c r="DW122">
        <v>432.6</v>
      </c>
      <c r="DX122" t="s">
        <v>166</v>
      </c>
      <c r="DY122" t="s">
        <v>166</v>
      </c>
      <c r="DZ122" t="s">
        <v>210</v>
      </c>
      <c r="EA122" t="s">
        <v>361</v>
      </c>
      <c r="EB122" t="s">
        <v>212</v>
      </c>
      <c r="EC122" t="s">
        <v>166</v>
      </c>
      <c r="ED122" t="s">
        <v>213</v>
      </c>
      <c r="EE122" s="155" t="s">
        <v>214</v>
      </c>
      <c r="EF122" s="155" t="s">
        <v>214</v>
      </c>
      <c r="EG122">
        <v>1.0271999999999999</v>
      </c>
      <c r="EH122" t="s">
        <v>215</v>
      </c>
      <c r="EI122" t="s">
        <v>215</v>
      </c>
      <c r="EJ122" t="s">
        <v>216</v>
      </c>
      <c r="EK122" t="s">
        <v>215</v>
      </c>
      <c r="EL122" t="s">
        <v>215</v>
      </c>
      <c r="EM122" t="s">
        <v>217</v>
      </c>
      <c r="EN122" s="156" t="s">
        <v>214</v>
      </c>
      <c r="EO122" s="156" t="s">
        <v>214</v>
      </c>
      <c r="EP122" s="156" t="s">
        <v>214</v>
      </c>
      <c r="EQ122" s="156" t="s">
        <v>214</v>
      </c>
      <c r="ET122" t="s">
        <v>218</v>
      </c>
      <c r="EU122" t="s">
        <v>219</v>
      </c>
      <c r="EV122" t="s">
        <v>213</v>
      </c>
      <c r="EW122" t="s">
        <v>166</v>
      </c>
      <c r="EX122" t="s">
        <v>166</v>
      </c>
      <c r="EY122" t="s">
        <v>166</v>
      </c>
      <c r="EZ122" t="s">
        <v>166</v>
      </c>
      <c r="FA122" s="157">
        <v>6.5</v>
      </c>
      <c r="FB122" t="s">
        <v>220</v>
      </c>
      <c r="FC122" s="157">
        <v>1</v>
      </c>
      <c r="FD122" s="157">
        <v>1</v>
      </c>
      <c r="FE122" s="177">
        <v>7.6829146820770102</v>
      </c>
      <c r="FF122" t="s">
        <v>221</v>
      </c>
      <c r="FG122" s="177">
        <v>3.2762025584819554E-2</v>
      </c>
      <c r="FH122" s="177">
        <v>3.3838933052970255E-2</v>
      </c>
      <c r="FI122" s="178">
        <v>1188.4196798555702</v>
      </c>
      <c r="FK122" t="s">
        <v>166</v>
      </c>
      <c r="FL122" s="144">
        <f t="shared" si="79"/>
        <v>1188.4196798555702</v>
      </c>
      <c r="FM122" s="178">
        <v>234.24545112339979</v>
      </c>
      <c r="FN122" s="178">
        <v>207.18613569154513</v>
      </c>
      <c r="FO122" t="s">
        <v>222</v>
      </c>
      <c r="FP122" t="s">
        <v>223</v>
      </c>
      <c r="FQ122" s="144" t="s">
        <v>166</v>
      </c>
      <c r="FR122" s="144" t="s">
        <v>166</v>
      </c>
      <c r="FS122" s="144" t="s">
        <v>166</v>
      </c>
      <c r="FT122" s="144" t="s">
        <v>166</v>
      </c>
      <c r="FU122" s="144" t="s">
        <v>166</v>
      </c>
      <c r="FV122" s="144" t="s">
        <v>166</v>
      </c>
      <c r="FW122" s="144" t="s">
        <v>166</v>
      </c>
      <c r="FX122" s="144" t="s">
        <v>166</v>
      </c>
      <c r="FY122" s="144" t="s">
        <v>166</v>
      </c>
      <c r="FZ122" s="144" t="s">
        <v>166</v>
      </c>
      <c r="GA122" s="144" t="s">
        <v>166</v>
      </c>
      <c r="GB122" s="144" t="s">
        <v>166</v>
      </c>
      <c r="GC122" s="158" t="s">
        <v>362</v>
      </c>
    </row>
    <row r="123" spans="1:185" ht="16">
      <c r="A123" s="140" t="s">
        <v>162</v>
      </c>
      <c r="B123" s="143" t="s">
        <v>163</v>
      </c>
      <c r="C123" s="140" t="s">
        <v>164</v>
      </c>
      <c r="D123" s="140" t="s">
        <v>165</v>
      </c>
      <c r="E123" s="140">
        <v>2020</v>
      </c>
      <c r="F123" t="s">
        <v>184</v>
      </c>
      <c r="G123" s="139">
        <v>46317.08251628463</v>
      </c>
      <c r="H123" s="147">
        <f t="shared" ref="H123" si="124">0.0083*G123^(0.9482)</f>
        <v>220.36057355627898</v>
      </c>
      <c r="I123" s="147">
        <f t="shared" si="67"/>
        <v>220.36057355627898</v>
      </c>
      <c r="J123" s="144">
        <v>1004.9624409604</v>
      </c>
      <c r="K123" s="144">
        <v>205.13541292956006</v>
      </c>
      <c r="L123" s="144">
        <v>172.23866971787413</v>
      </c>
      <c r="M123" t="b">
        <v>1</v>
      </c>
      <c r="N123">
        <v>3</v>
      </c>
      <c r="O123" s="140" t="s">
        <v>185</v>
      </c>
      <c r="P123" s="140" t="s">
        <v>166</v>
      </c>
      <c r="Q123" s="140" t="s">
        <v>166</v>
      </c>
      <c r="R123" s="140" t="s">
        <v>166</v>
      </c>
      <c r="S123" s="140" t="b">
        <v>1</v>
      </c>
      <c r="T123" s="140" t="b">
        <v>0</v>
      </c>
      <c r="U123" s="140" t="s">
        <v>166</v>
      </c>
      <c r="V123" s="140" t="b">
        <v>0</v>
      </c>
      <c r="W123" s="140" t="b">
        <v>0</v>
      </c>
      <c r="X123" s="140" t="s">
        <v>580</v>
      </c>
      <c r="Y123" s="148" t="s">
        <v>186</v>
      </c>
      <c r="Z123" t="s">
        <v>184</v>
      </c>
      <c r="AA123" s="149">
        <v>865</v>
      </c>
      <c r="AB123" s="149" t="s">
        <v>233</v>
      </c>
      <c r="AC123" s="149">
        <v>8</v>
      </c>
      <c r="AD123" s="149">
        <v>1</v>
      </c>
      <c r="AE123" t="s">
        <v>166</v>
      </c>
      <c r="AF123" t="s">
        <v>166</v>
      </c>
      <c r="AG123" s="150">
        <v>65.515000000000001</v>
      </c>
      <c r="AH123" t="s">
        <v>166</v>
      </c>
      <c r="AI123" t="s">
        <v>166</v>
      </c>
      <c r="AJ123" t="s">
        <v>253</v>
      </c>
      <c r="AK123">
        <v>18.440300000000001</v>
      </c>
      <c r="AL123">
        <v>-179.5558</v>
      </c>
      <c r="AM123" s="163">
        <v>11.793680191040039</v>
      </c>
      <c r="AN123" t="s">
        <v>166</v>
      </c>
      <c r="AO123">
        <v>-1530</v>
      </c>
      <c r="AP123">
        <v>-1400</v>
      </c>
      <c r="AQ123" t="s">
        <v>254</v>
      </c>
      <c r="AR123" t="s">
        <v>166</v>
      </c>
      <c r="AS123" s="150">
        <v>46.317082516284628</v>
      </c>
      <c r="AT123" t="s">
        <v>166</v>
      </c>
      <c r="AU123" t="s">
        <v>166</v>
      </c>
      <c r="AV123" t="s">
        <v>166</v>
      </c>
      <c r="AW123" t="s">
        <v>255</v>
      </c>
      <c r="AX123" t="s">
        <v>256</v>
      </c>
      <c r="AY123" t="s">
        <v>166</v>
      </c>
      <c r="AZ123" t="s">
        <v>166</v>
      </c>
      <c r="BA123" t="s">
        <v>166</v>
      </c>
      <c r="BB123" t="s">
        <v>166</v>
      </c>
      <c r="BC123" t="s">
        <v>166</v>
      </c>
      <c r="BD123" t="s">
        <v>166</v>
      </c>
      <c r="BE123" t="s">
        <v>166</v>
      </c>
      <c r="BF123" t="s">
        <v>166</v>
      </c>
      <c r="BG123" s="151" t="s">
        <v>296</v>
      </c>
      <c r="BH123" s="149" t="s">
        <v>192</v>
      </c>
      <c r="BI123" t="s">
        <v>166</v>
      </c>
      <c r="BJ123" s="152" t="s">
        <v>166</v>
      </c>
      <c r="BK123" t="s">
        <v>297</v>
      </c>
      <c r="BL123" t="s">
        <v>194</v>
      </c>
      <c r="BM123" t="s">
        <v>195</v>
      </c>
      <c r="BN123" t="s">
        <v>166</v>
      </c>
      <c r="BO123" t="s">
        <v>166</v>
      </c>
      <c r="BP123" t="s">
        <v>166</v>
      </c>
      <c r="BQ123" s="150">
        <v>14.950956307728136</v>
      </c>
      <c r="BR123" t="s">
        <v>196</v>
      </c>
      <c r="BS123" s="150">
        <v>0.23069862681587061</v>
      </c>
      <c r="BT123">
        <v>0.88</v>
      </c>
      <c r="BU123" t="s">
        <v>197</v>
      </c>
      <c r="BV123" t="s">
        <v>166</v>
      </c>
      <c r="BW123">
        <v>1.748</v>
      </c>
      <c r="BX123" t="s">
        <v>197</v>
      </c>
      <c r="BY123" t="s">
        <v>166</v>
      </c>
      <c r="BZ123" t="s">
        <v>410</v>
      </c>
      <c r="CA123" t="s">
        <v>360</v>
      </c>
      <c r="CB123" s="150">
        <f t="shared" si="78"/>
        <v>14.904841550800759</v>
      </c>
      <c r="CC123" t="s">
        <v>196</v>
      </c>
      <c r="CD123" s="150">
        <v>0.23069862681587061</v>
      </c>
      <c r="CE123" t="s">
        <v>199</v>
      </c>
      <c r="CF123" t="s">
        <v>166</v>
      </c>
      <c r="CG123" t="s">
        <v>200</v>
      </c>
      <c r="CH123" t="s">
        <v>166</v>
      </c>
      <c r="CI123" t="s">
        <v>166</v>
      </c>
      <c r="CJ123" s="139">
        <v>35.582766389062847</v>
      </c>
      <c r="CK123" t="s">
        <v>201</v>
      </c>
      <c r="CL123">
        <v>2</v>
      </c>
      <c r="CM123">
        <v>2</v>
      </c>
      <c r="CN123" t="s">
        <v>166</v>
      </c>
      <c r="CO123" s="139">
        <v>4.0418700983930238</v>
      </c>
      <c r="CP123" t="s">
        <v>166</v>
      </c>
      <c r="CQ123" t="s">
        <v>166</v>
      </c>
      <c r="CR123" t="s">
        <v>166</v>
      </c>
      <c r="CS123" s="153" t="s">
        <v>202</v>
      </c>
      <c r="CT123" t="s">
        <v>203</v>
      </c>
      <c r="CU123">
        <v>2.2000000000000002</v>
      </c>
      <c r="CV123" t="s">
        <v>204</v>
      </c>
      <c r="CW123" t="s">
        <v>166</v>
      </c>
      <c r="CX123" t="s">
        <v>166</v>
      </c>
      <c r="CY123" t="s">
        <v>166</v>
      </c>
      <c r="CZ123" t="s">
        <v>166</v>
      </c>
      <c r="DA123" s="154" t="s">
        <v>166</v>
      </c>
      <c r="DB123" t="s">
        <v>166</v>
      </c>
      <c r="DC123" t="s">
        <v>166</v>
      </c>
      <c r="DD123" t="s">
        <v>166</v>
      </c>
      <c r="DE123" t="s">
        <v>166</v>
      </c>
      <c r="DF123" t="s">
        <v>205</v>
      </c>
      <c r="DG123">
        <v>35</v>
      </c>
      <c r="DH123" t="s">
        <v>201</v>
      </c>
      <c r="DI123">
        <v>1</v>
      </c>
      <c r="DJ123" t="s">
        <v>206</v>
      </c>
      <c r="DK123">
        <v>17</v>
      </c>
      <c r="DL123" t="s">
        <v>166</v>
      </c>
      <c r="DM123" t="s">
        <v>166</v>
      </c>
      <c r="DN123" t="s">
        <v>207</v>
      </c>
      <c r="DO123">
        <v>38</v>
      </c>
      <c r="DP123" t="s">
        <v>208</v>
      </c>
      <c r="DQ123">
        <v>3</v>
      </c>
      <c r="DR123" t="s">
        <v>209</v>
      </c>
      <c r="DS123" t="s">
        <v>166</v>
      </c>
      <c r="DT123" t="s">
        <v>166</v>
      </c>
      <c r="DU123" t="s">
        <v>166</v>
      </c>
      <c r="DV123" t="s">
        <v>166</v>
      </c>
      <c r="DW123">
        <v>432.6</v>
      </c>
      <c r="DX123" t="s">
        <v>166</v>
      </c>
      <c r="DY123" t="s">
        <v>166</v>
      </c>
      <c r="DZ123" t="s">
        <v>210</v>
      </c>
      <c r="EA123" t="s">
        <v>361</v>
      </c>
      <c r="EB123" t="s">
        <v>212</v>
      </c>
      <c r="EC123" t="s">
        <v>166</v>
      </c>
      <c r="ED123" t="s">
        <v>213</v>
      </c>
      <c r="EE123" s="155" t="s">
        <v>214</v>
      </c>
      <c r="EF123" s="155" t="s">
        <v>214</v>
      </c>
      <c r="EG123">
        <v>1.0271999999999999</v>
      </c>
      <c r="EH123" t="s">
        <v>215</v>
      </c>
      <c r="EI123" t="s">
        <v>215</v>
      </c>
      <c r="EJ123" t="s">
        <v>216</v>
      </c>
      <c r="EK123" t="s">
        <v>215</v>
      </c>
      <c r="EL123" t="s">
        <v>215</v>
      </c>
      <c r="EM123" t="s">
        <v>217</v>
      </c>
      <c r="EN123" s="156" t="s">
        <v>214</v>
      </c>
      <c r="EO123" s="156" t="s">
        <v>214</v>
      </c>
      <c r="EP123" s="156" t="s">
        <v>214</v>
      </c>
      <c r="EQ123" s="156" t="s">
        <v>214</v>
      </c>
      <c r="ET123" t="s">
        <v>218</v>
      </c>
      <c r="EU123" t="s">
        <v>219</v>
      </c>
      <c r="EV123" t="s">
        <v>213</v>
      </c>
      <c r="EW123" t="s">
        <v>166</v>
      </c>
      <c r="EX123" t="s">
        <v>166</v>
      </c>
      <c r="EY123" t="s">
        <v>166</v>
      </c>
      <c r="EZ123" t="s">
        <v>166</v>
      </c>
      <c r="FA123" s="157">
        <v>6.5</v>
      </c>
      <c r="FB123" t="s">
        <v>220</v>
      </c>
      <c r="FC123" s="157">
        <v>1</v>
      </c>
      <c r="FD123" s="157">
        <v>1</v>
      </c>
      <c r="FE123" s="177">
        <v>7.6785617640953401</v>
      </c>
      <c r="FF123" t="s">
        <v>221</v>
      </c>
      <c r="FG123" s="177">
        <v>3.3268462546540256E-2</v>
      </c>
      <c r="FH123" s="177">
        <v>3.2621142744799769E-2</v>
      </c>
      <c r="FI123" s="178">
        <v>1154.0187978178201</v>
      </c>
      <c r="FK123" t="s">
        <v>166</v>
      </c>
      <c r="FL123" s="144">
        <f t="shared" si="79"/>
        <v>1154.0187978178201</v>
      </c>
      <c r="FM123" s="178">
        <v>230.65137449577992</v>
      </c>
      <c r="FN123" s="178">
        <v>197.0613851487351</v>
      </c>
      <c r="FO123" t="s">
        <v>222</v>
      </c>
      <c r="FP123" t="s">
        <v>223</v>
      </c>
      <c r="FQ123" s="144" t="s">
        <v>166</v>
      </c>
      <c r="FR123" s="144" t="s">
        <v>166</v>
      </c>
      <c r="FS123" s="144" t="s">
        <v>166</v>
      </c>
      <c r="FT123" s="144" t="s">
        <v>166</v>
      </c>
      <c r="FU123" s="144" t="s">
        <v>166</v>
      </c>
      <c r="FV123" s="144" t="s">
        <v>166</v>
      </c>
      <c r="FW123" s="144" t="s">
        <v>166</v>
      </c>
      <c r="FX123" s="144" t="s">
        <v>166</v>
      </c>
      <c r="FY123" s="144" t="s">
        <v>166</v>
      </c>
      <c r="FZ123" s="144" t="s">
        <v>166</v>
      </c>
      <c r="GA123" s="144" t="s">
        <v>166</v>
      </c>
      <c r="GB123" s="144" t="s">
        <v>166</v>
      </c>
      <c r="GC123" s="158" t="s">
        <v>362</v>
      </c>
    </row>
    <row r="124" spans="1:185" ht="16">
      <c r="A124" s="140" t="s">
        <v>162</v>
      </c>
      <c r="B124" s="143" t="s">
        <v>163</v>
      </c>
      <c r="C124" s="140" t="s">
        <v>164</v>
      </c>
      <c r="D124" s="140" t="s">
        <v>165</v>
      </c>
      <c r="E124" s="140">
        <v>2020</v>
      </c>
      <c r="F124" t="s">
        <v>184</v>
      </c>
      <c r="G124" s="139">
        <v>46655.171636576735</v>
      </c>
      <c r="H124" s="147">
        <f t="shared" ref="H124" si="125">0.0083*G124^(0.9482)</f>
        <v>221.88547557933344</v>
      </c>
      <c r="I124" s="147">
        <f t="shared" si="67"/>
        <v>221.88547557933344</v>
      </c>
      <c r="J124" s="144">
        <v>962.39851717586998</v>
      </c>
      <c r="K124" s="144">
        <v>188.06021880521985</v>
      </c>
      <c r="L124" s="144">
        <v>154.47149413964303</v>
      </c>
      <c r="M124" t="b">
        <v>1</v>
      </c>
      <c r="N124">
        <v>3</v>
      </c>
      <c r="O124" s="140" t="s">
        <v>185</v>
      </c>
      <c r="P124" s="140" t="s">
        <v>166</v>
      </c>
      <c r="Q124" s="140" t="s">
        <v>166</v>
      </c>
      <c r="R124" s="140" t="s">
        <v>166</v>
      </c>
      <c r="S124" s="140" t="b">
        <v>1</v>
      </c>
      <c r="T124" s="140" t="b">
        <v>0</v>
      </c>
      <c r="U124" s="140" t="s">
        <v>166</v>
      </c>
      <c r="V124" s="140" t="b">
        <v>0</v>
      </c>
      <c r="W124" s="140" t="b">
        <v>0</v>
      </c>
      <c r="X124" s="140" t="s">
        <v>580</v>
      </c>
      <c r="Y124" s="148" t="s">
        <v>186</v>
      </c>
      <c r="Z124" t="s">
        <v>184</v>
      </c>
      <c r="AA124" s="149">
        <v>865</v>
      </c>
      <c r="AB124" s="149" t="s">
        <v>233</v>
      </c>
      <c r="AC124" s="149">
        <v>8</v>
      </c>
      <c r="AD124" s="149">
        <v>2</v>
      </c>
      <c r="AE124" t="s">
        <v>166</v>
      </c>
      <c r="AF124" t="s">
        <v>166</v>
      </c>
      <c r="AG124" s="150">
        <v>67.015000000000001</v>
      </c>
      <c r="AH124" t="s">
        <v>166</v>
      </c>
      <c r="AI124" t="s">
        <v>166</v>
      </c>
      <c r="AJ124" t="s">
        <v>253</v>
      </c>
      <c r="AK124">
        <v>18.440300000000001</v>
      </c>
      <c r="AL124">
        <v>-179.5558</v>
      </c>
      <c r="AM124" s="163">
        <v>11.819914817810059</v>
      </c>
      <c r="AN124" t="s">
        <v>166</v>
      </c>
      <c r="AO124">
        <v>-1530</v>
      </c>
      <c r="AP124">
        <v>-1400</v>
      </c>
      <c r="AQ124" t="s">
        <v>254</v>
      </c>
      <c r="AR124" t="s">
        <v>166</v>
      </c>
      <c r="AS124" s="150">
        <v>46.655171636576732</v>
      </c>
      <c r="AT124" t="s">
        <v>166</v>
      </c>
      <c r="AU124" t="s">
        <v>166</v>
      </c>
      <c r="AV124" t="s">
        <v>166</v>
      </c>
      <c r="AW124" t="s">
        <v>255</v>
      </c>
      <c r="AX124" t="s">
        <v>256</v>
      </c>
      <c r="AY124" t="s">
        <v>166</v>
      </c>
      <c r="AZ124" t="s">
        <v>166</v>
      </c>
      <c r="BA124" t="s">
        <v>166</v>
      </c>
      <c r="BB124" t="s">
        <v>166</v>
      </c>
      <c r="BC124" t="s">
        <v>166</v>
      </c>
      <c r="BD124" t="s">
        <v>166</v>
      </c>
      <c r="BE124" t="s">
        <v>166</v>
      </c>
      <c r="BF124" t="s">
        <v>166</v>
      </c>
      <c r="BG124" s="151" t="s">
        <v>296</v>
      </c>
      <c r="BH124" s="149" t="s">
        <v>192</v>
      </c>
      <c r="BI124" t="s">
        <v>166</v>
      </c>
      <c r="BJ124" s="152" t="s">
        <v>166</v>
      </c>
      <c r="BK124" t="s">
        <v>298</v>
      </c>
      <c r="BL124" t="s">
        <v>194</v>
      </c>
      <c r="BM124" t="s">
        <v>195</v>
      </c>
      <c r="BN124" t="s">
        <v>166</v>
      </c>
      <c r="BO124" t="s">
        <v>166</v>
      </c>
      <c r="BP124" t="s">
        <v>166</v>
      </c>
      <c r="BQ124" s="150">
        <v>15.02054879231407</v>
      </c>
      <c r="BR124" t="s">
        <v>196</v>
      </c>
      <c r="BS124" s="150">
        <v>0.23340414267506779</v>
      </c>
      <c r="BT124">
        <v>0.88</v>
      </c>
      <c r="BU124" t="s">
        <v>197</v>
      </c>
      <c r="BV124" t="s">
        <v>166</v>
      </c>
      <c r="BW124">
        <v>1.748</v>
      </c>
      <c r="BX124" t="s">
        <v>197</v>
      </c>
      <c r="BY124" t="s">
        <v>166</v>
      </c>
      <c r="BZ124" t="s">
        <v>411</v>
      </c>
      <c r="CA124" t="s">
        <v>360</v>
      </c>
      <c r="CB124" s="150">
        <f t="shared" si="78"/>
        <v>14.966082937236381</v>
      </c>
      <c r="CC124" t="s">
        <v>196</v>
      </c>
      <c r="CD124" s="150">
        <v>0.23340414267506779</v>
      </c>
      <c r="CE124" t="s">
        <v>199</v>
      </c>
      <c r="CF124" t="s">
        <v>166</v>
      </c>
      <c r="CG124" t="s">
        <v>200</v>
      </c>
      <c r="CH124" t="s">
        <v>166</v>
      </c>
      <c r="CI124" t="s">
        <v>166</v>
      </c>
      <c r="CJ124" s="139">
        <v>35.759045328335887</v>
      </c>
      <c r="CK124" t="s">
        <v>201</v>
      </c>
      <c r="CL124">
        <v>2</v>
      </c>
      <c r="CM124">
        <v>2</v>
      </c>
      <c r="CN124" t="s">
        <v>166</v>
      </c>
      <c r="CO124" s="139">
        <v>4.0822294240612811</v>
      </c>
      <c r="CP124" t="s">
        <v>166</v>
      </c>
      <c r="CQ124" t="s">
        <v>166</v>
      </c>
      <c r="CR124" t="s">
        <v>166</v>
      </c>
      <c r="CS124" s="153" t="s">
        <v>202</v>
      </c>
      <c r="CT124" t="s">
        <v>203</v>
      </c>
      <c r="CU124">
        <v>2.2000000000000002</v>
      </c>
      <c r="CV124" t="s">
        <v>204</v>
      </c>
      <c r="CW124" t="s">
        <v>166</v>
      </c>
      <c r="CX124" t="s">
        <v>166</v>
      </c>
      <c r="CY124" t="s">
        <v>166</v>
      </c>
      <c r="CZ124" t="s">
        <v>166</v>
      </c>
      <c r="DA124" s="154" t="s">
        <v>166</v>
      </c>
      <c r="DB124" t="s">
        <v>166</v>
      </c>
      <c r="DC124" t="s">
        <v>166</v>
      </c>
      <c r="DD124" t="s">
        <v>166</v>
      </c>
      <c r="DE124" t="s">
        <v>166</v>
      </c>
      <c r="DF124" t="s">
        <v>205</v>
      </c>
      <c r="DG124">
        <v>35</v>
      </c>
      <c r="DH124" t="s">
        <v>201</v>
      </c>
      <c r="DI124">
        <v>1</v>
      </c>
      <c r="DJ124" t="s">
        <v>206</v>
      </c>
      <c r="DK124">
        <v>17</v>
      </c>
      <c r="DL124" t="s">
        <v>166</v>
      </c>
      <c r="DM124" t="s">
        <v>166</v>
      </c>
      <c r="DN124" t="s">
        <v>207</v>
      </c>
      <c r="DO124">
        <v>38</v>
      </c>
      <c r="DP124" t="s">
        <v>208</v>
      </c>
      <c r="DQ124">
        <v>3</v>
      </c>
      <c r="DR124" t="s">
        <v>209</v>
      </c>
      <c r="DS124" t="s">
        <v>166</v>
      </c>
      <c r="DT124" t="s">
        <v>166</v>
      </c>
      <c r="DU124" t="s">
        <v>166</v>
      </c>
      <c r="DV124" t="s">
        <v>166</v>
      </c>
      <c r="DW124">
        <v>432.6</v>
      </c>
      <c r="DX124" t="s">
        <v>166</v>
      </c>
      <c r="DY124" t="s">
        <v>166</v>
      </c>
      <c r="DZ124" t="s">
        <v>210</v>
      </c>
      <c r="EA124" t="s">
        <v>361</v>
      </c>
      <c r="EB124" t="s">
        <v>212</v>
      </c>
      <c r="EC124" t="s">
        <v>166</v>
      </c>
      <c r="ED124" t="s">
        <v>213</v>
      </c>
      <c r="EE124" s="155" t="s">
        <v>214</v>
      </c>
      <c r="EF124" s="155" t="s">
        <v>214</v>
      </c>
      <c r="EG124">
        <v>1.0271999999999999</v>
      </c>
      <c r="EH124" t="s">
        <v>215</v>
      </c>
      <c r="EI124" t="s">
        <v>215</v>
      </c>
      <c r="EJ124" t="s">
        <v>216</v>
      </c>
      <c r="EK124" t="s">
        <v>215</v>
      </c>
      <c r="EL124" t="s">
        <v>215</v>
      </c>
      <c r="EM124" t="s">
        <v>217</v>
      </c>
      <c r="EN124" s="156" t="s">
        <v>214</v>
      </c>
      <c r="EO124" s="156" t="s">
        <v>214</v>
      </c>
      <c r="EP124" s="156" t="s">
        <v>214</v>
      </c>
      <c r="EQ124" s="156" t="s">
        <v>214</v>
      </c>
      <c r="ET124" t="s">
        <v>218</v>
      </c>
      <c r="EU124" t="s">
        <v>219</v>
      </c>
      <c r="EV124" t="s">
        <v>213</v>
      </c>
      <c r="EW124" t="s">
        <v>166</v>
      </c>
      <c r="EX124" t="s">
        <v>166</v>
      </c>
      <c r="EY124" t="s">
        <v>166</v>
      </c>
      <c r="EZ124" t="s">
        <v>166</v>
      </c>
      <c r="FA124" s="157">
        <v>6.5</v>
      </c>
      <c r="FB124" t="s">
        <v>220</v>
      </c>
      <c r="FC124" s="157">
        <v>1</v>
      </c>
      <c r="FD124" s="157">
        <v>1</v>
      </c>
      <c r="FE124" s="177">
        <v>7.6872743144994899</v>
      </c>
      <c r="FF124" t="s">
        <v>221</v>
      </c>
      <c r="FG124" s="177">
        <v>3.3508280613600228E-2</v>
      </c>
      <c r="FH124" s="177">
        <v>3.4285641912219944E-2</v>
      </c>
      <c r="FI124" s="178">
        <v>1103.3057217171902</v>
      </c>
      <c r="FK124" t="s">
        <v>166</v>
      </c>
      <c r="FL124" s="144">
        <f t="shared" si="79"/>
        <v>1103.3057217171902</v>
      </c>
      <c r="FM124" s="178">
        <v>210.04214786725993</v>
      </c>
      <c r="FN124" s="178">
        <v>189.57784311714624</v>
      </c>
      <c r="FO124" t="s">
        <v>222</v>
      </c>
      <c r="FP124" t="s">
        <v>223</v>
      </c>
      <c r="FQ124" s="144" t="s">
        <v>166</v>
      </c>
      <c r="FR124" s="144" t="s">
        <v>166</v>
      </c>
      <c r="FS124" s="144" t="s">
        <v>166</v>
      </c>
      <c r="FT124" s="144" t="s">
        <v>166</v>
      </c>
      <c r="FU124" s="144" t="s">
        <v>166</v>
      </c>
      <c r="FV124" s="144" t="s">
        <v>166</v>
      </c>
      <c r="FW124" s="144" t="s">
        <v>166</v>
      </c>
      <c r="FX124" s="144" t="s">
        <v>166</v>
      </c>
      <c r="FY124" s="144" t="s">
        <v>166</v>
      </c>
      <c r="FZ124" s="144" t="s">
        <v>166</v>
      </c>
      <c r="GA124" s="144" t="s">
        <v>166</v>
      </c>
      <c r="GB124" s="144" t="s">
        <v>166</v>
      </c>
      <c r="GC124" s="158" t="s">
        <v>362</v>
      </c>
    </row>
    <row r="125" spans="1:185" ht="16">
      <c r="A125" s="140" t="s">
        <v>162</v>
      </c>
      <c r="B125" s="143" t="s">
        <v>163</v>
      </c>
      <c r="C125" s="140" t="s">
        <v>164</v>
      </c>
      <c r="D125" s="140" t="s">
        <v>165</v>
      </c>
      <c r="E125" s="140">
        <v>2020</v>
      </c>
      <c r="F125" t="s">
        <v>184</v>
      </c>
      <c r="G125" s="139">
        <v>47331.349877160952</v>
      </c>
      <c r="H125" s="147">
        <f t="shared" ref="H125" si="126">0.0083*G125^(0.9482)</f>
        <v>224.93356704845931</v>
      </c>
      <c r="I125" s="147">
        <f t="shared" si="67"/>
        <v>224.93356704845931</v>
      </c>
      <c r="J125" s="144">
        <v>1070.4269003171898</v>
      </c>
      <c r="K125" s="144">
        <v>192.96580082357013</v>
      </c>
      <c r="L125" s="144">
        <v>163.18315777595285</v>
      </c>
      <c r="M125" t="b">
        <v>1</v>
      </c>
      <c r="N125">
        <v>3</v>
      </c>
      <c r="O125" s="140" t="s">
        <v>185</v>
      </c>
      <c r="P125" s="140" t="s">
        <v>166</v>
      </c>
      <c r="Q125" s="140" t="s">
        <v>166</v>
      </c>
      <c r="R125" s="140" t="s">
        <v>166</v>
      </c>
      <c r="S125" s="140" t="b">
        <v>1</v>
      </c>
      <c r="T125" s="140" t="b">
        <v>0</v>
      </c>
      <c r="U125" s="140" t="s">
        <v>166</v>
      </c>
      <c r="V125" s="140" t="b">
        <v>0</v>
      </c>
      <c r="W125" s="140" t="b">
        <v>0</v>
      </c>
      <c r="X125" s="140" t="s">
        <v>580</v>
      </c>
      <c r="Y125" s="148" t="s">
        <v>186</v>
      </c>
      <c r="Z125" t="s">
        <v>184</v>
      </c>
      <c r="AA125" s="149">
        <v>865</v>
      </c>
      <c r="AB125" s="149" t="s">
        <v>233</v>
      </c>
      <c r="AC125" s="149">
        <v>8</v>
      </c>
      <c r="AD125" s="149">
        <v>4</v>
      </c>
      <c r="AE125" t="s">
        <v>166</v>
      </c>
      <c r="AF125" t="s">
        <v>166</v>
      </c>
      <c r="AG125" s="150">
        <v>70.015000000000001</v>
      </c>
      <c r="AH125" t="s">
        <v>166</v>
      </c>
      <c r="AI125" t="s">
        <v>166</v>
      </c>
      <c r="AJ125" t="s">
        <v>253</v>
      </c>
      <c r="AK125">
        <v>18.440300000000001</v>
      </c>
      <c r="AL125">
        <v>-179.5558</v>
      </c>
      <c r="AM125" s="163">
        <v>11.872383117675781</v>
      </c>
      <c r="AN125" t="s">
        <v>166</v>
      </c>
      <c r="AO125">
        <v>-1530</v>
      </c>
      <c r="AP125">
        <v>-1400</v>
      </c>
      <c r="AQ125" t="s">
        <v>254</v>
      </c>
      <c r="AR125" t="s">
        <v>166</v>
      </c>
      <c r="AS125" s="150">
        <v>47.331349877160953</v>
      </c>
      <c r="AT125" t="s">
        <v>166</v>
      </c>
      <c r="AU125" t="s">
        <v>166</v>
      </c>
      <c r="AV125" t="s">
        <v>166</v>
      </c>
      <c r="AW125" t="s">
        <v>255</v>
      </c>
      <c r="AX125" t="s">
        <v>256</v>
      </c>
      <c r="AY125" t="s">
        <v>166</v>
      </c>
      <c r="AZ125" t="s">
        <v>166</v>
      </c>
      <c r="BA125" t="s">
        <v>166</v>
      </c>
      <c r="BB125" t="s">
        <v>166</v>
      </c>
      <c r="BC125" t="s">
        <v>166</v>
      </c>
      <c r="BD125" t="s">
        <v>166</v>
      </c>
      <c r="BE125" t="s">
        <v>166</v>
      </c>
      <c r="BF125" t="s">
        <v>166</v>
      </c>
      <c r="BG125" s="151" t="s">
        <v>296</v>
      </c>
      <c r="BH125" s="149" t="s">
        <v>192</v>
      </c>
      <c r="BI125" t="s">
        <v>166</v>
      </c>
      <c r="BJ125" s="152" t="s">
        <v>166</v>
      </c>
      <c r="BK125" t="s">
        <v>299</v>
      </c>
      <c r="BL125" t="s">
        <v>194</v>
      </c>
      <c r="BM125" t="s">
        <v>195</v>
      </c>
      <c r="BN125" t="s">
        <v>166</v>
      </c>
      <c r="BO125" t="s">
        <v>166</v>
      </c>
      <c r="BP125" t="s">
        <v>166</v>
      </c>
      <c r="BQ125" s="150">
        <v>14.787082661907981</v>
      </c>
      <c r="BR125" t="s">
        <v>196</v>
      </c>
      <c r="BS125" s="150">
        <v>0.1430996197915117</v>
      </c>
      <c r="BT125">
        <v>0.88</v>
      </c>
      <c r="BU125" t="s">
        <v>197</v>
      </c>
      <c r="BV125" t="s">
        <v>166</v>
      </c>
      <c r="BW125">
        <v>1.748</v>
      </c>
      <c r="BX125" t="s">
        <v>197</v>
      </c>
      <c r="BY125" t="s">
        <v>166</v>
      </c>
      <c r="BZ125" t="s">
        <v>412</v>
      </c>
      <c r="CA125" t="s">
        <v>360</v>
      </c>
      <c r="CB125" s="150">
        <f t="shared" si="78"/>
        <v>14.760632742479022</v>
      </c>
      <c r="CC125" t="s">
        <v>196</v>
      </c>
      <c r="CD125" s="150">
        <v>0.1430996197915117</v>
      </c>
      <c r="CE125" t="s">
        <v>199</v>
      </c>
      <c r="CF125" t="s">
        <v>166</v>
      </c>
      <c r="CG125" t="s">
        <v>200</v>
      </c>
      <c r="CH125" t="s">
        <v>166</v>
      </c>
      <c r="CI125" t="s">
        <v>166</v>
      </c>
      <c r="CJ125" s="139">
        <v>34.305101696391901</v>
      </c>
      <c r="CK125" t="s">
        <v>201</v>
      </c>
      <c r="CL125">
        <v>2</v>
      </c>
      <c r="CM125">
        <v>2</v>
      </c>
      <c r="CN125" t="s">
        <v>166</v>
      </c>
      <c r="CO125" s="139">
        <v>3.7610312475929071</v>
      </c>
      <c r="CP125" t="s">
        <v>166</v>
      </c>
      <c r="CQ125" t="s">
        <v>166</v>
      </c>
      <c r="CR125" t="s">
        <v>166</v>
      </c>
      <c r="CS125" s="153" t="s">
        <v>202</v>
      </c>
      <c r="CT125" t="s">
        <v>203</v>
      </c>
      <c r="CU125">
        <v>2.2000000000000002</v>
      </c>
      <c r="CV125" t="s">
        <v>204</v>
      </c>
      <c r="CW125" t="s">
        <v>166</v>
      </c>
      <c r="CX125" t="s">
        <v>166</v>
      </c>
      <c r="CY125" t="s">
        <v>166</v>
      </c>
      <c r="CZ125" t="s">
        <v>166</v>
      </c>
      <c r="DA125" s="154" t="s">
        <v>166</v>
      </c>
      <c r="DB125" t="s">
        <v>166</v>
      </c>
      <c r="DC125" t="s">
        <v>166</v>
      </c>
      <c r="DD125" t="s">
        <v>166</v>
      </c>
      <c r="DE125" t="s">
        <v>166</v>
      </c>
      <c r="DF125" t="s">
        <v>205</v>
      </c>
      <c r="DG125">
        <v>35</v>
      </c>
      <c r="DH125" t="s">
        <v>201</v>
      </c>
      <c r="DI125">
        <v>1</v>
      </c>
      <c r="DJ125" t="s">
        <v>206</v>
      </c>
      <c r="DK125">
        <v>17</v>
      </c>
      <c r="DL125" t="s">
        <v>166</v>
      </c>
      <c r="DM125" t="s">
        <v>166</v>
      </c>
      <c r="DN125" t="s">
        <v>207</v>
      </c>
      <c r="DO125">
        <v>38</v>
      </c>
      <c r="DP125" t="s">
        <v>208</v>
      </c>
      <c r="DQ125">
        <v>3</v>
      </c>
      <c r="DR125" t="s">
        <v>209</v>
      </c>
      <c r="DS125" t="s">
        <v>166</v>
      </c>
      <c r="DT125" t="s">
        <v>166</v>
      </c>
      <c r="DU125" t="s">
        <v>166</v>
      </c>
      <c r="DV125" t="s">
        <v>166</v>
      </c>
      <c r="DW125">
        <v>432.6</v>
      </c>
      <c r="DX125" t="s">
        <v>166</v>
      </c>
      <c r="DY125" t="s">
        <v>166</v>
      </c>
      <c r="DZ125" t="s">
        <v>210</v>
      </c>
      <c r="EA125" t="s">
        <v>361</v>
      </c>
      <c r="EB125" t="s">
        <v>212</v>
      </c>
      <c r="EC125" t="s">
        <v>166</v>
      </c>
      <c r="ED125" t="s">
        <v>213</v>
      </c>
      <c r="EE125" s="155" t="s">
        <v>214</v>
      </c>
      <c r="EF125" s="155" t="s">
        <v>214</v>
      </c>
      <c r="EG125">
        <v>1.0271999999999999</v>
      </c>
      <c r="EH125" t="s">
        <v>215</v>
      </c>
      <c r="EI125" t="s">
        <v>215</v>
      </c>
      <c r="EJ125" t="s">
        <v>216</v>
      </c>
      <c r="EK125" t="s">
        <v>215</v>
      </c>
      <c r="EL125" t="s">
        <v>215</v>
      </c>
      <c r="EM125" t="s">
        <v>217</v>
      </c>
      <c r="EN125" s="156" t="s">
        <v>214</v>
      </c>
      <c r="EO125" s="156" t="s">
        <v>214</v>
      </c>
      <c r="EP125" s="156" t="s">
        <v>214</v>
      </c>
      <c r="EQ125" s="156" t="s">
        <v>214</v>
      </c>
      <c r="ET125" t="s">
        <v>218</v>
      </c>
      <c r="EU125" t="s">
        <v>219</v>
      </c>
      <c r="EV125" t="s">
        <v>213</v>
      </c>
      <c r="EW125" t="s">
        <v>166</v>
      </c>
      <c r="EX125" t="s">
        <v>166</v>
      </c>
      <c r="EY125" t="s">
        <v>166</v>
      </c>
      <c r="EZ125" t="s">
        <v>166</v>
      </c>
      <c r="FA125" s="157">
        <v>6.5</v>
      </c>
      <c r="FB125" t="s">
        <v>220</v>
      </c>
      <c r="FC125" s="157">
        <v>1</v>
      </c>
      <c r="FD125" s="157">
        <v>1</v>
      </c>
      <c r="FE125" s="177">
        <v>7.66672950926145</v>
      </c>
      <c r="FF125" t="s">
        <v>221</v>
      </c>
      <c r="FG125" s="177">
        <v>2.7800238123179888E-2</v>
      </c>
      <c r="FH125" s="177">
        <v>2.5343384329230112E-2</v>
      </c>
      <c r="FI125" s="178">
        <v>1273.27922584681</v>
      </c>
      <c r="FK125" t="s">
        <v>166</v>
      </c>
      <c r="FL125" s="144">
        <f t="shared" si="79"/>
        <v>1273.27922584681</v>
      </c>
      <c r="FM125" s="178">
        <v>206.74617501892999</v>
      </c>
      <c r="FN125" s="178">
        <v>198.39152852117991</v>
      </c>
      <c r="FO125" t="s">
        <v>222</v>
      </c>
      <c r="FP125" t="s">
        <v>223</v>
      </c>
      <c r="FQ125" s="144" t="s">
        <v>166</v>
      </c>
      <c r="FR125" s="144" t="s">
        <v>166</v>
      </c>
      <c r="FS125" s="144" t="s">
        <v>166</v>
      </c>
      <c r="FT125" s="144" t="s">
        <v>166</v>
      </c>
      <c r="FU125" s="144" t="s">
        <v>166</v>
      </c>
      <c r="FV125" s="144" t="s">
        <v>166</v>
      </c>
      <c r="FW125" s="144" t="s">
        <v>166</v>
      </c>
      <c r="FX125" s="144" t="s">
        <v>166</v>
      </c>
      <c r="FY125" s="144" t="s">
        <v>166</v>
      </c>
      <c r="FZ125" s="144" t="s">
        <v>166</v>
      </c>
      <c r="GA125" s="144" t="s">
        <v>166</v>
      </c>
      <c r="GB125" s="144" t="s">
        <v>166</v>
      </c>
      <c r="GC125" s="158" t="s">
        <v>362</v>
      </c>
    </row>
    <row r="126" spans="1:185" ht="16">
      <c r="A126" s="140" t="s">
        <v>162</v>
      </c>
      <c r="B126" s="143" t="s">
        <v>163</v>
      </c>
      <c r="C126" s="140" t="s">
        <v>164</v>
      </c>
      <c r="D126" s="140" t="s">
        <v>165</v>
      </c>
      <c r="E126" s="140">
        <v>2020</v>
      </c>
      <c r="F126" t="s">
        <v>184</v>
      </c>
      <c r="G126" s="139">
        <v>48015.416863885315</v>
      </c>
      <c r="H126" s="147">
        <f t="shared" ref="H126" si="127">0.0083*G126^(0.9482)</f>
        <v>228.0149252182118</v>
      </c>
      <c r="I126" s="147">
        <f t="shared" si="67"/>
        <v>228.0149252182118</v>
      </c>
      <c r="J126" s="144">
        <v>1136.7089096346399</v>
      </c>
      <c r="K126" s="144">
        <v>200.91810905365014</v>
      </c>
      <c r="L126" s="144">
        <v>197.22008818376389</v>
      </c>
      <c r="M126" t="b">
        <v>1</v>
      </c>
      <c r="N126">
        <v>3</v>
      </c>
      <c r="O126" s="140" t="s">
        <v>185</v>
      </c>
      <c r="P126" s="140" t="s">
        <v>166</v>
      </c>
      <c r="Q126" s="140" t="s">
        <v>166</v>
      </c>
      <c r="R126" s="140" t="s">
        <v>166</v>
      </c>
      <c r="S126" s="140" t="b">
        <v>1</v>
      </c>
      <c r="T126" s="140" t="b">
        <v>0</v>
      </c>
      <c r="U126" s="140" t="s">
        <v>166</v>
      </c>
      <c r="V126" s="140" t="b">
        <v>0</v>
      </c>
      <c r="W126" s="140" t="b">
        <v>0</v>
      </c>
      <c r="X126" s="140" t="s">
        <v>580</v>
      </c>
      <c r="Y126" s="148" t="s">
        <v>186</v>
      </c>
      <c r="Z126" t="s">
        <v>184</v>
      </c>
      <c r="AA126" s="149">
        <v>865</v>
      </c>
      <c r="AB126" s="149" t="s">
        <v>233</v>
      </c>
      <c r="AC126" s="149">
        <v>8</v>
      </c>
      <c r="AD126" s="149">
        <v>6</v>
      </c>
      <c r="AE126">
        <v>5</v>
      </c>
      <c r="AF126">
        <v>10</v>
      </c>
      <c r="AG126" s="150">
        <v>73.05</v>
      </c>
      <c r="AH126" t="s">
        <v>166</v>
      </c>
      <c r="AI126" t="s">
        <v>166</v>
      </c>
      <c r="AJ126" t="s">
        <v>253</v>
      </c>
      <c r="AK126">
        <v>18.440300000000001</v>
      </c>
      <c r="AL126">
        <v>-179.5558</v>
      </c>
      <c r="AM126" s="163">
        <v>11.925464630126953</v>
      </c>
      <c r="AN126" t="s">
        <v>166</v>
      </c>
      <c r="AO126">
        <v>-1530</v>
      </c>
      <c r="AP126">
        <v>-1400</v>
      </c>
      <c r="AQ126" t="s">
        <v>254</v>
      </c>
      <c r="AR126" t="s">
        <v>166</v>
      </c>
      <c r="AS126" s="150">
        <v>48.015416863885314</v>
      </c>
      <c r="AT126" t="s">
        <v>166</v>
      </c>
      <c r="AU126" t="s">
        <v>166</v>
      </c>
      <c r="AV126" t="s">
        <v>166</v>
      </c>
      <c r="AW126" t="s">
        <v>255</v>
      </c>
      <c r="AX126" t="s">
        <v>256</v>
      </c>
      <c r="AY126" t="s">
        <v>166</v>
      </c>
      <c r="AZ126" t="s">
        <v>166</v>
      </c>
      <c r="BA126" t="s">
        <v>166</v>
      </c>
      <c r="BB126" t="s">
        <v>166</v>
      </c>
      <c r="BC126" t="s">
        <v>166</v>
      </c>
      <c r="BD126" t="s">
        <v>166</v>
      </c>
      <c r="BE126" t="s">
        <v>166</v>
      </c>
      <c r="BF126" t="s">
        <v>166</v>
      </c>
      <c r="BG126" s="151" t="s">
        <v>300</v>
      </c>
      <c r="BH126" s="149" t="s">
        <v>263</v>
      </c>
      <c r="BI126" t="s">
        <v>166</v>
      </c>
      <c r="BJ126" s="152" t="s">
        <v>166</v>
      </c>
      <c r="BK126" t="s">
        <v>301</v>
      </c>
      <c r="BL126" t="s">
        <v>194</v>
      </c>
      <c r="BM126" t="s">
        <v>195</v>
      </c>
      <c r="BN126" t="s">
        <v>166</v>
      </c>
      <c r="BO126" t="s">
        <v>166</v>
      </c>
      <c r="BP126" t="s">
        <v>166</v>
      </c>
      <c r="BQ126" s="150">
        <v>14.673850746558026</v>
      </c>
      <c r="BR126" t="s">
        <v>196</v>
      </c>
      <c r="BS126" s="150">
        <v>0.21060340191087115</v>
      </c>
      <c r="BT126">
        <v>0.88</v>
      </c>
      <c r="BU126" t="s">
        <v>197</v>
      </c>
      <c r="BV126" t="s">
        <v>166</v>
      </c>
      <c r="BW126">
        <v>1.748</v>
      </c>
      <c r="BX126" t="s">
        <v>197</v>
      </c>
      <c r="BY126" t="s">
        <v>166</v>
      </c>
      <c r="BZ126" t="s">
        <v>413</v>
      </c>
      <c r="CA126" t="s">
        <v>360</v>
      </c>
      <c r="CB126" s="150">
        <f t="shared" si="78"/>
        <v>14.660988656971062</v>
      </c>
      <c r="CC126" t="s">
        <v>196</v>
      </c>
      <c r="CD126" s="150">
        <v>0.21060340191087115</v>
      </c>
      <c r="CE126" t="s">
        <v>199</v>
      </c>
      <c r="CF126" t="s">
        <v>166</v>
      </c>
      <c r="CG126" t="s">
        <v>200</v>
      </c>
      <c r="CH126" t="s">
        <v>166</v>
      </c>
      <c r="CI126" t="s">
        <v>166</v>
      </c>
      <c r="CJ126" s="139">
        <v>33.30825223440506</v>
      </c>
      <c r="CK126" t="s">
        <v>201</v>
      </c>
      <c r="CL126">
        <v>2</v>
      </c>
      <c r="CM126">
        <v>2</v>
      </c>
      <c r="CN126" t="s">
        <v>166</v>
      </c>
      <c r="CO126" s="139">
        <v>3.5555393395396302</v>
      </c>
      <c r="CP126" t="s">
        <v>166</v>
      </c>
      <c r="CQ126" t="s">
        <v>166</v>
      </c>
      <c r="CR126" t="s">
        <v>166</v>
      </c>
      <c r="CS126" s="153" t="s">
        <v>202</v>
      </c>
      <c r="CT126" t="s">
        <v>203</v>
      </c>
      <c r="CU126">
        <v>2.2000000000000002</v>
      </c>
      <c r="CV126" t="s">
        <v>204</v>
      </c>
      <c r="CW126" t="s">
        <v>166</v>
      </c>
      <c r="CX126" t="s">
        <v>166</v>
      </c>
      <c r="CY126" t="s">
        <v>166</v>
      </c>
      <c r="CZ126" t="s">
        <v>166</v>
      </c>
      <c r="DA126" s="154" t="s">
        <v>166</v>
      </c>
      <c r="DB126" t="s">
        <v>166</v>
      </c>
      <c r="DC126" t="s">
        <v>166</v>
      </c>
      <c r="DD126" t="s">
        <v>166</v>
      </c>
      <c r="DE126" t="s">
        <v>166</v>
      </c>
      <c r="DF126" t="s">
        <v>205</v>
      </c>
      <c r="DG126">
        <v>35</v>
      </c>
      <c r="DH126" t="s">
        <v>201</v>
      </c>
      <c r="DI126">
        <v>1</v>
      </c>
      <c r="DJ126" t="s">
        <v>206</v>
      </c>
      <c r="DK126">
        <v>17</v>
      </c>
      <c r="DL126" t="s">
        <v>166</v>
      </c>
      <c r="DM126" t="s">
        <v>166</v>
      </c>
      <c r="DN126" t="s">
        <v>207</v>
      </c>
      <c r="DO126">
        <v>38</v>
      </c>
      <c r="DP126" t="s">
        <v>208</v>
      </c>
      <c r="DQ126">
        <v>3</v>
      </c>
      <c r="DR126" t="s">
        <v>209</v>
      </c>
      <c r="DS126" t="s">
        <v>166</v>
      </c>
      <c r="DT126" t="s">
        <v>166</v>
      </c>
      <c r="DU126" t="s">
        <v>166</v>
      </c>
      <c r="DV126" t="s">
        <v>166</v>
      </c>
      <c r="DW126">
        <v>432.6</v>
      </c>
      <c r="DX126" t="s">
        <v>166</v>
      </c>
      <c r="DY126" t="s">
        <v>166</v>
      </c>
      <c r="DZ126" t="s">
        <v>210</v>
      </c>
      <c r="EA126" t="s">
        <v>361</v>
      </c>
      <c r="EB126" t="s">
        <v>212</v>
      </c>
      <c r="EC126" t="s">
        <v>166</v>
      </c>
      <c r="ED126" t="s">
        <v>213</v>
      </c>
      <c r="EE126" s="155" t="s">
        <v>214</v>
      </c>
      <c r="EF126" s="155" t="s">
        <v>214</v>
      </c>
      <c r="EG126">
        <v>1.0271999999999999</v>
      </c>
      <c r="EH126" t="s">
        <v>215</v>
      </c>
      <c r="EI126" t="s">
        <v>215</v>
      </c>
      <c r="EJ126" t="s">
        <v>216</v>
      </c>
      <c r="EK126" t="s">
        <v>215</v>
      </c>
      <c r="EL126" t="s">
        <v>215</v>
      </c>
      <c r="EM126" t="s">
        <v>217</v>
      </c>
      <c r="EN126" s="156" t="s">
        <v>214</v>
      </c>
      <c r="EO126" s="156" t="s">
        <v>214</v>
      </c>
      <c r="EP126" s="156" t="s">
        <v>214</v>
      </c>
      <c r="EQ126" s="156" t="s">
        <v>214</v>
      </c>
      <c r="ET126" t="s">
        <v>218</v>
      </c>
      <c r="EU126" t="s">
        <v>219</v>
      </c>
      <c r="EV126" t="s">
        <v>213</v>
      </c>
      <c r="EW126" t="s">
        <v>166</v>
      </c>
      <c r="EX126" t="s">
        <v>166</v>
      </c>
      <c r="EY126" t="s">
        <v>166</v>
      </c>
      <c r="EZ126" t="s">
        <v>166</v>
      </c>
      <c r="FA126" s="157">
        <v>6.5</v>
      </c>
      <c r="FB126" t="s">
        <v>220</v>
      </c>
      <c r="FC126" s="157">
        <v>1</v>
      </c>
      <c r="FD126" s="157">
        <v>1</v>
      </c>
      <c r="FE126" s="177">
        <v>7.6599709272208703</v>
      </c>
      <c r="FF126" t="s">
        <v>221</v>
      </c>
      <c r="FG126" s="177">
        <v>3.3212786299889885E-2</v>
      </c>
      <c r="FH126" s="177">
        <v>3.0682834558359851E-2</v>
      </c>
      <c r="FI126" s="178">
        <v>1355.73450618023</v>
      </c>
      <c r="FK126" t="s">
        <v>166</v>
      </c>
      <c r="FL126" s="144">
        <f t="shared" si="79"/>
        <v>1355.73450618023</v>
      </c>
      <c r="FM126" s="178">
        <v>259.43091512393994</v>
      </c>
      <c r="FN126" s="178">
        <v>228.57935868748018</v>
      </c>
      <c r="FO126" t="s">
        <v>222</v>
      </c>
      <c r="FP126" t="s">
        <v>223</v>
      </c>
      <c r="FQ126" s="144" t="s">
        <v>166</v>
      </c>
      <c r="FR126" s="144" t="s">
        <v>166</v>
      </c>
      <c r="FS126" s="144" t="s">
        <v>166</v>
      </c>
      <c r="FT126" s="144" t="s">
        <v>166</v>
      </c>
      <c r="FU126" s="144" t="s">
        <v>166</v>
      </c>
      <c r="FV126" s="144" t="s">
        <v>166</v>
      </c>
      <c r="FW126" s="144" t="s">
        <v>166</v>
      </c>
      <c r="FX126" s="144" t="s">
        <v>166</v>
      </c>
      <c r="FY126" s="144" t="s">
        <v>166</v>
      </c>
      <c r="FZ126" s="144" t="s">
        <v>166</v>
      </c>
      <c r="GA126" s="144" t="s">
        <v>166</v>
      </c>
      <c r="GB126" s="144" t="s">
        <v>166</v>
      </c>
      <c r="GC126" s="158" t="s">
        <v>362</v>
      </c>
    </row>
    <row r="127" spans="1:185" ht="16">
      <c r="A127" s="140" t="s">
        <v>162</v>
      </c>
      <c r="B127" s="143" t="s">
        <v>163</v>
      </c>
      <c r="C127" s="140" t="s">
        <v>164</v>
      </c>
      <c r="D127" s="140" t="s">
        <v>165</v>
      </c>
      <c r="E127" s="140">
        <v>2020</v>
      </c>
      <c r="F127" t="s">
        <v>184</v>
      </c>
      <c r="G127" s="139">
        <v>48015.416863885315</v>
      </c>
      <c r="H127" s="147">
        <f t="shared" ref="H127" si="128">0.0083*G127^(0.9482)</f>
        <v>228.0149252182118</v>
      </c>
      <c r="I127" s="147">
        <f t="shared" si="67"/>
        <v>228.0149252182118</v>
      </c>
      <c r="J127" s="144">
        <v>1039.0337485929001</v>
      </c>
      <c r="K127" s="144">
        <v>215.6753557746099</v>
      </c>
      <c r="L127" s="144">
        <v>184.78755014379715</v>
      </c>
      <c r="M127" t="b">
        <v>1</v>
      </c>
      <c r="N127">
        <v>3</v>
      </c>
      <c r="O127" s="140" t="s">
        <v>185</v>
      </c>
      <c r="P127" s="140" t="s">
        <v>166</v>
      </c>
      <c r="Q127" s="140" t="s">
        <v>166</v>
      </c>
      <c r="R127" s="140" t="s">
        <v>166</v>
      </c>
      <c r="S127" s="140" t="b">
        <v>1</v>
      </c>
      <c r="T127" s="140" t="b">
        <v>0</v>
      </c>
      <c r="U127" s="140" t="s">
        <v>166</v>
      </c>
      <c r="V127" s="140" t="b">
        <v>0</v>
      </c>
      <c r="W127" s="140" t="b">
        <v>0</v>
      </c>
      <c r="X127" s="140" t="s">
        <v>580</v>
      </c>
      <c r="Y127" s="148" t="s">
        <v>186</v>
      </c>
      <c r="Z127" t="s">
        <v>184</v>
      </c>
      <c r="AA127" s="149">
        <v>865</v>
      </c>
      <c r="AB127" s="149" t="s">
        <v>233</v>
      </c>
      <c r="AC127" s="149">
        <v>8</v>
      </c>
      <c r="AD127" s="149">
        <v>6</v>
      </c>
      <c r="AE127">
        <v>5</v>
      </c>
      <c r="AF127">
        <v>10</v>
      </c>
      <c r="AG127" s="150">
        <v>73.05</v>
      </c>
      <c r="AH127" t="s">
        <v>166</v>
      </c>
      <c r="AI127" t="s">
        <v>166</v>
      </c>
      <c r="AJ127" t="s">
        <v>253</v>
      </c>
      <c r="AK127">
        <v>18.440300000000001</v>
      </c>
      <c r="AL127">
        <v>-179.5558</v>
      </c>
      <c r="AM127" s="163">
        <v>11.925464630126953</v>
      </c>
      <c r="AN127" t="s">
        <v>166</v>
      </c>
      <c r="AO127">
        <v>-1530</v>
      </c>
      <c r="AP127">
        <v>-1400</v>
      </c>
      <c r="AQ127" t="s">
        <v>254</v>
      </c>
      <c r="AR127" t="s">
        <v>166</v>
      </c>
      <c r="AS127" s="150">
        <v>48.015416863885314</v>
      </c>
      <c r="AT127" t="s">
        <v>166</v>
      </c>
      <c r="AU127" t="s">
        <v>166</v>
      </c>
      <c r="AV127" t="s">
        <v>166</v>
      </c>
      <c r="AW127" t="s">
        <v>255</v>
      </c>
      <c r="AX127" t="s">
        <v>256</v>
      </c>
      <c r="AY127" t="s">
        <v>166</v>
      </c>
      <c r="AZ127" t="s">
        <v>166</v>
      </c>
      <c r="BA127" t="s">
        <v>166</v>
      </c>
      <c r="BB127" t="s">
        <v>166</v>
      </c>
      <c r="BC127" t="s">
        <v>166</v>
      </c>
      <c r="BD127" t="s">
        <v>166</v>
      </c>
      <c r="BE127" t="s">
        <v>166</v>
      </c>
      <c r="BF127" t="s">
        <v>166</v>
      </c>
      <c r="BG127" s="151" t="s">
        <v>302</v>
      </c>
      <c r="BH127" s="149" t="s">
        <v>192</v>
      </c>
      <c r="BI127" t="s">
        <v>166</v>
      </c>
      <c r="BJ127" s="152" t="s">
        <v>166</v>
      </c>
      <c r="BK127" t="s">
        <v>303</v>
      </c>
      <c r="BL127" t="s">
        <v>194</v>
      </c>
      <c r="BM127" t="s">
        <v>195</v>
      </c>
      <c r="BN127" t="s">
        <v>166</v>
      </c>
      <c r="BO127" t="s">
        <v>166</v>
      </c>
      <c r="BP127" t="s">
        <v>166</v>
      </c>
      <c r="BQ127" s="150">
        <v>14.961002995291018</v>
      </c>
      <c r="BR127" t="s">
        <v>196</v>
      </c>
      <c r="BS127" s="150">
        <v>0.26048910441655482</v>
      </c>
      <c r="BT127">
        <v>0.88</v>
      </c>
      <c r="BU127" t="s">
        <v>197</v>
      </c>
      <c r="BV127" t="s">
        <v>166</v>
      </c>
      <c r="BW127">
        <v>1.748</v>
      </c>
      <c r="BX127" t="s">
        <v>197</v>
      </c>
      <c r="BY127" t="s">
        <v>166</v>
      </c>
      <c r="BZ127" t="s">
        <v>414</v>
      </c>
      <c r="CA127" t="s">
        <v>360</v>
      </c>
      <c r="CB127" s="150">
        <f t="shared" si="78"/>
        <v>14.913682635856095</v>
      </c>
      <c r="CC127" t="s">
        <v>196</v>
      </c>
      <c r="CD127" s="150">
        <v>0.26048910441655482</v>
      </c>
      <c r="CE127" t="s">
        <v>199</v>
      </c>
      <c r="CF127" t="s">
        <v>166</v>
      </c>
      <c r="CG127" t="s">
        <v>200</v>
      </c>
      <c r="CH127" t="s">
        <v>166</v>
      </c>
      <c r="CI127" t="s">
        <v>166</v>
      </c>
      <c r="CJ127" s="139">
        <v>38.161302477850874</v>
      </c>
      <c r="CK127" t="s">
        <v>201</v>
      </c>
      <c r="CL127">
        <v>2</v>
      </c>
      <c r="CM127">
        <v>2</v>
      </c>
      <c r="CN127" t="s">
        <v>166</v>
      </c>
      <c r="CO127" s="139">
        <v>4.6741348585470481</v>
      </c>
      <c r="CP127" t="s">
        <v>166</v>
      </c>
      <c r="CQ127" t="s">
        <v>166</v>
      </c>
      <c r="CR127" t="s">
        <v>166</v>
      </c>
      <c r="CS127" s="153" t="s">
        <v>202</v>
      </c>
      <c r="CT127" t="s">
        <v>203</v>
      </c>
      <c r="CU127">
        <v>2.2000000000000002</v>
      </c>
      <c r="CV127" t="s">
        <v>204</v>
      </c>
      <c r="CW127" t="s">
        <v>166</v>
      </c>
      <c r="CX127" t="s">
        <v>166</v>
      </c>
      <c r="CY127" t="s">
        <v>166</v>
      </c>
      <c r="CZ127" t="s">
        <v>166</v>
      </c>
      <c r="DA127" s="154" t="s">
        <v>166</v>
      </c>
      <c r="DB127" t="s">
        <v>166</v>
      </c>
      <c r="DC127" t="s">
        <v>166</v>
      </c>
      <c r="DD127" t="s">
        <v>166</v>
      </c>
      <c r="DE127" t="s">
        <v>166</v>
      </c>
      <c r="DF127" t="s">
        <v>205</v>
      </c>
      <c r="DG127">
        <v>35</v>
      </c>
      <c r="DH127" t="s">
        <v>201</v>
      </c>
      <c r="DI127">
        <v>1</v>
      </c>
      <c r="DJ127" t="s">
        <v>206</v>
      </c>
      <c r="DK127">
        <v>17</v>
      </c>
      <c r="DL127" t="s">
        <v>166</v>
      </c>
      <c r="DM127" t="s">
        <v>166</v>
      </c>
      <c r="DN127" t="s">
        <v>207</v>
      </c>
      <c r="DO127">
        <v>38</v>
      </c>
      <c r="DP127" t="s">
        <v>208</v>
      </c>
      <c r="DQ127">
        <v>3</v>
      </c>
      <c r="DR127" t="s">
        <v>209</v>
      </c>
      <c r="DS127" t="s">
        <v>166</v>
      </c>
      <c r="DT127" t="s">
        <v>166</v>
      </c>
      <c r="DU127" t="s">
        <v>166</v>
      </c>
      <c r="DV127" t="s">
        <v>166</v>
      </c>
      <c r="DW127">
        <v>432.6</v>
      </c>
      <c r="DX127" t="s">
        <v>166</v>
      </c>
      <c r="DY127" t="s">
        <v>166</v>
      </c>
      <c r="DZ127" t="s">
        <v>210</v>
      </c>
      <c r="EA127" t="s">
        <v>361</v>
      </c>
      <c r="EB127" t="s">
        <v>212</v>
      </c>
      <c r="EC127" t="s">
        <v>166</v>
      </c>
      <c r="ED127" t="s">
        <v>213</v>
      </c>
      <c r="EE127" s="155" t="s">
        <v>214</v>
      </c>
      <c r="EF127" s="155" t="s">
        <v>214</v>
      </c>
      <c r="EG127">
        <v>1.0271999999999999</v>
      </c>
      <c r="EH127" t="s">
        <v>215</v>
      </c>
      <c r="EI127" t="s">
        <v>215</v>
      </c>
      <c r="EJ127" t="s">
        <v>216</v>
      </c>
      <c r="EK127" t="s">
        <v>215</v>
      </c>
      <c r="EL127" t="s">
        <v>215</v>
      </c>
      <c r="EM127" t="s">
        <v>217</v>
      </c>
      <c r="EN127" s="156" t="s">
        <v>214</v>
      </c>
      <c r="EO127" s="156" t="s">
        <v>214</v>
      </c>
      <c r="EP127" s="156" t="s">
        <v>214</v>
      </c>
      <c r="EQ127" s="156" t="s">
        <v>214</v>
      </c>
      <c r="ET127" t="s">
        <v>218</v>
      </c>
      <c r="EU127" t="s">
        <v>219</v>
      </c>
      <c r="EV127" t="s">
        <v>213</v>
      </c>
      <c r="EW127" t="s">
        <v>166</v>
      </c>
      <c r="EX127" t="s">
        <v>166</v>
      </c>
      <c r="EY127" t="s">
        <v>166</v>
      </c>
      <c r="EZ127" t="s">
        <v>166</v>
      </c>
      <c r="FA127" s="157">
        <v>6.5</v>
      </c>
      <c r="FB127" t="s">
        <v>220</v>
      </c>
      <c r="FC127" s="157">
        <v>1</v>
      </c>
      <c r="FD127" s="157">
        <v>1</v>
      </c>
      <c r="FE127" s="177">
        <v>7.6512541025701299</v>
      </c>
      <c r="FF127" t="s">
        <v>221</v>
      </c>
      <c r="FG127" s="177">
        <v>3.6441745687209703E-2</v>
      </c>
      <c r="FH127" s="177">
        <v>3.835464838719993E-2</v>
      </c>
      <c r="FI127" s="178">
        <v>1205.0885581079999</v>
      </c>
      <c r="FK127" t="s">
        <v>166</v>
      </c>
      <c r="FL127" s="144">
        <f t="shared" si="79"/>
        <v>1205.0885581079999</v>
      </c>
      <c r="FM127" s="178">
        <v>244.92055711102012</v>
      </c>
      <c r="FN127" s="178">
        <v>210.74490484320893</v>
      </c>
      <c r="FO127" t="s">
        <v>222</v>
      </c>
      <c r="FP127" t="s">
        <v>223</v>
      </c>
      <c r="FQ127" s="144" t="s">
        <v>166</v>
      </c>
      <c r="FR127" s="144" t="s">
        <v>166</v>
      </c>
      <c r="FS127" s="144" t="s">
        <v>166</v>
      </c>
      <c r="FT127" s="144" t="s">
        <v>166</v>
      </c>
      <c r="FU127" s="144" t="s">
        <v>166</v>
      </c>
      <c r="FV127" s="144" t="s">
        <v>166</v>
      </c>
      <c r="FW127" s="144" t="s">
        <v>166</v>
      </c>
      <c r="FX127" s="144" t="s">
        <v>166</v>
      </c>
      <c r="FY127" s="144" t="s">
        <v>166</v>
      </c>
      <c r="FZ127" s="144" t="s">
        <v>166</v>
      </c>
      <c r="GA127" s="144" t="s">
        <v>166</v>
      </c>
      <c r="GB127" s="144" t="s">
        <v>166</v>
      </c>
      <c r="GC127" s="158" t="s">
        <v>362</v>
      </c>
    </row>
    <row r="128" spans="1:185" ht="16">
      <c r="A128" s="140" t="s">
        <v>162</v>
      </c>
      <c r="B128" s="143" t="s">
        <v>163</v>
      </c>
      <c r="C128" s="140" t="s">
        <v>164</v>
      </c>
      <c r="D128" s="140" t="s">
        <v>165</v>
      </c>
      <c r="E128" s="140">
        <v>2020</v>
      </c>
      <c r="F128" t="s">
        <v>184</v>
      </c>
      <c r="G128" s="139">
        <v>49134.491852052197</v>
      </c>
      <c r="H128" s="147">
        <f t="shared" ref="H128" si="129">0.0083*G128^(0.9482)</f>
        <v>233.05087735098033</v>
      </c>
      <c r="I128" s="147">
        <f t="shared" si="67"/>
        <v>233.05087735098033</v>
      </c>
      <c r="J128" s="144">
        <v>1185.02199530142</v>
      </c>
      <c r="K128" s="144">
        <v>255.20047168568999</v>
      </c>
      <c r="L128" s="144">
        <v>211.33207927916499</v>
      </c>
      <c r="M128" t="b">
        <v>1</v>
      </c>
      <c r="N128">
        <v>3</v>
      </c>
      <c r="O128" s="140" t="s">
        <v>185</v>
      </c>
      <c r="P128" s="140" t="s">
        <v>166</v>
      </c>
      <c r="Q128" s="140" t="s">
        <v>166</v>
      </c>
      <c r="R128" s="140" t="s">
        <v>166</v>
      </c>
      <c r="S128" s="140" t="b">
        <v>1</v>
      </c>
      <c r="T128" s="140" t="b">
        <v>0</v>
      </c>
      <c r="U128" s="140" t="s">
        <v>166</v>
      </c>
      <c r="V128" s="140" t="b">
        <v>0</v>
      </c>
      <c r="W128" s="140" t="b">
        <v>0</v>
      </c>
      <c r="X128" s="140" t="s">
        <v>580</v>
      </c>
      <c r="Y128" s="148" t="s">
        <v>186</v>
      </c>
      <c r="Z128" t="s">
        <v>184</v>
      </c>
      <c r="AA128" s="149">
        <v>865</v>
      </c>
      <c r="AB128" s="149" t="s">
        <v>233</v>
      </c>
      <c r="AC128" s="149">
        <v>9</v>
      </c>
      <c r="AD128" s="149">
        <v>3</v>
      </c>
      <c r="AE128" t="s">
        <v>166</v>
      </c>
      <c r="AF128" t="s">
        <v>166</v>
      </c>
      <c r="AG128" s="150">
        <v>78.015000000000001</v>
      </c>
      <c r="AH128" t="s">
        <v>166</v>
      </c>
      <c r="AI128" t="s">
        <v>166</v>
      </c>
      <c r="AJ128" t="s">
        <v>253</v>
      </c>
      <c r="AK128">
        <v>18.440300000000001</v>
      </c>
      <c r="AL128">
        <v>-179.5558</v>
      </c>
      <c r="AM128" s="163">
        <v>12.012299537658691</v>
      </c>
      <c r="AN128" t="s">
        <v>166</v>
      </c>
      <c r="AO128">
        <v>-1530</v>
      </c>
      <c r="AP128">
        <v>-1400</v>
      </c>
      <c r="AQ128" t="s">
        <v>254</v>
      </c>
      <c r="AR128" t="s">
        <v>166</v>
      </c>
      <c r="AS128" s="150">
        <v>49.1344918520522</v>
      </c>
      <c r="AT128" t="s">
        <v>166</v>
      </c>
      <c r="AU128" t="s">
        <v>166</v>
      </c>
      <c r="AV128" t="s">
        <v>166</v>
      </c>
      <c r="AW128" t="s">
        <v>255</v>
      </c>
      <c r="AX128" t="s">
        <v>256</v>
      </c>
      <c r="AY128" t="s">
        <v>166</v>
      </c>
      <c r="AZ128" t="s">
        <v>166</v>
      </c>
      <c r="BA128" t="s">
        <v>166</v>
      </c>
      <c r="BB128" t="s">
        <v>166</v>
      </c>
      <c r="BC128" t="s">
        <v>166</v>
      </c>
      <c r="BD128" t="s">
        <v>166</v>
      </c>
      <c r="BE128" t="s">
        <v>166</v>
      </c>
      <c r="BF128" t="s">
        <v>166</v>
      </c>
      <c r="BG128" s="151" t="s">
        <v>304</v>
      </c>
      <c r="BH128" s="149" t="s">
        <v>192</v>
      </c>
      <c r="BI128" t="s">
        <v>166</v>
      </c>
      <c r="BJ128" s="152" t="s">
        <v>166</v>
      </c>
      <c r="BK128" t="s">
        <v>305</v>
      </c>
      <c r="BL128" t="s">
        <v>194</v>
      </c>
      <c r="BM128" t="s">
        <v>195</v>
      </c>
      <c r="BN128" t="s">
        <v>166</v>
      </c>
      <c r="BO128" t="s">
        <v>166</v>
      </c>
      <c r="BP128" t="s">
        <v>166</v>
      </c>
      <c r="BQ128" s="150">
        <v>14.807578184167113</v>
      </c>
      <c r="BR128" t="s">
        <v>196</v>
      </c>
      <c r="BS128" s="150">
        <v>0.25731268537716939</v>
      </c>
      <c r="BT128">
        <v>0.88</v>
      </c>
      <c r="BU128" t="s">
        <v>197</v>
      </c>
      <c r="BV128" t="s">
        <v>166</v>
      </c>
      <c r="BW128">
        <v>1.748</v>
      </c>
      <c r="BX128" t="s">
        <v>197</v>
      </c>
      <c r="BY128" t="s">
        <v>166</v>
      </c>
      <c r="BZ128" t="s">
        <v>415</v>
      </c>
      <c r="CA128" t="s">
        <v>360</v>
      </c>
      <c r="CB128" s="150">
        <f t="shared" si="78"/>
        <v>14.77866880206706</v>
      </c>
      <c r="CC128" t="s">
        <v>196</v>
      </c>
      <c r="CD128" s="150">
        <v>0.25731268537716939</v>
      </c>
      <c r="CE128" t="s">
        <v>199</v>
      </c>
      <c r="CF128" t="s">
        <v>166</v>
      </c>
      <c r="CG128" t="s">
        <v>200</v>
      </c>
      <c r="CH128" t="s">
        <v>166</v>
      </c>
      <c r="CI128" t="s">
        <v>166</v>
      </c>
      <c r="CJ128" s="139">
        <v>39.68153762245224</v>
      </c>
      <c r="CK128" t="s">
        <v>201</v>
      </c>
      <c r="CL128">
        <v>2</v>
      </c>
      <c r="CM128">
        <v>2</v>
      </c>
      <c r="CN128" t="s">
        <v>166</v>
      </c>
      <c r="CO128" s="139">
        <v>5.0923052318533637</v>
      </c>
      <c r="CP128" t="s">
        <v>166</v>
      </c>
      <c r="CQ128" t="s">
        <v>166</v>
      </c>
      <c r="CR128" t="s">
        <v>166</v>
      </c>
      <c r="CS128" s="153" t="s">
        <v>202</v>
      </c>
      <c r="CT128" t="s">
        <v>203</v>
      </c>
      <c r="CU128">
        <v>2.2000000000000002</v>
      </c>
      <c r="CV128" t="s">
        <v>204</v>
      </c>
      <c r="CW128" t="s">
        <v>166</v>
      </c>
      <c r="CX128" t="s">
        <v>166</v>
      </c>
      <c r="CY128" t="s">
        <v>166</v>
      </c>
      <c r="CZ128" t="s">
        <v>166</v>
      </c>
      <c r="DA128" s="154" t="s">
        <v>166</v>
      </c>
      <c r="DB128" t="s">
        <v>166</v>
      </c>
      <c r="DC128" t="s">
        <v>166</v>
      </c>
      <c r="DD128" t="s">
        <v>166</v>
      </c>
      <c r="DE128" t="s">
        <v>166</v>
      </c>
      <c r="DF128" t="s">
        <v>205</v>
      </c>
      <c r="DG128">
        <v>35</v>
      </c>
      <c r="DH128" t="s">
        <v>201</v>
      </c>
      <c r="DI128">
        <v>1</v>
      </c>
      <c r="DJ128" t="s">
        <v>206</v>
      </c>
      <c r="DK128">
        <v>17</v>
      </c>
      <c r="DL128" t="s">
        <v>166</v>
      </c>
      <c r="DM128" t="s">
        <v>166</v>
      </c>
      <c r="DN128" t="s">
        <v>207</v>
      </c>
      <c r="DO128">
        <v>38</v>
      </c>
      <c r="DP128" t="s">
        <v>208</v>
      </c>
      <c r="DQ128">
        <v>3</v>
      </c>
      <c r="DR128" t="s">
        <v>209</v>
      </c>
      <c r="DS128" t="s">
        <v>166</v>
      </c>
      <c r="DT128" t="s">
        <v>166</v>
      </c>
      <c r="DU128" t="s">
        <v>166</v>
      </c>
      <c r="DV128" t="s">
        <v>166</v>
      </c>
      <c r="DW128">
        <v>432.6</v>
      </c>
      <c r="DX128" t="s">
        <v>166</v>
      </c>
      <c r="DY128" t="s">
        <v>166</v>
      </c>
      <c r="DZ128" t="s">
        <v>210</v>
      </c>
      <c r="EA128" t="s">
        <v>361</v>
      </c>
      <c r="EB128" t="s">
        <v>212</v>
      </c>
      <c r="EC128" t="s">
        <v>166</v>
      </c>
      <c r="ED128" t="s">
        <v>213</v>
      </c>
      <c r="EE128" s="155" t="s">
        <v>214</v>
      </c>
      <c r="EF128" s="155" t="s">
        <v>214</v>
      </c>
      <c r="EG128">
        <v>1.0271999999999999</v>
      </c>
      <c r="EH128" t="s">
        <v>215</v>
      </c>
      <c r="EI128" t="s">
        <v>215</v>
      </c>
      <c r="EJ128" t="s">
        <v>216</v>
      </c>
      <c r="EK128" t="s">
        <v>215</v>
      </c>
      <c r="EL128" t="s">
        <v>215</v>
      </c>
      <c r="EM128" t="s">
        <v>217</v>
      </c>
      <c r="EN128" s="156" t="s">
        <v>214</v>
      </c>
      <c r="EO128" s="156" t="s">
        <v>214</v>
      </c>
      <c r="EP128" s="156" t="s">
        <v>214</v>
      </c>
      <c r="EQ128" s="156" t="s">
        <v>214</v>
      </c>
      <c r="ET128" t="s">
        <v>218</v>
      </c>
      <c r="EU128" t="s">
        <v>219</v>
      </c>
      <c r="EV128" t="s">
        <v>213</v>
      </c>
      <c r="EW128" t="s">
        <v>166</v>
      </c>
      <c r="EX128" t="s">
        <v>166</v>
      </c>
      <c r="EY128" t="s">
        <v>166</v>
      </c>
      <c r="EZ128" t="s">
        <v>166</v>
      </c>
      <c r="FA128" s="157">
        <v>6.5</v>
      </c>
      <c r="FB128" t="s">
        <v>220</v>
      </c>
      <c r="FC128" s="157">
        <v>1</v>
      </c>
      <c r="FD128" s="157">
        <v>1</v>
      </c>
      <c r="FE128" s="177">
        <v>7.6107749892714303</v>
      </c>
      <c r="FF128" t="s">
        <v>221</v>
      </c>
      <c r="FG128" s="177">
        <v>3.7822398287669756E-2</v>
      </c>
      <c r="FH128" s="177">
        <v>3.9427998151969845E-2</v>
      </c>
      <c r="FI128" s="178">
        <v>1373.1359759075599</v>
      </c>
      <c r="FK128" t="s">
        <v>166</v>
      </c>
      <c r="FL128" s="144">
        <f t="shared" si="79"/>
        <v>1373.1359759075599</v>
      </c>
      <c r="FM128" s="178">
        <v>309.03249370379012</v>
      </c>
      <c r="FN128" s="178">
        <v>236.04344736922985</v>
      </c>
      <c r="FO128" t="s">
        <v>222</v>
      </c>
      <c r="FP128" t="s">
        <v>223</v>
      </c>
      <c r="FQ128" s="144" t="s">
        <v>166</v>
      </c>
      <c r="FR128" s="144" t="s">
        <v>166</v>
      </c>
      <c r="FS128" s="144" t="s">
        <v>166</v>
      </c>
      <c r="FT128" s="144" t="s">
        <v>166</v>
      </c>
      <c r="FU128" s="144" t="s">
        <v>166</v>
      </c>
      <c r="FV128" s="144" t="s">
        <v>166</v>
      </c>
      <c r="FW128" s="144" t="s">
        <v>166</v>
      </c>
      <c r="FX128" s="144" t="s">
        <v>166</v>
      </c>
      <c r="FY128" s="144" t="s">
        <v>166</v>
      </c>
      <c r="FZ128" s="144" t="s">
        <v>166</v>
      </c>
      <c r="GA128" s="144" t="s">
        <v>166</v>
      </c>
      <c r="GB128" s="144" t="s">
        <v>166</v>
      </c>
      <c r="GC128" s="158" t="s">
        <v>362</v>
      </c>
    </row>
    <row r="129" spans="1:185" ht="16">
      <c r="A129" s="140" t="s">
        <v>162</v>
      </c>
      <c r="B129" s="143" t="s">
        <v>163</v>
      </c>
      <c r="C129" s="140" t="s">
        <v>164</v>
      </c>
      <c r="D129" s="140" t="s">
        <v>165</v>
      </c>
      <c r="E129" s="140">
        <v>2020</v>
      </c>
      <c r="F129" t="s">
        <v>184</v>
      </c>
      <c r="G129" s="139">
        <v>49818.55883877656</v>
      </c>
      <c r="H129" s="147">
        <f t="shared" ref="H129" si="130">0.0083*G129^(0.9482)</f>
        <v>236.12631541635386</v>
      </c>
      <c r="I129" s="147">
        <f t="shared" si="67"/>
        <v>236.12631541635386</v>
      </c>
      <c r="J129" s="144">
        <v>1116.42396788734</v>
      </c>
      <c r="K129" s="144">
        <v>256.92838680676005</v>
      </c>
      <c r="L129" s="144">
        <v>207.65083709309999</v>
      </c>
      <c r="M129" t="b">
        <v>1</v>
      </c>
      <c r="N129">
        <v>3</v>
      </c>
      <c r="O129" s="140" t="s">
        <v>185</v>
      </c>
      <c r="P129" s="140" t="s">
        <v>166</v>
      </c>
      <c r="Q129" s="140" t="s">
        <v>166</v>
      </c>
      <c r="R129" s="140" t="s">
        <v>166</v>
      </c>
      <c r="S129" s="140" t="b">
        <v>1</v>
      </c>
      <c r="T129" s="140" t="b">
        <v>0</v>
      </c>
      <c r="U129" s="140" t="s">
        <v>166</v>
      </c>
      <c r="V129" s="140" t="b">
        <v>0</v>
      </c>
      <c r="W129" s="140" t="b">
        <v>0</v>
      </c>
      <c r="X129" s="140" t="s">
        <v>580</v>
      </c>
      <c r="Y129" s="148" t="s">
        <v>186</v>
      </c>
      <c r="Z129" t="s">
        <v>184</v>
      </c>
      <c r="AA129" s="149">
        <v>865</v>
      </c>
      <c r="AB129" s="149" t="s">
        <v>233</v>
      </c>
      <c r="AC129" s="149">
        <v>9</v>
      </c>
      <c r="AD129" s="149">
        <v>5</v>
      </c>
      <c r="AE129">
        <v>5</v>
      </c>
      <c r="AF129">
        <v>13</v>
      </c>
      <c r="AG129" s="150">
        <v>81.05</v>
      </c>
      <c r="AH129" t="s">
        <v>166</v>
      </c>
      <c r="AI129" t="s">
        <v>166</v>
      </c>
      <c r="AJ129" t="s">
        <v>253</v>
      </c>
      <c r="AK129">
        <v>18.440300000000001</v>
      </c>
      <c r="AL129">
        <v>-179.5558</v>
      </c>
      <c r="AM129" s="163">
        <v>12.065381050109863</v>
      </c>
      <c r="AN129" t="s">
        <v>166</v>
      </c>
      <c r="AO129">
        <v>-1530</v>
      </c>
      <c r="AP129">
        <v>-1400</v>
      </c>
      <c r="AQ129" t="s">
        <v>254</v>
      </c>
      <c r="AR129" t="s">
        <v>166</v>
      </c>
      <c r="AS129" s="150">
        <v>49.818558838776561</v>
      </c>
      <c r="AT129" t="s">
        <v>166</v>
      </c>
      <c r="AU129" t="s">
        <v>166</v>
      </c>
      <c r="AV129" t="s">
        <v>166</v>
      </c>
      <c r="AW129" t="s">
        <v>255</v>
      </c>
      <c r="AX129" t="s">
        <v>256</v>
      </c>
      <c r="AY129" t="s">
        <v>166</v>
      </c>
      <c r="AZ129" t="s">
        <v>166</v>
      </c>
      <c r="BA129" t="s">
        <v>166</v>
      </c>
      <c r="BB129" t="s">
        <v>166</v>
      </c>
      <c r="BC129" t="s">
        <v>166</v>
      </c>
      <c r="BD129" t="s">
        <v>166</v>
      </c>
      <c r="BE129" t="s">
        <v>166</v>
      </c>
      <c r="BF129" t="s">
        <v>166</v>
      </c>
      <c r="BG129" s="151" t="s">
        <v>306</v>
      </c>
      <c r="BH129" s="149" t="s">
        <v>192</v>
      </c>
      <c r="BI129" t="s">
        <v>166</v>
      </c>
      <c r="BJ129" s="152" t="s">
        <v>166</v>
      </c>
      <c r="BK129" t="s">
        <v>307</v>
      </c>
      <c r="BL129" t="s">
        <v>194</v>
      </c>
      <c r="BM129" t="s">
        <v>195</v>
      </c>
      <c r="BN129" t="s">
        <v>166</v>
      </c>
      <c r="BO129" t="s">
        <v>166</v>
      </c>
      <c r="BP129" t="s">
        <v>166</v>
      </c>
      <c r="BQ129" s="150">
        <v>14.891583824810706</v>
      </c>
      <c r="BR129" t="s">
        <v>196</v>
      </c>
      <c r="BS129" s="150">
        <v>0.25483578606854462</v>
      </c>
      <c r="BT129">
        <v>0.88</v>
      </c>
      <c r="BU129" t="s">
        <v>197</v>
      </c>
      <c r="BV129" t="s">
        <v>166</v>
      </c>
      <c r="BW129">
        <v>1.748</v>
      </c>
      <c r="BX129" t="s">
        <v>197</v>
      </c>
      <c r="BY129" t="s">
        <v>166</v>
      </c>
      <c r="BZ129" t="s">
        <v>416</v>
      </c>
      <c r="CA129" t="s">
        <v>360</v>
      </c>
      <c r="CB129" s="150">
        <f t="shared" si="78"/>
        <v>14.85259376583342</v>
      </c>
      <c r="CC129" t="s">
        <v>196</v>
      </c>
      <c r="CD129" s="150">
        <v>0.25483578606854462</v>
      </c>
      <c r="CE129" t="s">
        <v>199</v>
      </c>
      <c r="CF129" t="s">
        <v>166</v>
      </c>
      <c r="CG129" t="s">
        <v>200</v>
      </c>
      <c r="CH129" t="s">
        <v>166</v>
      </c>
      <c r="CI129" t="s">
        <v>166</v>
      </c>
      <c r="CJ129" s="139">
        <v>39.68153762245224</v>
      </c>
      <c r="CK129" t="s">
        <v>201</v>
      </c>
      <c r="CL129">
        <v>2</v>
      </c>
      <c r="CM129">
        <v>2</v>
      </c>
      <c r="CN129" t="s">
        <v>166</v>
      </c>
      <c r="CO129" s="139">
        <v>5.0923052318533637</v>
      </c>
      <c r="CP129" t="s">
        <v>166</v>
      </c>
      <c r="CQ129" t="s">
        <v>166</v>
      </c>
      <c r="CR129" t="s">
        <v>166</v>
      </c>
      <c r="CS129" s="153" t="s">
        <v>202</v>
      </c>
      <c r="CT129" t="s">
        <v>203</v>
      </c>
      <c r="CU129">
        <v>2.2000000000000002</v>
      </c>
      <c r="CV129" t="s">
        <v>204</v>
      </c>
      <c r="CW129" t="s">
        <v>166</v>
      </c>
      <c r="CX129" t="s">
        <v>166</v>
      </c>
      <c r="CY129" t="s">
        <v>166</v>
      </c>
      <c r="CZ129" t="s">
        <v>166</v>
      </c>
      <c r="DA129" s="154" t="s">
        <v>166</v>
      </c>
      <c r="DB129" t="s">
        <v>166</v>
      </c>
      <c r="DC129" t="s">
        <v>166</v>
      </c>
      <c r="DD129" t="s">
        <v>166</v>
      </c>
      <c r="DE129" t="s">
        <v>166</v>
      </c>
      <c r="DF129" t="s">
        <v>205</v>
      </c>
      <c r="DG129">
        <v>35</v>
      </c>
      <c r="DH129" t="s">
        <v>201</v>
      </c>
      <c r="DI129">
        <v>1</v>
      </c>
      <c r="DJ129" t="s">
        <v>206</v>
      </c>
      <c r="DK129">
        <v>17</v>
      </c>
      <c r="DL129" t="s">
        <v>166</v>
      </c>
      <c r="DM129" t="s">
        <v>166</v>
      </c>
      <c r="DN129" t="s">
        <v>207</v>
      </c>
      <c r="DO129">
        <v>38</v>
      </c>
      <c r="DP129" t="s">
        <v>208</v>
      </c>
      <c r="DQ129">
        <v>3</v>
      </c>
      <c r="DR129" t="s">
        <v>209</v>
      </c>
      <c r="DS129" t="s">
        <v>166</v>
      </c>
      <c r="DT129" t="s">
        <v>166</v>
      </c>
      <c r="DU129" t="s">
        <v>166</v>
      </c>
      <c r="DV129" t="s">
        <v>166</v>
      </c>
      <c r="DW129">
        <v>432.6</v>
      </c>
      <c r="DX129" t="s">
        <v>166</v>
      </c>
      <c r="DY129" t="s">
        <v>166</v>
      </c>
      <c r="DZ129" t="s">
        <v>210</v>
      </c>
      <c r="EA129" t="s">
        <v>361</v>
      </c>
      <c r="EB129" t="s">
        <v>212</v>
      </c>
      <c r="EC129" t="s">
        <v>166</v>
      </c>
      <c r="ED129" t="s">
        <v>213</v>
      </c>
      <c r="EE129" s="155" t="s">
        <v>214</v>
      </c>
      <c r="EF129" s="155" t="s">
        <v>214</v>
      </c>
      <c r="EG129">
        <v>1.0271999999999999</v>
      </c>
      <c r="EH129" t="s">
        <v>215</v>
      </c>
      <c r="EI129" t="s">
        <v>215</v>
      </c>
      <c r="EJ129" t="s">
        <v>216</v>
      </c>
      <c r="EK129" t="s">
        <v>215</v>
      </c>
      <c r="EL129" t="s">
        <v>215</v>
      </c>
      <c r="EM129" t="s">
        <v>217</v>
      </c>
      <c r="EN129" s="156" t="s">
        <v>214</v>
      </c>
      <c r="EO129" s="156" t="s">
        <v>214</v>
      </c>
      <c r="EP129" s="156" t="s">
        <v>214</v>
      </c>
      <c r="EQ129" s="156" t="s">
        <v>214</v>
      </c>
      <c r="ET129" t="s">
        <v>218</v>
      </c>
      <c r="EU129" t="s">
        <v>219</v>
      </c>
      <c r="EV129" t="s">
        <v>213</v>
      </c>
      <c r="EW129" t="s">
        <v>166</v>
      </c>
      <c r="EX129" t="s">
        <v>166</v>
      </c>
      <c r="EY129" t="s">
        <v>166</v>
      </c>
      <c r="EZ129" t="s">
        <v>166</v>
      </c>
      <c r="FA129" s="157">
        <v>6.5</v>
      </c>
      <c r="FB129" t="s">
        <v>220</v>
      </c>
      <c r="FC129" s="157">
        <v>1</v>
      </c>
      <c r="FD129" s="157">
        <v>1</v>
      </c>
      <c r="FE129" s="177">
        <v>7.6231173232774196</v>
      </c>
      <c r="FF129" t="s">
        <v>221</v>
      </c>
      <c r="FG129" s="177">
        <v>3.6594692732050405E-2</v>
      </c>
      <c r="FH129" s="177">
        <v>3.7490586468389431E-2</v>
      </c>
      <c r="FI129" s="178">
        <v>1306.04804390563</v>
      </c>
      <c r="FK129" t="s">
        <v>166</v>
      </c>
      <c r="FL129" s="144">
        <f t="shared" si="79"/>
        <v>1306.04804390563</v>
      </c>
      <c r="FM129" s="178">
        <v>273.17109735728991</v>
      </c>
      <c r="FN129" s="178">
        <v>230.92747961964005</v>
      </c>
      <c r="FO129" t="s">
        <v>222</v>
      </c>
      <c r="FP129" t="s">
        <v>223</v>
      </c>
      <c r="FQ129" s="144" t="s">
        <v>166</v>
      </c>
      <c r="FR129" s="144" t="s">
        <v>166</v>
      </c>
      <c r="FS129" s="144" t="s">
        <v>166</v>
      </c>
      <c r="FT129" s="144" t="s">
        <v>166</v>
      </c>
      <c r="FU129" s="144" t="s">
        <v>166</v>
      </c>
      <c r="FV129" s="144" t="s">
        <v>166</v>
      </c>
      <c r="FW129" s="144" t="s">
        <v>166</v>
      </c>
      <c r="FX129" s="144" t="s">
        <v>166</v>
      </c>
      <c r="FY129" s="144" t="s">
        <v>166</v>
      </c>
      <c r="FZ129" s="144" t="s">
        <v>166</v>
      </c>
      <c r="GA129" s="144" t="s">
        <v>166</v>
      </c>
      <c r="GB129" s="144" t="s">
        <v>166</v>
      </c>
      <c r="GC129" s="158" t="s">
        <v>362</v>
      </c>
    </row>
    <row r="130" spans="1:185" ht="16">
      <c r="A130" s="140" t="s">
        <v>162</v>
      </c>
      <c r="B130" s="143" t="s">
        <v>163</v>
      </c>
      <c r="C130" s="140" t="s">
        <v>164</v>
      </c>
      <c r="D130" s="140" t="s">
        <v>165</v>
      </c>
      <c r="E130" s="140">
        <v>2020</v>
      </c>
      <c r="F130" t="s">
        <v>184</v>
      </c>
      <c r="G130" s="139">
        <v>48112.476348876953</v>
      </c>
      <c r="H130" s="147">
        <f t="shared" ref="H130" si="131">0.0083*G130^(0.9482)</f>
        <v>228.4519416669375</v>
      </c>
      <c r="I130" s="147">
        <f t="shared" si="67"/>
        <v>228.4519416669375</v>
      </c>
      <c r="J130" s="144">
        <v>985.12186854968797</v>
      </c>
      <c r="K130" s="144">
        <v>274.01274599179203</v>
      </c>
      <c r="L130" s="144">
        <v>222.33926038719596</v>
      </c>
      <c r="M130" t="b">
        <v>1</v>
      </c>
      <c r="N130">
        <v>3</v>
      </c>
      <c r="O130" s="140" t="s">
        <v>185</v>
      </c>
      <c r="P130" s="140" t="s">
        <v>166</v>
      </c>
      <c r="Q130" s="140" t="s">
        <v>166</v>
      </c>
      <c r="R130" s="140" t="s">
        <v>166</v>
      </c>
      <c r="S130" s="140" t="b">
        <v>1</v>
      </c>
      <c r="T130" s="140" t="b">
        <v>0</v>
      </c>
      <c r="U130" s="140" t="s">
        <v>166</v>
      </c>
      <c r="V130" s="140" t="b">
        <v>0</v>
      </c>
      <c r="W130" s="140" t="b">
        <v>0</v>
      </c>
      <c r="X130" s="140" t="s">
        <v>580</v>
      </c>
      <c r="Y130" s="148" t="s">
        <v>186</v>
      </c>
      <c r="Z130" t="s">
        <v>184</v>
      </c>
      <c r="AA130" s="149">
        <v>1407</v>
      </c>
      <c r="AB130" s="149" t="s">
        <v>308</v>
      </c>
      <c r="AC130" s="149">
        <v>12</v>
      </c>
      <c r="AD130" s="149" t="s">
        <v>309</v>
      </c>
      <c r="AE130" t="s">
        <v>166</v>
      </c>
      <c r="AF130" t="s">
        <v>166</v>
      </c>
      <c r="AG130" s="150">
        <v>102.83</v>
      </c>
      <c r="AH130" t="s">
        <v>166</v>
      </c>
      <c r="AI130" t="s">
        <v>166</v>
      </c>
      <c r="AJ130" t="s">
        <v>310</v>
      </c>
      <c r="AK130">
        <v>41.424987999999999</v>
      </c>
      <c r="AL130">
        <v>-49.823312000000001</v>
      </c>
      <c r="AM130">
        <v>31.4</v>
      </c>
      <c r="AN130" t="s">
        <v>166</v>
      </c>
      <c r="AO130">
        <v>-3070</v>
      </c>
      <c r="AP130">
        <v>-2600</v>
      </c>
      <c r="AQ130" t="s">
        <v>311</v>
      </c>
      <c r="AR130" t="s">
        <v>166</v>
      </c>
      <c r="AS130" s="150">
        <v>48.112476348876953</v>
      </c>
      <c r="AT130" t="s">
        <v>166</v>
      </c>
      <c r="AU130" t="s">
        <v>166</v>
      </c>
      <c r="AV130" t="s">
        <v>166</v>
      </c>
      <c r="AW130" t="s">
        <v>166</v>
      </c>
      <c r="AX130" t="s">
        <v>166</v>
      </c>
      <c r="AY130" t="s">
        <v>190</v>
      </c>
      <c r="AZ130" t="s">
        <v>166</v>
      </c>
      <c r="BA130" t="s">
        <v>166</v>
      </c>
      <c r="BB130" t="s">
        <v>166</v>
      </c>
      <c r="BC130" t="s">
        <v>166</v>
      </c>
      <c r="BD130" t="s">
        <v>166</v>
      </c>
      <c r="BE130" t="s">
        <v>166</v>
      </c>
      <c r="BF130" t="s">
        <v>166</v>
      </c>
      <c r="BG130" s="151" t="s">
        <v>296</v>
      </c>
      <c r="BH130" s="149" t="s">
        <v>263</v>
      </c>
      <c r="BI130" t="s">
        <v>166</v>
      </c>
      <c r="BJ130" s="152" t="s">
        <v>166</v>
      </c>
      <c r="BK130" t="s">
        <v>312</v>
      </c>
      <c r="BL130" t="s">
        <v>194</v>
      </c>
      <c r="BM130" t="s">
        <v>195</v>
      </c>
      <c r="BN130" t="s">
        <v>166</v>
      </c>
      <c r="BO130" t="s">
        <v>166</v>
      </c>
      <c r="BP130" t="s">
        <v>166</v>
      </c>
      <c r="BQ130" s="150">
        <v>14.314629770332061</v>
      </c>
      <c r="BR130" t="s">
        <v>196</v>
      </c>
      <c r="BS130" s="150">
        <v>0.2479196571344934</v>
      </c>
      <c r="BT130">
        <v>0.88</v>
      </c>
      <c r="BU130" t="s">
        <v>197</v>
      </c>
      <c r="BV130" t="s">
        <v>166</v>
      </c>
      <c r="BW130">
        <v>1.748</v>
      </c>
      <c r="BX130" t="s">
        <v>197</v>
      </c>
      <c r="BY130" t="s">
        <v>166</v>
      </c>
      <c r="BZ130" t="s">
        <v>417</v>
      </c>
      <c r="CA130" t="s">
        <v>360</v>
      </c>
      <c r="CB130" s="150">
        <f t="shared" si="78"/>
        <v>14.344874197892214</v>
      </c>
      <c r="CC130" t="s">
        <v>196</v>
      </c>
      <c r="CD130" s="150">
        <v>0.2479196571344934</v>
      </c>
      <c r="CE130" t="s">
        <v>199</v>
      </c>
      <c r="CF130" t="s">
        <v>166</v>
      </c>
      <c r="CG130" t="s">
        <v>200</v>
      </c>
      <c r="CH130" t="s">
        <v>166</v>
      </c>
      <c r="CI130" t="s">
        <v>166</v>
      </c>
      <c r="CJ130" s="139">
        <v>33.302018893749583</v>
      </c>
      <c r="CK130" t="s">
        <v>201</v>
      </c>
      <c r="CL130">
        <v>2</v>
      </c>
      <c r="CM130">
        <v>2</v>
      </c>
      <c r="CN130" t="s">
        <v>166</v>
      </c>
      <c r="CO130" s="139">
        <v>3.5542903699419073</v>
      </c>
      <c r="CP130" t="s">
        <v>166</v>
      </c>
      <c r="CQ130" t="s">
        <v>166</v>
      </c>
      <c r="CR130" t="s">
        <v>166</v>
      </c>
      <c r="CS130" s="153" t="s">
        <v>202</v>
      </c>
      <c r="CT130" t="s">
        <v>203</v>
      </c>
      <c r="CU130">
        <v>2.2000000000000002</v>
      </c>
      <c r="CV130" t="s">
        <v>204</v>
      </c>
      <c r="CW130" t="s">
        <v>166</v>
      </c>
      <c r="CX130" t="s">
        <v>166</v>
      </c>
      <c r="CY130" t="s">
        <v>166</v>
      </c>
      <c r="CZ130" t="s">
        <v>166</v>
      </c>
      <c r="DA130" s="154" t="s">
        <v>166</v>
      </c>
      <c r="DB130" t="s">
        <v>166</v>
      </c>
      <c r="DC130" t="s">
        <v>166</v>
      </c>
      <c r="DD130" t="s">
        <v>166</v>
      </c>
      <c r="DE130" t="s">
        <v>166</v>
      </c>
      <c r="DF130" t="s">
        <v>205</v>
      </c>
      <c r="DG130">
        <v>35</v>
      </c>
      <c r="DH130" t="s">
        <v>201</v>
      </c>
      <c r="DI130">
        <v>1</v>
      </c>
      <c r="DJ130" t="s">
        <v>206</v>
      </c>
      <c r="DK130">
        <v>17</v>
      </c>
      <c r="DL130" t="s">
        <v>166</v>
      </c>
      <c r="DM130" t="s">
        <v>166</v>
      </c>
      <c r="DN130" t="s">
        <v>207</v>
      </c>
      <c r="DO130">
        <v>38</v>
      </c>
      <c r="DP130" t="s">
        <v>208</v>
      </c>
      <c r="DQ130">
        <v>3</v>
      </c>
      <c r="DR130" t="s">
        <v>209</v>
      </c>
      <c r="DS130" t="s">
        <v>166</v>
      </c>
      <c r="DT130" t="s">
        <v>166</v>
      </c>
      <c r="DU130" t="s">
        <v>166</v>
      </c>
      <c r="DV130" t="s">
        <v>166</v>
      </c>
      <c r="DW130">
        <v>432.6</v>
      </c>
      <c r="DX130" t="s">
        <v>166</v>
      </c>
      <c r="DY130" t="s">
        <v>166</v>
      </c>
      <c r="DZ130" t="s">
        <v>210</v>
      </c>
      <c r="EA130" t="s">
        <v>361</v>
      </c>
      <c r="EB130" t="s">
        <v>212</v>
      </c>
      <c r="EC130" t="s">
        <v>166</v>
      </c>
      <c r="ED130" t="s">
        <v>213</v>
      </c>
      <c r="EE130" s="155" t="s">
        <v>214</v>
      </c>
      <c r="EF130" s="155" t="s">
        <v>214</v>
      </c>
      <c r="EG130">
        <v>1.0271999999999999</v>
      </c>
      <c r="EH130" t="s">
        <v>215</v>
      </c>
      <c r="EI130" t="s">
        <v>215</v>
      </c>
      <c r="EJ130" t="s">
        <v>216</v>
      </c>
      <c r="EK130" t="s">
        <v>215</v>
      </c>
      <c r="EL130" t="s">
        <v>215</v>
      </c>
      <c r="EM130" t="s">
        <v>217</v>
      </c>
      <c r="EN130" s="156" t="s">
        <v>214</v>
      </c>
      <c r="EO130" s="156" t="s">
        <v>214</v>
      </c>
      <c r="EP130" s="156" t="s">
        <v>214</v>
      </c>
      <c r="EQ130" s="156" t="s">
        <v>214</v>
      </c>
      <c r="ET130" t="s">
        <v>218</v>
      </c>
      <c r="EU130" t="s">
        <v>219</v>
      </c>
      <c r="EV130" t="s">
        <v>213</v>
      </c>
      <c r="EW130" t="s">
        <v>166</v>
      </c>
      <c r="EX130" t="s">
        <v>166</v>
      </c>
      <c r="EY130" t="s">
        <v>166</v>
      </c>
      <c r="EZ130" t="s">
        <v>166</v>
      </c>
      <c r="FA130" s="157">
        <v>4.5</v>
      </c>
      <c r="FB130" t="s">
        <v>220</v>
      </c>
      <c r="FC130" s="157">
        <v>1</v>
      </c>
      <c r="FD130" s="157">
        <v>1</v>
      </c>
      <c r="FE130" s="177">
        <v>7.6001604654827499</v>
      </c>
      <c r="FF130" t="s">
        <v>221</v>
      </c>
      <c r="FG130" s="177">
        <v>4.02804944138202E-2</v>
      </c>
      <c r="FH130" s="177">
        <v>4.393084389897961E-2</v>
      </c>
      <c r="FI130" s="178">
        <v>1240.7571870074601</v>
      </c>
      <c r="FK130" t="s">
        <v>166</v>
      </c>
      <c r="FL130" s="144">
        <f t="shared" si="79"/>
        <v>1240.7571870074601</v>
      </c>
      <c r="FM130" s="178">
        <v>361.4260008061899</v>
      </c>
      <c r="FN130" s="178">
        <v>270.10258362406807</v>
      </c>
      <c r="FO130" t="s">
        <v>222</v>
      </c>
      <c r="FP130" t="s">
        <v>223</v>
      </c>
      <c r="FQ130" s="144" t="s">
        <v>166</v>
      </c>
      <c r="FR130" s="144" t="s">
        <v>166</v>
      </c>
      <c r="FS130" s="144" t="s">
        <v>166</v>
      </c>
      <c r="FT130" s="144" t="s">
        <v>166</v>
      </c>
      <c r="FU130" s="144" t="s">
        <v>166</v>
      </c>
      <c r="FV130" s="144" t="s">
        <v>166</v>
      </c>
      <c r="FW130" s="144" t="s">
        <v>166</v>
      </c>
      <c r="FX130" s="144" t="s">
        <v>166</v>
      </c>
      <c r="FY130" s="144" t="s">
        <v>166</v>
      </c>
      <c r="FZ130" s="144" t="s">
        <v>166</v>
      </c>
      <c r="GA130" s="144" t="s">
        <v>166</v>
      </c>
      <c r="GB130" s="144" t="s">
        <v>166</v>
      </c>
      <c r="GC130" s="158" t="s">
        <v>362</v>
      </c>
    </row>
    <row r="131" spans="1:185" ht="16">
      <c r="A131" s="140" t="s">
        <v>162</v>
      </c>
      <c r="B131" s="143" t="s">
        <v>163</v>
      </c>
      <c r="C131" s="140" t="s">
        <v>164</v>
      </c>
      <c r="D131" s="140" t="s">
        <v>165</v>
      </c>
      <c r="E131" s="140">
        <v>2020</v>
      </c>
      <c r="F131" t="s">
        <v>184</v>
      </c>
      <c r="G131" s="139">
        <v>49990.741729736328</v>
      </c>
      <c r="H131" s="147">
        <f t="shared" ref="H131" si="132">0.0083*G131^(0.9482)</f>
        <v>236.90007197949859</v>
      </c>
      <c r="I131" s="147">
        <f t="shared" si="67"/>
        <v>236.90007197949859</v>
      </c>
      <c r="J131" s="144">
        <v>1476.54254098668</v>
      </c>
      <c r="K131" s="144">
        <v>400.71921974782003</v>
      </c>
      <c r="L131" s="144">
        <v>342.10992035260006</v>
      </c>
      <c r="M131" t="b">
        <v>1</v>
      </c>
      <c r="N131">
        <v>3</v>
      </c>
      <c r="O131" s="140" t="s">
        <v>185</v>
      </c>
      <c r="P131" s="140" t="s">
        <v>166</v>
      </c>
      <c r="Q131" s="140" t="s">
        <v>166</v>
      </c>
      <c r="R131" s="140" t="s">
        <v>166</v>
      </c>
      <c r="S131" s="140" t="b">
        <v>1</v>
      </c>
      <c r="T131" s="140" t="b">
        <v>0</v>
      </c>
      <c r="U131" s="140" t="s">
        <v>166</v>
      </c>
      <c r="V131" s="140" t="b">
        <v>0</v>
      </c>
      <c r="W131" s="140" t="b">
        <v>0</v>
      </c>
      <c r="X131" s="140" t="s">
        <v>580</v>
      </c>
      <c r="Y131" s="148" t="s">
        <v>186</v>
      </c>
      <c r="Z131" t="s">
        <v>184</v>
      </c>
      <c r="AA131" s="149">
        <v>1409</v>
      </c>
      <c r="AB131" s="149" t="s">
        <v>250</v>
      </c>
      <c r="AC131" s="149">
        <v>13</v>
      </c>
      <c r="AD131" s="149" t="s">
        <v>309</v>
      </c>
      <c r="AE131" t="s">
        <v>166</v>
      </c>
      <c r="AF131" t="s">
        <v>166</v>
      </c>
      <c r="AG131" s="150">
        <v>116.28</v>
      </c>
      <c r="AH131" t="s">
        <v>166</v>
      </c>
      <c r="AI131" t="s">
        <v>166</v>
      </c>
      <c r="AJ131" t="s">
        <v>310</v>
      </c>
      <c r="AK131">
        <v>41.295653000000001</v>
      </c>
      <c r="AL131">
        <v>-49.233088000000002</v>
      </c>
      <c r="AM131">
        <v>30.938451766967773</v>
      </c>
      <c r="AN131" t="s">
        <v>166</v>
      </c>
      <c r="AO131">
        <v>-3500</v>
      </c>
      <c r="AP131">
        <v>-3050</v>
      </c>
      <c r="AQ131" t="s">
        <v>313</v>
      </c>
      <c r="AR131" t="s">
        <v>166</v>
      </c>
      <c r="AS131" s="150">
        <v>49.990741729736328</v>
      </c>
      <c r="AT131" t="s">
        <v>166</v>
      </c>
      <c r="AU131" t="s">
        <v>166</v>
      </c>
      <c r="AV131" t="s">
        <v>166</v>
      </c>
      <c r="AW131" t="s">
        <v>166</v>
      </c>
      <c r="AX131" t="s">
        <v>166</v>
      </c>
      <c r="AY131" t="s">
        <v>190</v>
      </c>
      <c r="AZ131" t="s">
        <v>166</v>
      </c>
      <c r="BA131" t="s">
        <v>166</v>
      </c>
      <c r="BB131" t="s">
        <v>166</v>
      </c>
      <c r="BC131" t="s">
        <v>166</v>
      </c>
      <c r="BD131" t="s">
        <v>166</v>
      </c>
      <c r="BE131" t="s">
        <v>166</v>
      </c>
      <c r="BF131" t="s">
        <v>166</v>
      </c>
      <c r="BG131" s="151" t="s">
        <v>314</v>
      </c>
      <c r="BH131" s="149" t="s">
        <v>315</v>
      </c>
      <c r="BI131" t="s">
        <v>166</v>
      </c>
      <c r="BJ131" s="152" t="s">
        <v>166</v>
      </c>
      <c r="BK131" t="s">
        <v>316</v>
      </c>
      <c r="BL131" t="s">
        <v>194</v>
      </c>
      <c r="BM131" t="s">
        <v>195</v>
      </c>
      <c r="BN131" t="s">
        <v>166</v>
      </c>
      <c r="BO131" t="s">
        <v>166</v>
      </c>
      <c r="BP131" t="s">
        <v>166</v>
      </c>
      <c r="BQ131" s="150">
        <v>13.754406942115885</v>
      </c>
      <c r="BR131" t="s">
        <v>196</v>
      </c>
      <c r="BS131" s="150">
        <v>0.2505455214578568</v>
      </c>
      <c r="BT131">
        <v>0.88</v>
      </c>
      <c r="BU131" t="s">
        <v>197</v>
      </c>
      <c r="BV131" t="s">
        <v>166</v>
      </c>
      <c r="BW131">
        <v>1.748</v>
      </c>
      <c r="BX131" t="s">
        <v>197</v>
      </c>
      <c r="BY131" t="s">
        <v>166</v>
      </c>
      <c r="BZ131" t="s">
        <v>418</v>
      </c>
      <c r="CA131" t="s">
        <v>360</v>
      </c>
      <c r="CB131" s="150">
        <f t="shared" si="78"/>
        <v>13.851878109061978</v>
      </c>
      <c r="CC131" t="s">
        <v>196</v>
      </c>
      <c r="CD131" s="150">
        <v>0.2505455214578568</v>
      </c>
      <c r="CE131" t="s">
        <v>199</v>
      </c>
      <c r="CF131" t="s">
        <v>166</v>
      </c>
      <c r="CG131" t="s">
        <v>200</v>
      </c>
      <c r="CH131" t="s">
        <v>166</v>
      </c>
      <c r="CI131" t="s">
        <v>166</v>
      </c>
      <c r="CJ131" s="139">
        <v>32.664924731133354</v>
      </c>
      <c r="CK131" t="s">
        <v>201</v>
      </c>
      <c r="CL131">
        <v>2</v>
      </c>
      <c r="CM131">
        <v>2</v>
      </c>
      <c r="CN131" t="s">
        <v>166</v>
      </c>
      <c r="CO131" s="139">
        <v>3.4289231220763816</v>
      </c>
      <c r="CP131" t="s">
        <v>166</v>
      </c>
      <c r="CQ131" t="s">
        <v>166</v>
      </c>
      <c r="CR131" t="s">
        <v>166</v>
      </c>
      <c r="CS131" s="153" t="s">
        <v>202</v>
      </c>
      <c r="CT131" t="s">
        <v>203</v>
      </c>
      <c r="CU131">
        <v>2.2000000000000002</v>
      </c>
      <c r="CV131" t="s">
        <v>204</v>
      </c>
      <c r="CW131" t="s">
        <v>166</v>
      </c>
      <c r="CX131" t="s">
        <v>166</v>
      </c>
      <c r="CY131" t="s">
        <v>166</v>
      </c>
      <c r="CZ131" t="s">
        <v>166</v>
      </c>
      <c r="DA131" s="154" t="s">
        <v>166</v>
      </c>
      <c r="DB131" t="s">
        <v>166</v>
      </c>
      <c r="DC131" t="s">
        <v>166</v>
      </c>
      <c r="DD131" t="s">
        <v>166</v>
      </c>
      <c r="DE131" t="s">
        <v>166</v>
      </c>
      <c r="DF131" t="s">
        <v>205</v>
      </c>
      <c r="DG131">
        <v>35</v>
      </c>
      <c r="DH131" t="s">
        <v>201</v>
      </c>
      <c r="DI131">
        <v>1</v>
      </c>
      <c r="DJ131" t="s">
        <v>206</v>
      </c>
      <c r="DK131">
        <v>17</v>
      </c>
      <c r="DL131" t="s">
        <v>166</v>
      </c>
      <c r="DM131" t="s">
        <v>166</v>
      </c>
      <c r="DN131" t="s">
        <v>207</v>
      </c>
      <c r="DO131">
        <v>38</v>
      </c>
      <c r="DP131" t="s">
        <v>208</v>
      </c>
      <c r="DQ131">
        <v>3</v>
      </c>
      <c r="DR131" t="s">
        <v>209</v>
      </c>
      <c r="DS131" t="s">
        <v>166</v>
      </c>
      <c r="DT131" t="s">
        <v>166</v>
      </c>
      <c r="DU131" t="s">
        <v>166</v>
      </c>
      <c r="DV131" t="s">
        <v>166</v>
      </c>
      <c r="DW131">
        <v>432.6</v>
      </c>
      <c r="DX131" t="s">
        <v>166</v>
      </c>
      <c r="DY131" t="s">
        <v>166</v>
      </c>
      <c r="DZ131" t="s">
        <v>210</v>
      </c>
      <c r="EA131" t="s">
        <v>361</v>
      </c>
      <c r="EB131" t="s">
        <v>212</v>
      </c>
      <c r="EC131" t="s">
        <v>166</v>
      </c>
      <c r="ED131" t="s">
        <v>213</v>
      </c>
      <c r="EE131" s="155" t="s">
        <v>214</v>
      </c>
      <c r="EF131" s="155" t="s">
        <v>214</v>
      </c>
      <c r="EG131">
        <v>1.0271999999999999</v>
      </c>
      <c r="EH131" t="s">
        <v>215</v>
      </c>
      <c r="EI131" t="s">
        <v>215</v>
      </c>
      <c r="EJ131" t="s">
        <v>216</v>
      </c>
      <c r="EK131" t="s">
        <v>215</v>
      </c>
      <c r="EL131" t="s">
        <v>215</v>
      </c>
      <c r="EM131" t="s">
        <v>217</v>
      </c>
      <c r="EN131" s="156" t="s">
        <v>214</v>
      </c>
      <c r="EO131" s="156" t="s">
        <v>214</v>
      </c>
      <c r="EP131" s="156" t="s">
        <v>214</v>
      </c>
      <c r="EQ131" s="156" t="s">
        <v>214</v>
      </c>
      <c r="ET131" t="s">
        <v>218</v>
      </c>
      <c r="EU131" t="s">
        <v>219</v>
      </c>
      <c r="EV131" t="s">
        <v>213</v>
      </c>
      <c r="EW131" t="s">
        <v>166</v>
      </c>
      <c r="EX131" t="s">
        <v>166</v>
      </c>
      <c r="EY131" t="s">
        <v>166</v>
      </c>
      <c r="EZ131" t="s">
        <v>166</v>
      </c>
      <c r="FA131" s="157">
        <v>4.5</v>
      </c>
      <c r="FB131" t="s">
        <v>220</v>
      </c>
      <c r="FC131" s="157">
        <v>1</v>
      </c>
      <c r="FD131" s="157">
        <v>1</v>
      </c>
      <c r="FE131" s="177">
        <v>7.4912494472120699</v>
      </c>
      <c r="FF131" t="s">
        <v>221</v>
      </c>
      <c r="FG131" s="177">
        <v>4.7270674324920492E-2</v>
      </c>
      <c r="FH131" s="177">
        <v>4.6799486672400192E-2</v>
      </c>
      <c r="FI131" s="178">
        <v>2076.6499461440303</v>
      </c>
      <c r="FK131" t="s">
        <v>166</v>
      </c>
      <c r="FL131" s="144">
        <f t="shared" si="79"/>
        <v>2076.6499461440303</v>
      </c>
      <c r="FM131" s="178">
        <v>623.6576544090899</v>
      </c>
      <c r="FN131" s="178">
        <v>504.18979529019043</v>
      </c>
      <c r="FO131" t="s">
        <v>222</v>
      </c>
      <c r="FP131" t="s">
        <v>223</v>
      </c>
      <c r="FQ131" s="144" t="s">
        <v>166</v>
      </c>
      <c r="FR131" s="144" t="s">
        <v>166</v>
      </c>
      <c r="FS131" s="144" t="s">
        <v>166</v>
      </c>
      <c r="FT131" s="144" t="s">
        <v>166</v>
      </c>
      <c r="FU131" s="144" t="s">
        <v>166</v>
      </c>
      <c r="FV131" s="144" t="s">
        <v>166</v>
      </c>
      <c r="FW131" s="144" t="s">
        <v>166</v>
      </c>
      <c r="FX131" s="144" t="s">
        <v>166</v>
      </c>
      <c r="FY131" s="144" t="s">
        <v>166</v>
      </c>
      <c r="FZ131" s="144" t="s">
        <v>166</v>
      </c>
      <c r="GA131" s="144" t="s">
        <v>166</v>
      </c>
      <c r="GB131" s="144" t="s">
        <v>166</v>
      </c>
      <c r="GC131" s="158" t="s">
        <v>362</v>
      </c>
    </row>
    <row r="132" spans="1:185" ht="16">
      <c r="A132" s="140" t="s">
        <v>162</v>
      </c>
      <c r="B132" s="143" t="s">
        <v>163</v>
      </c>
      <c r="C132" s="140" t="s">
        <v>164</v>
      </c>
      <c r="D132" s="140" t="s">
        <v>165</v>
      </c>
      <c r="E132" s="140">
        <v>2020</v>
      </c>
      <c r="F132" t="s">
        <v>184</v>
      </c>
      <c r="G132" s="139">
        <v>49990.741729736328</v>
      </c>
      <c r="H132" s="147">
        <f t="shared" ref="H132" si="133">0.0083*G132^(0.9482)</f>
        <v>236.90007197949859</v>
      </c>
      <c r="I132" s="147">
        <f t="shared" si="67"/>
        <v>236.90007197949859</v>
      </c>
      <c r="J132" s="144">
        <v>1491.93193944261</v>
      </c>
      <c r="K132" s="144">
        <v>477.80112759268013</v>
      </c>
      <c r="L132" s="144">
        <v>360.5176635048299</v>
      </c>
      <c r="M132" t="b">
        <v>1</v>
      </c>
      <c r="N132">
        <v>3</v>
      </c>
      <c r="O132" s="140" t="s">
        <v>185</v>
      </c>
      <c r="P132" s="140" t="s">
        <v>166</v>
      </c>
      <c r="Q132" s="140" t="s">
        <v>166</v>
      </c>
      <c r="R132" s="140" t="s">
        <v>166</v>
      </c>
      <c r="S132" s="140" t="b">
        <v>1</v>
      </c>
      <c r="T132" s="140" t="b">
        <v>0</v>
      </c>
      <c r="U132" s="140" t="s">
        <v>166</v>
      </c>
      <c r="V132" s="140" t="b">
        <v>0</v>
      </c>
      <c r="W132" s="140" t="b">
        <v>0</v>
      </c>
      <c r="X132" s="140" t="s">
        <v>580</v>
      </c>
      <c r="Y132" s="148" t="s">
        <v>186</v>
      </c>
      <c r="Z132" t="s">
        <v>184</v>
      </c>
      <c r="AA132" s="149">
        <v>1409</v>
      </c>
      <c r="AB132" s="149" t="s">
        <v>250</v>
      </c>
      <c r="AC132" s="149">
        <v>13</v>
      </c>
      <c r="AD132" s="149" t="s">
        <v>309</v>
      </c>
      <c r="AE132" t="s">
        <v>166</v>
      </c>
      <c r="AF132" t="s">
        <v>166</v>
      </c>
      <c r="AG132" s="150">
        <v>116.28</v>
      </c>
      <c r="AH132" t="s">
        <v>166</v>
      </c>
      <c r="AI132" t="s">
        <v>166</v>
      </c>
      <c r="AJ132" t="s">
        <v>310</v>
      </c>
      <c r="AK132">
        <v>41.295653000000001</v>
      </c>
      <c r="AL132">
        <v>-49.233088000000002</v>
      </c>
      <c r="AM132">
        <v>30.938451766967773</v>
      </c>
      <c r="AN132" t="s">
        <v>166</v>
      </c>
      <c r="AO132">
        <v>-3500</v>
      </c>
      <c r="AP132">
        <v>-3050</v>
      </c>
      <c r="AQ132" t="s">
        <v>317</v>
      </c>
      <c r="AR132" t="s">
        <v>166</v>
      </c>
      <c r="AS132" s="150">
        <v>49.990741729736328</v>
      </c>
      <c r="AT132" t="s">
        <v>166</v>
      </c>
      <c r="AU132" t="s">
        <v>166</v>
      </c>
      <c r="AV132" t="s">
        <v>166</v>
      </c>
      <c r="AW132" t="s">
        <v>166</v>
      </c>
      <c r="AX132" t="s">
        <v>166</v>
      </c>
      <c r="AY132" t="s">
        <v>190</v>
      </c>
      <c r="AZ132" t="s">
        <v>166</v>
      </c>
      <c r="BA132" t="s">
        <v>166</v>
      </c>
      <c r="BB132" t="s">
        <v>166</v>
      </c>
      <c r="BC132" t="s">
        <v>166</v>
      </c>
      <c r="BD132" t="s">
        <v>166</v>
      </c>
      <c r="BE132" t="s">
        <v>166</v>
      </c>
      <c r="BF132" t="s">
        <v>166</v>
      </c>
      <c r="BG132" s="151" t="s">
        <v>318</v>
      </c>
      <c r="BH132" s="149" t="s">
        <v>192</v>
      </c>
      <c r="BI132" t="s">
        <v>166</v>
      </c>
      <c r="BJ132" s="152" t="s">
        <v>166</v>
      </c>
      <c r="BK132" t="s">
        <v>319</v>
      </c>
      <c r="BL132" t="s">
        <v>194</v>
      </c>
      <c r="BM132" t="s">
        <v>195</v>
      </c>
      <c r="BN132" t="s">
        <v>166</v>
      </c>
      <c r="BO132" t="s">
        <v>166</v>
      </c>
      <c r="BP132" t="s">
        <v>166</v>
      </c>
      <c r="BQ132" s="150">
        <v>13.695230774905781</v>
      </c>
      <c r="BR132" t="s">
        <v>196</v>
      </c>
      <c r="BS132" s="150">
        <v>0.24693781753887656</v>
      </c>
      <c r="BT132">
        <v>0.88</v>
      </c>
      <c r="BU132" t="s">
        <v>197</v>
      </c>
      <c r="BV132" t="s">
        <v>166</v>
      </c>
      <c r="BW132">
        <v>1.748</v>
      </c>
      <c r="BX132" t="s">
        <v>197</v>
      </c>
      <c r="BY132" t="s">
        <v>166</v>
      </c>
      <c r="BZ132" t="s">
        <v>419</v>
      </c>
      <c r="CA132" t="s">
        <v>360</v>
      </c>
      <c r="CB132" s="150">
        <f t="shared" si="78"/>
        <v>13.799803081917087</v>
      </c>
      <c r="CC132" t="s">
        <v>196</v>
      </c>
      <c r="CD132" s="150">
        <v>0.24693781753887656</v>
      </c>
      <c r="CE132" t="s">
        <v>199</v>
      </c>
      <c r="CF132" t="s">
        <v>166</v>
      </c>
      <c r="CG132" t="s">
        <v>200</v>
      </c>
      <c r="CH132" t="s">
        <v>166</v>
      </c>
      <c r="CI132" t="s">
        <v>166</v>
      </c>
      <c r="CJ132" s="139">
        <v>30.853221280326625</v>
      </c>
      <c r="CK132" t="s">
        <v>201</v>
      </c>
      <c r="CL132">
        <v>2</v>
      </c>
      <c r="CM132">
        <v>2</v>
      </c>
      <c r="CN132" t="s">
        <v>166</v>
      </c>
      <c r="CO132" s="139">
        <v>3.0960632961238761</v>
      </c>
      <c r="CP132" t="s">
        <v>166</v>
      </c>
      <c r="CQ132" t="s">
        <v>166</v>
      </c>
      <c r="CR132" t="s">
        <v>166</v>
      </c>
      <c r="CS132" s="153" t="s">
        <v>202</v>
      </c>
      <c r="CT132" t="s">
        <v>203</v>
      </c>
      <c r="CU132">
        <v>2.2000000000000002</v>
      </c>
      <c r="CV132" t="s">
        <v>204</v>
      </c>
      <c r="CW132" t="s">
        <v>166</v>
      </c>
      <c r="CX132" t="s">
        <v>166</v>
      </c>
      <c r="CY132" t="s">
        <v>166</v>
      </c>
      <c r="CZ132" t="s">
        <v>166</v>
      </c>
      <c r="DA132" s="154" t="s">
        <v>166</v>
      </c>
      <c r="DB132" t="s">
        <v>166</v>
      </c>
      <c r="DC132" t="s">
        <v>166</v>
      </c>
      <c r="DD132" t="s">
        <v>166</v>
      </c>
      <c r="DE132" t="s">
        <v>166</v>
      </c>
      <c r="DF132" t="s">
        <v>205</v>
      </c>
      <c r="DG132">
        <v>35</v>
      </c>
      <c r="DH132" t="s">
        <v>201</v>
      </c>
      <c r="DI132">
        <v>1</v>
      </c>
      <c r="DJ132" t="s">
        <v>206</v>
      </c>
      <c r="DK132">
        <v>17</v>
      </c>
      <c r="DL132" t="s">
        <v>166</v>
      </c>
      <c r="DM132" t="s">
        <v>166</v>
      </c>
      <c r="DN132" t="s">
        <v>207</v>
      </c>
      <c r="DO132">
        <v>38</v>
      </c>
      <c r="DP132" t="s">
        <v>208</v>
      </c>
      <c r="DQ132">
        <v>3</v>
      </c>
      <c r="DR132" t="s">
        <v>209</v>
      </c>
      <c r="DS132" t="s">
        <v>166</v>
      </c>
      <c r="DT132" t="s">
        <v>166</v>
      </c>
      <c r="DU132" t="s">
        <v>166</v>
      </c>
      <c r="DV132" t="s">
        <v>166</v>
      </c>
      <c r="DW132">
        <v>432.6</v>
      </c>
      <c r="DX132" t="s">
        <v>166</v>
      </c>
      <c r="DY132" t="s">
        <v>166</v>
      </c>
      <c r="DZ132" t="s">
        <v>210</v>
      </c>
      <c r="EA132" t="s">
        <v>361</v>
      </c>
      <c r="EB132" t="s">
        <v>212</v>
      </c>
      <c r="EC132" t="s">
        <v>166</v>
      </c>
      <c r="ED132" t="s">
        <v>213</v>
      </c>
      <c r="EE132" s="155" t="s">
        <v>214</v>
      </c>
      <c r="EF132" s="155" t="s">
        <v>214</v>
      </c>
      <c r="EG132">
        <v>1.0271999999999999</v>
      </c>
      <c r="EH132" t="s">
        <v>215</v>
      </c>
      <c r="EI132" t="s">
        <v>215</v>
      </c>
      <c r="EJ132" t="s">
        <v>216</v>
      </c>
      <c r="EK132" t="s">
        <v>215</v>
      </c>
      <c r="EL132" t="s">
        <v>215</v>
      </c>
      <c r="EM132" t="s">
        <v>217</v>
      </c>
      <c r="EN132" s="156" t="s">
        <v>214</v>
      </c>
      <c r="EO132" s="156" t="s">
        <v>214</v>
      </c>
      <c r="EP132" s="156" t="s">
        <v>214</v>
      </c>
      <c r="EQ132" s="156" t="s">
        <v>214</v>
      </c>
      <c r="ET132" t="s">
        <v>218</v>
      </c>
      <c r="EU132" t="s">
        <v>219</v>
      </c>
      <c r="EV132" t="s">
        <v>213</v>
      </c>
      <c r="EW132" t="s">
        <v>166</v>
      </c>
      <c r="EX132" t="s">
        <v>166</v>
      </c>
      <c r="EY132" t="s">
        <v>166</v>
      </c>
      <c r="EZ132" t="s">
        <v>166</v>
      </c>
      <c r="FA132" s="157">
        <v>4.5</v>
      </c>
      <c r="FB132" t="s">
        <v>220</v>
      </c>
      <c r="FC132" s="157">
        <v>1</v>
      </c>
      <c r="FD132" s="157">
        <v>1</v>
      </c>
      <c r="FE132" s="177">
        <v>7.5009926514406997</v>
      </c>
      <c r="FF132" t="s">
        <v>221</v>
      </c>
      <c r="FG132" s="177">
        <v>4.5283382080400614E-2</v>
      </c>
      <c r="FH132" s="177">
        <v>5.0438861924659406E-2</v>
      </c>
      <c r="FI132" s="178">
        <v>2112.0214367649601</v>
      </c>
      <c r="FK132" t="s">
        <v>166</v>
      </c>
      <c r="FL132" s="144">
        <f t="shared" si="79"/>
        <v>2112.0214367649601</v>
      </c>
      <c r="FM132" s="178">
        <v>620.01646601129005</v>
      </c>
      <c r="FN132" s="178">
        <v>510.41635150942011</v>
      </c>
      <c r="FO132" t="s">
        <v>222</v>
      </c>
      <c r="FP132" t="s">
        <v>223</v>
      </c>
      <c r="FQ132" s="144" t="s">
        <v>166</v>
      </c>
      <c r="FR132" s="144" t="s">
        <v>166</v>
      </c>
      <c r="FS132" s="144" t="s">
        <v>166</v>
      </c>
      <c r="FT132" s="144" t="s">
        <v>166</v>
      </c>
      <c r="FU132" s="144" t="s">
        <v>166</v>
      </c>
      <c r="FV132" s="144" t="s">
        <v>166</v>
      </c>
      <c r="FW132" s="144" t="s">
        <v>166</v>
      </c>
      <c r="FX132" s="144" t="s">
        <v>166</v>
      </c>
      <c r="FY132" s="144" t="s">
        <v>166</v>
      </c>
      <c r="FZ132" s="144" t="s">
        <v>166</v>
      </c>
      <c r="GA132" s="144" t="s">
        <v>166</v>
      </c>
      <c r="GB132" s="144" t="s">
        <v>166</v>
      </c>
      <c r="GC132" s="158" t="s">
        <v>362</v>
      </c>
    </row>
    <row r="133" spans="1:185" ht="16">
      <c r="A133" s="140" t="s">
        <v>162</v>
      </c>
      <c r="B133" s="143" t="s">
        <v>163</v>
      </c>
      <c r="C133" s="140" t="s">
        <v>164</v>
      </c>
      <c r="D133" s="140" t="s">
        <v>165</v>
      </c>
      <c r="E133" s="140">
        <v>2020</v>
      </c>
      <c r="F133" t="s">
        <v>184</v>
      </c>
      <c r="G133" s="139">
        <v>50541.614532470703</v>
      </c>
      <c r="H133" s="147">
        <f t="shared" ref="H133" si="134">0.0083*G133^(0.9482)</f>
        <v>239.37466283184472</v>
      </c>
      <c r="I133" s="147">
        <f t="shared" ref="I133:I158" si="135">0.0083*G133^(0.9482)</f>
        <v>239.37466283184472</v>
      </c>
      <c r="J133" s="144">
        <v>2127.5920369578703</v>
      </c>
      <c r="K133" s="144">
        <v>689.82867473878969</v>
      </c>
      <c r="L133" s="144">
        <v>539.58945368960008</v>
      </c>
      <c r="M133" t="b">
        <v>1</v>
      </c>
      <c r="N133">
        <v>3</v>
      </c>
      <c r="O133" s="140" t="s">
        <v>185</v>
      </c>
      <c r="P133" s="140" t="s">
        <v>166</v>
      </c>
      <c r="Q133" s="140" t="s">
        <v>166</v>
      </c>
      <c r="R133" s="140" t="s">
        <v>166</v>
      </c>
      <c r="S133" s="140" t="b">
        <v>1</v>
      </c>
      <c r="T133" s="140" t="b">
        <v>0</v>
      </c>
      <c r="U133" s="140" t="s">
        <v>166</v>
      </c>
      <c r="V133" s="140" t="b">
        <v>0</v>
      </c>
      <c r="W133" s="140" t="b">
        <v>0</v>
      </c>
      <c r="X133" s="140" t="s">
        <v>580</v>
      </c>
      <c r="Y133" s="148" t="s">
        <v>186</v>
      </c>
      <c r="Z133" t="s">
        <v>184</v>
      </c>
      <c r="AA133" s="149">
        <v>1409</v>
      </c>
      <c r="AB133" s="149" t="s">
        <v>233</v>
      </c>
      <c r="AC133" s="149">
        <v>13</v>
      </c>
      <c r="AD133" s="149">
        <v>3</v>
      </c>
      <c r="AE133" t="s">
        <v>166</v>
      </c>
      <c r="AF133" t="s">
        <v>166</v>
      </c>
      <c r="AG133" s="149">
        <v>116.46</v>
      </c>
      <c r="AH133" t="s">
        <v>166</v>
      </c>
      <c r="AI133" t="s">
        <v>166</v>
      </c>
      <c r="AJ133" t="s">
        <v>310</v>
      </c>
      <c r="AK133">
        <v>41.295822000000001</v>
      </c>
      <c r="AL133">
        <v>-49.233086999999998</v>
      </c>
      <c r="AM133">
        <v>30.950828552246094</v>
      </c>
      <c r="AN133" t="s">
        <v>166</v>
      </c>
      <c r="AO133">
        <v>-3500</v>
      </c>
      <c r="AP133">
        <v>-3050</v>
      </c>
      <c r="AQ133" t="s">
        <v>320</v>
      </c>
      <c r="AR133" t="s">
        <v>166</v>
      </c>
      <c r="AS133" s="164">
        <v>50.541614532470703</v>
      </c>
      <c r="AT133" t="s">
        <v>166</v>
      </c>
      <c r="AU133" t="s">
        <v>166</v>
      </c>
      <c r="AV133" t="s">
        <v>166</v>
      </c>
      <c r="AW133" t="s">
        <v>166</v>
      </c>
      <c r="AX133" t="s">
        <v>166</v>
      </c>
      <c r="AY133" t="s">
        <v>190</v>
      </c>
      <c r="AZ133" t="s">
        <v>166</v>
      </c>
      <c r="BA133" t="s">
        <v>166</v>
      </c>
      <c r="BB133" t="s">
        <v>166</v>
      </c>
      <c r="BC133" t="s">
        <v>166</v>
      </c>
      <c r="BD133" t="s">
        <v>166</v>
      </c>
      <c r="BE133" t="s">
        <v>166</v>
      </c>
      <c r="BF133" t="s">
        <v>166</v>
      </c>
      <c r="BG133" s="151" t="s">
        <v>321</v>
      </c>
      <c r="BH133" s="149" t="s">
        <v>192</v>
      </c>
      <c r="BI133" t="s">
        <v>166</v>
      </c>
      <c r="BJ133" s="152" t="s">
        <v>166</v>
      </c>
      <c r="BK133" t="s">
        <v>322</v>
      </c>
      <c r="BL133" t="s">
        <v>194</v>
      </c>
      <c r="BM133" t="s">
        <v>195</v>
      </c>
      <c r="BN133" t="s">
        <v>166</v>
      </c>
      <c r="BO133" t="s">
        <v>166</v>
      </c>
      <c r="BP133" t="s">
        <v>166</v>
      </c>
      <c r="BQ133" s="150">
        <v>13.372273385680455</v>
      </c>
      <c r="BR133" t="s">
        <v>196</v>
      </c>
      <c r="BS133" s="150">
        <v>0.2614169957038589</v>
      </c>
      <c r="BT133">
        <v>0.88</v>
      </c>
      <c r="BU133" t="s">
        <v>197</v>
      </c>
      <c r="BV133" t="s">
        <v>166</v>
      </c>
      <c r="BW133">
        <v>1.748</v>
      </c>
      <c r="BX133" t="s">
        <v>197</v>
      </c>
      <c r="BY133" t="s">
        <v>166</v>
      </c>
      <c r="BZ133" t="s">
        <v>420</v>
      </c>
      <c r="CA133" t="s">
        <v>360</v>
      </c>
      <c r="CB133" s="150">
        <f t="shared" si="78"/>
        <v>13.5156005793988</v>
      </c>
      <c r="CC133" t="s">
        <v>196</v>
      </c>
      <c r="CD133" s="150">
        <v>0.2614169957038589</v>
      </c>
      <c r="CE133" t="s">
        <v>199</v>
      </c>
      <c r="CF133" t="s">
        <v>166</v>
      </c>
      <c r="CG133" t="s">
        <v>200</v>
      </c>
      <c r="CH133" t="s">
        <v>166</v>
      </c>
      <c r="CI133" t="s">
        <v>166</v>
      </c>
      <c r="CJ133" s="139">
        <v>35.030249291114927</v>
      </c>
      <c r="CK133" t="s">
        <v>201</v>
      </c>
      <c r="CL133">
        <v>2</v>
      </c>
      <c r="CM133">
        <v>2</v>
      </c>
      <c r="CN133" t="s">
        <v>166</v>
      </c>
      <c r="CO133" s="139">
        <v>3.9179376544617264</v>
      </c>
      <c r="CP133" t="s">
        <v>166</v>
      </c>
      <c r="CQ133" t="s">
        <v>166</v>
      </c>
      <c r="CR133" t="s">
        <v>166</v>
      </c>
      <c r="CS133" s="153" t="s">
        <v>202</v>
      </c>
      <c r="CT133" t="s">
        <v>203</v>
      </c>
      <c r="CU133">
        <v>2.2000000000000002</v>
      </c>
      <c r="CV133" t="s">
        <v>204</v>
      </c>
      <c r="CW133" t="s">
        <v>166</v>
      </c>
      <c r="CX133" t="s">
        <v>166</v>
      </c>
      <c r="CY133" t="s">
        <v>166</v>
      </c>
      <c r="CZ133" t="s">
        <v>166</v>
      </c>
      <c r="DA133" s="154" t="s">
        <v>166</v>
      </c>
      <c r="DB133" t="s">
        <v>166</v>
      </c>
      <c r="DC133" t="s">
        <v>166</v>
      </c>
      <c r="DD133" t="s">
        <v>166</v>
      </c>
      <c r="DE133" t="s">
        <v>166</v>
      </c>
      <c r="DF133" t="s">
        <v>205</v>
      </c>
      <c r="DG133">
        <v>35</v>
      </c>
      <c r="DH133" t="s">
        <v>201</v>
      </c>
      <c r="DI133">
        <v>1</v>
      </c>
      <c r="DJ133" t="s">
        <v>206</v>
      </c>
      <c r="DK133">
        <v>17</v>
      </c>
      <c r="DL133" t="s">
        <v>166</v>
      </c>
      <c r="DM133" t="s">
        <v>166</v>
      </c>
      <c r="DN133" t="s">
        <v>207</v>
      </c>
      <c r="DO133">
        <v>38</v>
      </c>
      <c r="DP133" t="s">
        <v>208</v>
      </c>
      <c r="DQ133">
        <v>3</v>
      </c>
      <c r="DR133" t="s">
        <v>209</v>
      </c>
      <c r="DS133" t="s">
        <v>166</v>
      </c>
      <c r="DT133" t="s">
        <v>166</v>
      </c>
      <c r="DU133" t="s">
        <v>166</v>
      </c>
      <c r="DV133" t="s">
        <v>166</v>
      </c>
      <c r="DW133">
        <v>432.6</v>
      </c>
      <c r="DX133" t="s">
        <v>166</v>
      </c>
      <c r="DY133" t="s">
        <v>166</v>
      </c>
      <c r="DZ133" t="s">
        <v>210</v>
      </c>
      <c r="EA133" t="s">
        <v>361</v>
      </c>
      <c r="EB133" t="s">
        <v>212</v>
      </c>
      <c r="EC133" t="s">
        <v>166</v>
      </c>
      <c r="ED133" t="s">
        <v>213</v>
      </c>
      <c r="EE133" s="155" t="s">
        <v>214</v>
      </c>
      <c r="EF133" s="155" t="s">
        <v>214</v>
      </c>
      <c r="EG133">
        <v>1.0271999999999999</v>
      </c>
      <c r="EH133" t="s">
        <v>215</v>
      </c>
      <c r="EI133" t="s">
        <v>215</v>
      </c>
      <c r="EJ133" t="s">
        <v>216</v>
      </c>
      <c r="EK133" t="s">
        <v>215</v>
      </c>
      <c r="EL133" t="s">
        <v>215</v>
      </c>
      <c r="EM133" t="s">
        <v>217</v>
      </c>
      <c r="EN133" s="156" t="s">
        <v>214</v>
      </c>
      <c r="EO133" s="156" t="s">
        <v>214</v>
      </c>
      <c r="EP133" s="156" t="s">
        <v>214</v>
      </c>
      <c r="EQ133" s="156" t="s">
        <v>214</v>
      </c>
      <c r="ET133" t="s">
        <v>218</v>
      </c>
      <c r="EU133" t="s">
        <v>219</v>
      </c>
      <c r="EV133" t="s">
        <v>213</v>
      </c>
      <c r="EW133" t="s">
        <v>166</v>
      </c>
      <c r="EX133" t="s">
        <v>166</v>
      </c>
      <c r="EY133" t="s">
        <v>166</v>
      </c>
      <c r="EZ133" t="s">
        <v>166</v>
      </c>
      <c r="FA133" s="157">
        <v>4.5</v>
      </c>
      <c r="FB133" t="s">
        <v>220</v>
      </c>
      <c r="FC133" s="157">
        <v>1</v>
      </c>
      <c r="FD133" s="157">
        <v>1</v>
      </c>
      <c r="FE133" s="179">
        <v>7.3717675925008903</v>
      </c>
      <c r="FF133" t="s">
        <v>221</v>
      </c>
      <c r="FG133" s="179">
        <v>5.6520467394549634E-2</v>
      </c>
      <c r="FH133" s="179">
        <v>6.5184536537560511E-2</v>
      </c>
      <c r="FI133" s="178">
        <v>3326.2716313311798</v>
      </c>
      <c r="FK133" t="s">
        <v>166</v>
      </c>
      <c r="FL133" s="144">
        <f t="shared" si="79"/>
        <v>3326.2716313311798</v>
      </c>
      <c r="FM133" s="178">
        <v>1238.9813652118105</v>
      </c>
      <c r="FN133" s="178">
        <v>902.92527450937996</v>
      </c>
      <c r="FO133" t="s">
        <v>222</v>
      </c>
      <c r="FP133" t="s">
        <v>223</v>
      </c>
      <c r="FQ133" s="144" t="s">
        <v>166</v>
      </c>
      <c r="FR133" s="144" t="s">
        <v>166</v>
      </c>
      <c r="FS133" s="144" t="s">
        <v>166</v>
      </c>
      <c r="FT133" s="144" t="s">
        <v>166</v>
      </c>
      <c r="FU133" s="144" t="s">
        <v>166</v>
      </c>
      <c r="FV133" s="144" t="s">
        <v>166</v>
      </c>
      <c r="FW133" s="144" t="s">
        <v>166</v>
      </c>
      <c r="FX133" s="144" t="s">
        <v>166</v>
      </c>
      <c r="FY133" s="144" t="s">
        <v>166</v>
      </c>
      <c r="FZ133" s="144" t="s">
        <v>166</v>
      </c>
      <c r="GA133" s="144" t="s">
        <v>166</v>
      </c>
      <c r="GB133" s="144" t="s">
        <v>166</v>
      </c>
      <c r="GC133" s="158" t="s">
        <v>362</v>
      </c>
    </row>
    <row r="134" spans="1:185" ht="16">
      <c r="A134" s="140" t="s">
        <v>162</v>
      </c>
      <c r="B134" s="143" t="s">
        <v>163</v>
      </c>
      <c r="C134" s="140" t="s">
        <v>164</v>
      </c>
      <c r="D134" s="140" t="s">
        <v>165</v>
      </c>
      <c r="E134" s="140">
        <v>2020</v>
      </c>
      <c r="F134" t="s">
        <v>184</v>
      </c>
      <c r="G134" s="139">
        <v>50593.761444091797</v>
      </c>
      <c r="H134" s="147">
        <f t="shared" ref="H134" si="136">0.0083*G134^(0.9482)</f>
        <v>239.60884078761902</v>
      </c>
      <c r="I134" s="147">
        <f t="shared" si="135"/>
        <v>239.60884078761902</v>
      </c>
      <c r="J134" s="144">
        <v>2157.3731131508898</v>
      </c>
      <c r="K134" s="144">
        <v>897.56889961700017</v>
      </c>
      <c r="L134" s="144">
        <v>592.08942858467003</v>
      </c>
      <c r="M134" t="b">
        <v>1</v>
      </c>
      <c r="N134">
        <v>3</v>
      </c>
      <c r="O134" s="140" t="s">
        <v>185</v>
      </c>
      <c r="P134" s="140" t="s">
        <v>166</v>
      </c>
      <c r="Q134" s="140" t="s">
        <v>166</v>
      </c>
      <c r="R134" s="140" t="s">
        <v>166</v>
      </c>
      <c r="S134" s="140" t="b">
        <v>1</v>
      </c>
      <c r="T134" s="140" t="b">
        <v>0</v>
      </c>
      <c r="U134" s="140" t="s">
        <v>166</v>
      </c>
      <c r="V134" s="140" t="b">
        <v>0</v>
      </c>
      <c r="W134" s="140" t="b">
        <v>0</v>
      </c>
      <c r="X134" s="140" t="s">
        <v>580</v>
      </c>
      <c r="Y134" s="148" t="s">
        <v>186</v>
      </c>
      <c r="Z134" t="s">
        <v>184</v>
      </c>
      <c r="AA134" s="149">
        <v>1409</v>
      </c>
      <c r="AB134" s="149" t="s">
        <v>233</v>
      </c>
      <c r="AC134" s="149">
        <v>13</v>
      </c>
      <c r="AD134" s="149">
        <v>3</v>
      </c>
      <c r="AE134" t="s">
        <v>166</v>
      </c>
      <c r="AF134" t="s">
        <v>166</v>
      </c>
      <c r="AG134" s="149">
        <v>117.01</v>
      </c>
      <c r="AH134" t="s">
        <v>166</v>
      </c>
      <c r="AI134" t="s">
        <v>166</v>
      </c>
      <c r="AJ134" t="s">
        <v>310</v>
      </c>
      <c r="AK134">
        <v>41.295822000000001</v>
      </c>
      <c r="AL134">
        <v>-49.233086999999998</v>
      </c>
      <c r="AM134">
        <v>30.951999664306641</v>
      </c>
      <c r="AN134" t="s">
        <v>166</v>
      </c>
      <c r="AO134">
        <v>-3500</v>
      </c>
      <c r="AP134">
        <v>-3050</v>
      </c>
      <c r="AQ134" t="s">
        <v>323</v>
      </c>
      <c r="AR134" t="s">
        <v>166</v>
      </c>
      <c r="AS134" s="164">
        <v>50.593761444091797</v>
      </c>
      <c r="AT134" t="s">
        <v>166</v>
      </c>
      <c r="AU134" t="s">
        <v>166</v>
      </c>
      <c r="AV134" t="s">
        <v>166</v>
      </c>
      <c r="AW134" t="s">
        <v>166</v>
      </c>
      <c r="AX134" t="s">
        <v>166</v>
      </c>
      <c r="AY134" t="s">
        <v>190</v>
      </c>
      <c r="AZ134" t="s">
        <v>166</v>
      </c>
      <c r="BA134" t="s">
        <v>166</v>
      </c>
      <c r="BB134" t="s">
        <v>166</v>
      </c>
      <c r="BC134" t="s">
        <v>166</v>
      </c>
      <c r="BD134" t="s">
        <v>166</v>
      </c>
      <c r="BE134" t="s">
        <v>166</v>
      </c>
      <c r="BF134" t="s">
        <v>166</v>
      </c>
      <c r="BG134" s="151" t="s">
        <v>321</v>
      </c>
      <c r="BH134" s="149" t="s">
        <v>192</v>
      </c>
      <c r="BI134" t="s">
        <v>166</v>
      </c>
      <c r="BJ134" s="152" t="s">
        <v>166</v>
      </c>
      <c r="BK134" t="s">
        <v>324</v>
      </c>
      <c r="BL134" t="s">
        <v>194</v>
      </c>
      <c r="BM134" t="s">
        <v>195</v>
      </c>
      <c r="BN134" t="s">
        <v>166</v>
      </c>
      <c r="BO134" t="s">
        <v>166</v>
      </c>
      <c r="BP134" t="s">
        <v>166</v>
      </c>
      <c r="BQ134" s="150">
        <v>13.330152370756281</v>
      </c>
      <c r="BR134" t="s">
        <v>196</v>
      </c>
      <c r="BS134" s="150">
        <v>0.33613498071287573</v>
      </c>
      <c r="BT134">
        <v>0.88</v>
      </c>
      <c r="BU134" t="s">
        <v>197</v>
      </c>
      <c r="BV134" t="s">
        <v>166</v>
      </c>
      <c r="BW134">
        <v>1.748</v>
      </c>
      <c r="BX134" t="s">
        <v>197</v>
      </c>
      <c r="BY134" t="s">
        <v>166</v>
      </c>
      <c r="BZ134" t="s">
        <v>421</v>
      </c>
      <c r="CA134" t="s">
        <v>360</v>
      </c>
      <c r="CB134" s="150">
        <f t="shared" si="78"/>
        <v>13.478534086265526</v>
      </c>
      <c r="CC134" t="s">
        <v>196</v>
      </c>
      <c r="CD134" s="150">
        <v>0.33613498071287573</v>
      </c>
      <c r="CE134" t="s">
        <v>199</v>
      </c>
      <c r="CF134" t="s">
        <v>166</v>
      </c>
      <c r="CG134" t="s">
        <v>200</v>
      </c>
      <c r="CH134" t="s">
        <v>166</v>
      </c>
      <c r="CI134" t="s">
        <v>166</v>
      </c>
      <c r="CJ134" s="139">
        <v>33.388010581099408</v>
      </c>
      <c r="CK134" t="s">
        <v>201</v>
      </c>
      <c r="CL134">
        <v>2</v>
      </c>
      <c r="CM134">
        <v>2</v>
      </c>
      <c r="CN134" t="s">
        <v>166</v>
      </c>
      <c r="CO134" s="139">
        <v>3.5715592464577948</v>
      </c>
      <c r="CP134" t="s">
        <v>166</v>
      </c>
      <c r="CQ134" t="s">
        <v>166</v>
      </c>
      <c r="CR134" t="s">
        <v>166</v>
      </c>
      <c r="CS134" s="153" t="s">
        <v>202</v>
      </c>
      <c r="CT134" t="s">
        <v>203</v>
      </c>
      <c r="CU134">
        <v>2.2000000000000002</v>
      </c>
      <c r="CV134" t="s">
        <v>204</v>
      </c>
      <c r="CW134" t="s">
        <v>166</v>
      </c>
      <c r="CX134" t="s">
        <v>166</v>
      </c>
      <c r="CY134" t="s">
        <v>166</v>
      </c>
      <c r="CZ134" t="s">
        <v>166</v>
      </c>
      <c r="DA134" s="154" t="s">
        <v>166</v>
      </c>
      <c r="DB134" t="s">
        <v>166</v>
      </c>
      <c r="DC134" t="s">
        <v>166</v>
      </c>
      <c r="DD134" t="s">
        <v>166</v>
      </c>
      <c r="DE134" t="s">
        <v>166</v>
      </c>
      <c r="DF134" t="s">
        <v>205</v>
      </c>
      <c r="DG134">
        <v>35</v>
      </c>
      <c r="DH134" t="s">
        <v>201</v>
      </c>
      <c r="DI134">
        <v>1</v>
      </c>
      <c r="DJ134" t="s">
        <v>206</v>
      </c>
      <c r="DK134">
        <v>17</v>
      </c>
      <c r="DL134" t="s">
        <v>166</v>
      </c>
      <c r="DM134" t="s">
        <v>166</v>
      </c>
      <c r="DN134" t="s">
        <v>207</v>
      </c>
      <c r="DO134">
        <v>38</v>
      </c>
      <c r="DP134" t="s">
        <v>208</v>
      </c>
      <c r="DQ134">
        <v>3</v>
      </c>
      <c r="DR134" t="s">
        <v>209</v>
      </c>
      <c r="DS134" t="s">
        <v>166</v>
      </c>
      <c r="DT134" t="s">
        <v>166</v>
      </c>
      <c r="DU134" t="s">
        <v>166</v>
      </c>
      <c r="DV134" t="s">
        <v>166</v>
      </c>
      <c r="DW134">
        <v>432.6</v>
      </c>
      <c r="DX134" t="s">
        <v>166</v>
      </c>
      <c r="DY134" t="s">
        <v>166</v>
      </c>
      <c r="DZ134" t="s">
        <v>210</v>
      </c>
      <c r="EA134" t="s">
        <v>361</v>
      </c>
      <c r="EB134" t="s">
        <v>212</v>
      </c>
      <c r="EC134" t="s">
        <v>166</v>
      </c>
      <c r="ED134" t="s">
        <v>213</v>
      </c>
      <c r="EE134" s="155" t="s">
        <v>214</v>
      </c>
      <c r="EF134" s="155" t="s">
        <v>214</v>
      </c>
      <c r="EG134">
        <v>1.0271999999999999</v>
      </c>
      <c r="EH134" t="s">
        <v>215</v>
      </c>
      <c r="EI134" t="s">
        <v>215</v>
      </c>
      <c r="EJ134" t="s">
        <v>216</v>
      </c>
      <c r="EK134" t="s">
        <v>215</v>
      </c>
      <c r="EL134" t="s">
        <v>215</v>
      </c>
      <c r="EM134" t="s">
        <v>217</v>
      </c>
      <c r="EN134" s="156" t="s">
        <v>214</v>
      </c>
      <c r="EO134" s="156" t="s">
        <v>214</v>
      </c>
      <c r="EP134" s="156" t="s">
        <v>214</v>
      </c>
      <c r="EQ134" s="156" t="s">
        <v>214</v>
      </c>
      <c r="ET134" t="s">
        <v>218</v>
      </c>
      <c r="EU134" t="s">
        <v>219</v>
      </c>
      <c r="EV134" t="s">
        <v>213</v>
      </c>
      <c r="EW134" t="s">
        <v>166</v>
      </c>
      <c r="EX134" t="s">
        <v>166</v>
      </c>
      <c r="EY134" t="s">
        <v>166</v>
      </c>
      <c r="EZ134" t="s">
        <v>166</v>
      </c>
      <c r="FA134" s="157">
        <v>4.5</v>
      </c>
      <c r="FB134" t="s">
        <v>220</v>
      </c>
      <c r="FC134" s="157">
        <v>1</v>
      </c>
      <c r="FD134" s="157">
        <v>1</v>
      </c>
      <c r="FE134" s="179">
        <v>7.3800255986907297</v>
      </c>
      <c r="FF134" t="s">
        <v>221</v>
      </c>
      <c r="FG134" s="179">
        <v>6.4084577408070054E-2</v>
      </c>
      <c r="FH134" s="179">
        <v>7.7210093054209672E-2</v>
      </c>
      <c r="FI134" s="178">
        <v>3374.7119248251402</v>
      </c>
      <c r="FK134" t="s">
        <v>166</v>
      </c>
      <c r="FL134" s="144">
        <f t="shared" si="79"/>
        <v>3374.7119248251402</v>
      </c>
      <c r="FM134" s="178">
        <v>1551.2675863212298</v>
      </c>
      <c r="FN134" s="178">
        <v>957.98932064534029</v>
      </c>
      <c r="FO134" t="s">
        <v>222</v>
      </c>
      <c r="FP134" t="s">
        <v>223</v>
      </c>
      <c r="FQ134" s="144" t="s">
        <v>166</v>
      </c>
      <c r="FR134" s="144" t="s">
        <v>166</v>
      </c>
      <c r="FS134" s="144" t="s">
        <v>166</v>
      </c>
      <c r="FT134" s="144" t="s">
        <v>166</v>
      </c>
      <c r="FU134" s="144" t="s">
        <v>166</v>
      </c>
      <c r="FV134" s="144" t="s">
        <v>166</v>
      </c>
      <c r="FW134" s="144" t="s">
        <v>166</v>
      </c>
      <c r="FX134" s="144" t="s">
        <v>166</v>
      </c>
      <c r="FY134" s="144" t="s">
        <v>166</v>
      </c>
      <c r="FZ134" s="144" t="s">
        <v>166</v>
      </c>
      <c r="GA134" s="144" t="s">
        <v>166</v>
      </c>
      <c r="GB134" s="144" t="s">
        <v>166</v>
      </c>
      <c r="GC134" s="158" t="s">
        <v>362</v>
      </c>
    </row>
    <row r="135" spans="1:185" ht="16">
      <c r="A135" s="140" t="s">
        <v>162</v>
      </c>
      <c r="B135" s="143" t="s">
        <v>163</v>
      </c>
      <c r="C135" s="140" t="s">
        <v>164</v>
      </c>
      <c r="D135" s="140" t="s">
        <v>165</v>
      </c>
      <c r="E135" s="140">
        <v>2020</v>
      </c>
      <c r="F135" t="s">
        <v>184</v>
      </c>
      <c r="G135" s="139">
        <v>50603.240966796875</v>
      </c>
      <c r="H135" s="147">
        <f t="shared" ref="H135" si="137">0.0083*G135^(0.9482)</f>
        <v>239.65140946768045</v>
      </c>
      <c r="I135" s="147">
        <f t="shared" si="135"/>
        <v>239.65140946768045</v>
      </c>
      <c r="J135" s="144">
        <v>2117.7710702685999</v>
      </c>
      <c r="K135" s="144">
        <v>667.09896863242011</v>
      </c>
      <c r="L135" s="144">
        <v>535.37488827539983</v>
      </c>
      <c r="M135" t="b">
        <v>1</v>
      </c>
      <c r="N135">
        <v>3</v>
      </c>
      <c r="O135" s="140" t="s">
        <v>185</v>
      </c>
      <c r="P135" s="140" t="s">
        <v>166</v>
      </c>
      <c r="Q135" s="140" t="s">
        <v>166</v>
      </c>
      <c r="R135" s="140" t="s">
        <v>166</v>
      </c>
      <c r="S135" s="140" t="b">
        <v>1</v>
      </c>
      <c r="T135" s="140" t="b">
        <v>0</v>
      </c>
      <c r="U135" s="140" t="s">
        <v>166</v>
      </c>
      <c r="V135" s="140" t="b">
        <v>0</v>
      </c>
      <c r="W135" s="140" t="b">
        <v>0</v>
      </c>
      <c r="X135" s="140" t="s">
        <v>580</v>
      </c>
      <c r="Y135" s="148" t="s">
        <v>186</v>
      </c>
      <c r="Z135" t="s">
        <v>184</v>
      </c>
      <c r="AA135" s="149">
        <v>1409</v>
      </c>
      <c r="AB135" s="149" t="s">
        <v>233</v>
      </c>
      <c r="AC135" s="149">
        <v>13</v>
      </c>
      <c r="AD135" s="149">
        <v>3</v>
      </c>
      <c r="AE135" t="s">
        <v>166</v>
      </c>
      <c r="AF135" t="s">
        <v>166</v>
      </c>
      <c r="AG135" s="150">
        <v>117.11</v>
      </c>
      <c r="AH135" t="s">
        <v>166</v>
      </c>
      <c r="AI135" t="s">
        <v>166</v>
      </c>
      <c r="AJ135" t="s">
        <v>310</v>
      </c>
      <c r="AK135">
        <v>41.295822000000001</v>
      </c>
      <c r="AL135">
        <v>-49.233086999999998</v>
      </c>
      <c r="AM135">
        <v>30.952213287353516</v>
      </c>
      <c r="AN135" t="s">
        <v>166</v>
      </c>
      <c r="AO135">
        <v>-3500</v>
      </c>
      <c r="AP135">
        <v>-3050</v>
      </c>
      <c r="AQ135" t="s">
        <v>325</v>
      </c>
      <c r="AR135" t="s">
        <v>166</v>
      </c>
      <c r="AS135" s="150">
        <v>50.603240966796875</v>
      </c>
      <c r="AT135" t="s">
        <v>166</v>
      </c>
      <c r="AU135" t="s">
        <v>166</v>
      </c>
      <c r="AV135" t="s">
        <v>166</v>
      </c>
      <c r="AW135" t="s">
        <v>166</v>
      </c>
      <c r="AX135" t="s">
        <v>166</v>
      </c>
      <c r="AY135" t="s">
        <v>190</v>
      </c>
      <c r="AZ135" t="s">
        <v>166</v>
      </c>
      <c r="BA135" t="s">
        <v>166</v>
      </c>
      <c r="BB135" t="s">
        <v>166</v>
      </c>
      <c r="BC135" t="s">
        <v>166</v>
      </c>
      <c r="BD135" t="s">
        <v>166</v>
      </c>
      <c r="BE135" t="s">
        <v>166</v>
      </c>
      <c r="BF135" t="s">
        <v>166</v>
      </c>
      <c r="BG135" s="151" t="s">
        <v>321</v>
      </c>
      <c r="BH135" s="149" t="s">
        <v>192</v>
      </c>
      <c r="BI135" t="s">
        <v>166</v>
      </c>
      <c r="BJ135" s="152" t="s">
        <v>166</v>
      </c>
      <c r="BK135" t="s">
        <v>326</v>
      </c>
      <c r="BL135" t="s">
        <v>194</v>
      </c>
      <c r="BM135" t="s">
        <v>195</v>
      </c>
      <c r="BN135" t="s">
        <v>166</v>
      </c>
      <c r="BO135" t="s">
        <v>166</v>
      </c>
      <c r="BP135" t="s">
        <v>166</v>
      </c>
      <c r="BQ135" s="150">
        <v>13.368473332590337</v>
      </c>
      <c r="BR135" t="s">
        <v>196</v>
      </c>
      <c r="BS135" s="150">
        <v>0.26580191221131283</v>
      </c>
      <c r="BT135">
        <v>0.88</v>
      </c>
      <c r="BU135" t="s">
        <v>197</v>
      </c>
      <c r="BV135" t="s">
        <v>166</v>
      </c>
      <c r="BW135">
        <v>1.748</v>
      </c>
      <c r="BX135" t="s">
        <v>197</v>
      </c>
      <c r="BY135" t="s">
        <v>166</v>
      </c>
      <c r="BZ135" t="s">
        <v>422</v>
      </c>
      <c r="CA135" t="s">
        <v>360</v>
      </c>
      <c r="CB135" s="150">
        <f t="shared" si="78"/>
        <v>13.512256532679496</v>
      </c>
      <c r="CC135" t="s">
        <v>196</v>
      </c>
      <c r="CD135" s="150">
        <v>0.26580191221131283</v>
      </c>
      <c r="CE135" t="s">
        <v>199</v>
      </c>
      <c r="CF135" t="s">
        <v>166</v>
      </c>
      <c r="CG135" t="s">
        <v>200</v>
      </c>
      <c r="CH135" t="s">
        <v>166</v>
      </c>
      <c r="CI135" t="s">
        <v>166</v>
      </c>
      <c r="CJ135" s="139">
        <v>34.642799857854641</v>
      </c>
      <c r="CK135" t="s">
        <v>201</v>
      </c>
      <c r="CL135">
        <v>2</v>
      </c>
      <c r="CM135">
        <v>2</v>
      </c>
      <c r="CN135" t="s">
        <v>166</v>
      </c>
      <c r="CO135" s="139">
        <v>3.8333044310505988</v>
      </c>
      <c r="CP135" t="s">
        <v>166</v>
      </c>
      <c r="CQ135" t="s">
        <v>166</v>
      </c>
      <c r="CR135" t="s">
        <v>166</v>
      </c>
      <c r="CS135" s="153" t="s">
        <v>202</v>
      </c>
      <c r="CT135" t="s">
        <v>203</v>
      </c>
      <c r="CU135">
        <v>2.2000000000000002</v>
      </c>
      <c r="CV135" t="s">
        <v>204</v>
      </c>
      <c r="CW135" t="s">
        <v>166</v>
      </c>
      <c r="CX135" t="s">
        <v>166</v>
      </c>
      <c r="CY135" t="s">
        <v>166</v>
      </c>
      <c r="CZ135" t="s">
        <v>166</v>
      </c>
      <c r="DA135" s="154" t="s">
        <v>166</v>
      </c>
      <c r="DB135" t="s">
        <v>166</v>
      </c>
      <c r="DC135" t="s">
        <v>166</v>
      </c>
      <c r="DD135" t="s">
        <v>166</v>
      </c>
      <c r="DE135" t="s">
        <v>166</v>
      </c>
      <c r="DF135" t="s">
        <v>205</v>
      </c>
      <c r="DG135">
        <v>35</v>
      </c>
      <c r="DH135" t="s">
        <v>201</v>
      </c>
      <c r="DI135">
        <v>1</v>
      </c>
      <c r="DJ135" t="s">
        <v>206</v>
      </c>
      <c r="DK135">
        <v>17</v>
      </c>
      <c r="DL135" t="s">
        <v>166</v>
      </c>
      <c r="DM135" t="s">
        <v>166</v>
      </c>
      <c r="DN135" t="s">
        <v>207</v>
      </c>
      <c r="DO135">
        <v>38</v>
      </c>
      <c r="DP135" t="s">
        <v>208</v>
      </c>
      <c r="DQ135">
        <v>3</v>
      </c>
      <c r="DR135" t="s">
        <v>209</v>
      </c>
      <c r="DS135" t="s">
        <v>166</v>
      </c>
      <c r="DT135" t="s">
        <v>166</v>
      </c>
      <c r="DU135" t="s">
        <v>166</v>
      </c>
      <c r="DV135" t="s">
        <v>166</v>
      </c>
      <c r="DW135">
        <v>432.6</v>
      </c>
      <c r="DX135" t="s">
        <v>166</v>
      </c>
      <c r="DY135" t="s">
        <v>166</v>
      </c>
      <c r="DZ135" t="s">
        <v>210</v>
      </c>
      <c r="EA135" t="s">
        <v>361</v>
      </c>
      <c r="EB135" t="s">
        <v>212</v>
      </c>
      <c r="EC135" t="s">
        <v>166</v>
      </c>
      <c r="ED135" t="s">
        <v>213</v>
      </c>
      <c r="EE135" s="155" t="s">
        <v>214</v>
      </c>
      <c r="EF135" s="155" t="s">
        <v>214</v>
      </c>
      <c r="EG135">
        <v>1.0271999999999999</v>
      </c>
      <c r="EH135" t="s">
        <v>215</v>
      </c>
      <c r="EI135" t="s">
        <v>215</v>
      </c>
      <c r="EJ135" t="s">
        <v>216</v>
      </c>
      <c r="EK135" t="s">
        <v>215</v>
      </c>
      <c r="EL135" t="s">
        <v>215</v>
      </c>
      <c r="EM135" t="s">
        <v>217</v>
      </c>
      <c r="EN135" s="156" t="s">
        <v>214</v>
      </c>
      <c r="EO135" s="156" t="s">
        <v>214</v>
      </c>
      <c r="EP135" s="156" t="s">
        <v>214</v>
      </c>
      <c r="EQ135" s="156" t="s">
        <v>214</v>
      </c>
      <c r="ET135" t="s">
        <v>218</v>
      </c>
      <c r="EU135" t="s">
        <v>219</v>
      </c>
      <c r="EV135" t="s">
        <v>213</v>
      </c>
      <c r="EW135" t="s">
        <v>166</v>
      </c>
      <c r="EX135" t="s">
        <v>166</v>
      </c>
      <c r="EY135" t="s">
        <v>166</v>
      </c>
      <c r="EZ135" t="s">
        <v>166</v>
      </c>
      <c r="FA135" s="157">
        <v>4.5</v>
      </c>
      <c r="FB135" t="s">
        <v>220</v>
      </c>
      <c r="FC135" s="157">
        <v>1</v>
      </c>
      <c r="FD135" s="157">
        <v>1</v>
      </c>
      <c r="FE135" s="177">
        <v>7.3760300873073996</v>
      </c>
      <c r="FF135" t="s">
        <v>221</v>
      </c>
      <c r="FG135" s="177">
        <v>5.4807239915440675E-2</v>
      </c>
      <c r="FH135" s="177">
        <v>6.2327859339519343E-2</v>
      </c>
      <c r="FI135" s="178">
        <v>3328.8775631210497</v>
      </c>
      <c r="FK135" t="s">
        <v>166</v>
      </c>
      <c r="FL135" s="144">
        <f t="shared" si="79"/>
        <v>3328.8775631210497</v>
      </c>
      <c r="FM135" s="178">
        <v>1178.7110229201203</v>
      </c>
      <c r="FN135" s="178">
        <v>902.56319590032945</v>
      </c>
      <c r="FO135" t="s">
        <v>222</v>
      </c>
      <c r="FP135" t="s">
        <v>223</v>
      </c>
      <c r="FQ135" s="144" t="s">
        <v>166</v>
      </c>
      <c r="FR135" s="144" t="s">
        <v>166</v>
      </c>
      <c r="FS135" s="144" t="s">
        <v>166</v>
      </c>
      <c r="FT135" s="144" t="s">
        <v>166</v>
      </c>
      <c r="FU135" s="144" t="s">
        <v>166</v>
      </c>
      <c r="FV135" s="144" t="s">
        <v>166</v>
      </c>
      <c r="FW135" s="144" t="s">
        <v>166</v>
      </c>
      <c r="FX135" s="144" t="s">
        <v>166</v>
      </c>
      <c r="FY135" s="144" t="s">
        <v>166</v>
      </c>
      <c r="FZ135" s="144" t="s">
        <v>166</v>
      </c>
      <c r="GA135" s="144" t="s">
        <v>166</v>
      </c>
      <c r="GB135" s="144" t="s">
        <v>166</v>
      </c>
      <c r="GC135" s="158" t="s">
        <v>362</v>
      </c>
    </row>
    <row r="136" spans="1:185" ht="16">
      <c r="A136" s="140" t="s">
        <v>162</v>
      </c>
      <c r="B136" s="143" t="s">
        <v>163</v>
      </c>
      <c r="C136" s="140" t="s">
        <v>164</v>
      </c>
      <c r="D136" s="140" t="s">
        <v>165</v>
      </c>
      <c r="E136" s="140">
        <v>2020</v>
      </c>
      <c r="F136" t="s">
        <v>184</v>
      </c>
      <c r="G136" s="139">
        <v>50603.240966796875</v>
      </c>
      <c r="H136" s="147">
        <f t="shared" ref="H136" si="138">0.0083*G136^(0.9482)</f>
        <v>239.65140946768045</v>
      </c>
      <c r="I136" s="147">
        <f t="shared" si="135"/>
        <v>239.65140946768045</v>
      </c>
      <c r="J136" s="144">
        <v>2275.9119408039701</v>
      </c>
      <c r="K136" s="144">
        <v>912.06421989681985</v>
      </c>
      <c r="L136" s="144">
        <v>637.01482182532027</v>
      </c>
      <c r="M136" t="b">
        <v>1</v>
      </c>
      <c r="N136">
        <v>3</v>
      </c>
      <c r="O136" s="140" t="s">
        <v>185</v>
      </c>
      <c r="P136" s="140" t="s">
        <v>166</v>
      </c>
      <c r="Q136" s="140" t="s">
        <v>166</v>
      </c>
      <c r="R136" s="140" t="s">
        <v>166</v>
      </c>
      <c r="S136" s="140" t="b">
        <v>1</v>
      </c>
      <c r="T136" s="140" t="b">
        <v>0</v>
      </c>
      <c r="U136" s="140" t="s">
        <v>166</v>
      </c>
      <c r="V136" s="140" t="b">
        <v>0</v>
      </c>
      <c r="W136" s="140" t="b">
        <v>0</v>
      </c>
      <c r="X136" s="140" t="s">
        <v>580</v>
      </c>
      <c r="Y136" s="148" t="s">
        <v>186</v>
      </c>
      <c r="Z136" t="s">
        <v>184</v>
      </c>
      <c r="AA136" s="149">
        <v>1409</v>
      </c>
      <c r="AB136" s="149" t="s">
        <v>233</v>
      </c>
      <c r="AC136" s="149">
        <v>13</v>
      </c>
      <c r="AD136" s="149">
        <v>3</v>
      </c>
      <c r="AE136" t="s">
        <v>166</v>
      </c>
      <c r="AF136" t="s">
        <v>166</v>
      </c>
      <c r="AG136" s="150">
        <v>117.11</v>
      </c>
      <c r="AH136" t="s">
        <v>166</v>
      </c>
      <c r="AI136" t="s">
        <v>166</v>
      </c>
      <c r="AJ136" t="s">
        <v>310</v>
      </c>
      <c r="AK136">
        <v>41.295822000000001</v>
      </c>
      <c r="AL136">
        <v>-49.233086999999998</v>
      </c>
      <c r="AM136">
        <v>30.952213287353516</v>
      </c>
      <c r="AN136" t="s">
        <v>166</v>
      </c>
      <c r="AO136">
        <v>-3500</v>
      </c>
      <c r="AP136">
        <v>-3050</v>
      </c>
      <c r="AQ136" t="s">
        <v>327</v>
      </c>
      <c r="AR136" t="s">
        <v>166</v>
      </c>
      <c r="AS136" s="150">
        <v>50.603240966796875</v>
      </c>
      <c r="AT136" t="s">
        <v>166</v>
      </c>
      <c r="AU136" t="s">
        <v>166</v>
      </c>
      <c r="AV136" t="s">
        <v>166</v>
      </c>
      <c r="AW136" t="s">
        <v>166</v>
      </c>
      <c r="AX136" t="s">
        <v>166</v>
      </c>
      <c r="AY136" t="s">
        <v>190</v>
      </c>
      <c r="AZ136" t="s">
        <v>166</v>
      </c>
      <c r="BA136" t="s">
        <v>166</v>
      </c>
      <c r="BB136" t="s">
        <v>166</v>
      </c>
      <c r="BC136" t="s">
        <v>166</v>
      </c>
      <c r="BD136" t="s">
        <v>166</v>
      </c>
      <c r="BE136" t="s">
        <v>166</v>
      </c>
      <c r="BF136" t="s">
        <v>166</v>
      </c>
      <c r="BG136" s="151" t="s">
        <v>296</v>
      </c>
      <c r="BH136" s="149" t="s">
        <v>328</v>
      </c>
      <c r="BI136" t="s">
        <v>166</v>
      </c>
      <c r="BJ136" s="152" t="s">
        <v>166</v>
      </c>
      <c r="BK136" t="s">
        <v>329</v>
      </c>
      <c r="BL136" t="s">
        <v>194</v>
      </c>
      <c r="BM136" t="s">
        <v>195</v>
      </c>
      <c r="BN136" t="s">
        <v>166</v>
      </c>
      <c r="BO136" t="s">
        <v>166</v>
      </c>
      <c r="BP136" t="s">
        <v>166</v>
      </c>
      <c r="BQ136" s="150">
        <v>13.320068241964773</v>
      </c>
      <c r="BR136" t="s">
        <v>196</v>
      </c>
      <c r="BS136" s="150">
        <v>0.35580153901620371</v>
      </c>
      <c r="BT136">
        <v>0.88</v>
      </c>
      <c r="BU136" t="s">
        <v>197</v>
      </c>
      <c r="BV136" t="s">
        <v>166</v>
      </c>
      <c r="BW136">
        <v>1.748</v>
      </c>
      <c r="BX136" t="s">
        <v>197</v>
      </c>
      <c r="BY136" t="s">
        <v>166</v>
      </c>
      <c r="BZ136" t="s">
        <v>423</v>
      </c>
      <c r="CA136" t="s">
        <v>360</v>
      </c>
      <c r="CB136" s="150">
        <f t="shared" si="78"/>
        <v>13.469660052928999</v>
      </c>
      <c r="CC136" t="s">
        <v>196</v>
      </c>
      <c r="CD136" s="150">
        <v>0.35580153901620371</v>
      </c>
      <c r="CE136" t="s">
        <v>199</v>
      </c>
      <c r="CF136" t="s">
        <v>166</v>
      </c>
      <c r="CG136" t="s">
        <v>200</v>
      </c>
      <c r="CH136" t="s">
        <v>166</v>
      </c>
      <c r="CI136" t="s">
        <v>166</v>
      </c>
      <c r="CJ136" s="139">
        <v>36.136269059872944</v>
      </c>
      <c r="CK136" t="s">
        <v>201</v>
      </c>
      <c r="CL136">
        <v>2</v>
      </c>
      <c r="CM136">
        <v>2</v>
      </c>
      <c r="CN136" t="s">
        <v>166</v>
      </c>
      <c r="CO136" s="139">
        <v>4.1699544189740365</v>
      </c>
      <c r="CP136" t="s">
        <v>166</v>
      </c>
      <c r="CQ136" t="s">
        <v>166</v>
      </c>
      <c r="CR136" t="s">
        <v>166</v>
      </c>
      <c r="CS136" s="153" t="s">
        <v>202</v>
      </c>
      <c r="CT136" t="s">
        <v>203</v>
      </c>
      <c r="CU136">
        <v>2.2000000000000002</v>
      </c>
      <c r="CV136" t="s">
        <v>204</v>
      </c>
      <c r="CW136" t="s">
        <v>166</v>
      </c>
      <c r="CX136" t="s">
        <v>166</v>
      </c>
      <c r="CY136" t="s">
        <v>166</v>
      </c>
      <c r="CZ136" t="s">
        <v>166</v>
      </c>
      <c r="DA136" s="154" t="s">
        <v>166</v>
      </c>
      <c r="DB136" t="s">
        <v>166</v>
      </c>
      <c r="DC136" t="s">
        <v>166</v>
      </c>
      <c r="DD136" t="s">
        <v>166</v>
      </c>
      <c r="DE136" t="s">
        <v>166</v>
      </c>
      <c r="DF136" t="s">
        <v>205</v>
      </c>
      <c r="DG136">
        <v>35</v>
      </c>
      <c r="DH136" t="s">
        <v>201</v>
      </c>
      <c r="DI136">
        <v>1</v>
      </c>
      <c r="DJ136" t="s">
        <v>206</v>
      </c>
      <c r="DK136">
        <v>17</v>
      </c>
      <c r="DL136" t="s">
        <v>166</v>
      </c>
      <c r="DM136" t="s">
        <v>166</v>
      </c>
      <c r="DN136" t="s">
        <v>207</v>
      </c>
      <c r="DO136">
        <v>38</v>
      </c>
      <c r="DP136" t="s">
        <v>208</v>
      </c>
      <c r="DQ136">
        <v>3</v>
      </c>
      <c r="DR136" t="s">
        <v>209</v>
      </c>
      <c r="DS136" t="s">
        <v>166</v>
      </c>
      <c r="DT136" t="s">
        <v>166</v>
      </c>
      <c r="DU136" t="s">
        <v>166</v>
      </c>
      <c r="DV136" t="s">
        <v>166</v>
      </c>
      <c r="DW136">
        <v>432.6</v>
      </c>
      <c r="DX136" t="s">
        <v>166</v>
      </c>
      <c r="DY136" t="s">
        <v>166</v>
      </c>
      <c r="DZ136" t="s">
        <v>210</v>
      </c>
      <c r="EA136" t="s">
        <v>361</v>
      </c>
      <c r="EB136" t="s">
        <v>212</v>
      </c>
      <c r="EC136" t="s">
        <v>166</v>
      </c>
      <c r="ED136" t="s">
        <v>213</v>
      </c>
      <c r="EE136" s="155" t="s">
        <v>214</v>
      </c>
      <c r="EF136" s="155" t="s">
        <v>214</v>
      </c>
      <c r="EG136">
        <v>1.0271999999999999</v>
      </c>
      <c r="EH136" t="s">
        <v>215</v>
      </c>
      <c r="EI136" t="s">
        <v>215</v>
      </c>
      <c r="EJ136" t="s">
        <v>216</v>
      </c>
      <c r="EK136" t="s">
        <v>215</v>
      </c>
      <c r="EL136" t="s">
        <v>215</v>
      </c>
      <c r="EM136" t="s">
        <v>217</v>
      </c>
      <c r="EN136" s="156" t="s">
        <v>214</v>
      </c>
      <c r="EO136" s="156" t="s">
        <v>214</v>
      </c>
      <c r="EP136" s="156" t="s">
        <v>214</v>
      </c>
      <c r="EQ136" s="156" t="s">
        <v>214</v>
      </c>
      <c r="ET136" t="s">
        <v>218</v>
      </c>
      <c r="EU136" t="s">
        <v>219</v>
      </c>
      <c r="EV136" t="s">
        <v>213</v>
      </c>
      <c r="EW136" t="s">
        <v>166</v>
      </c>
      <c r="EX136" t="s">
        <v>166</v>
      </c>
      <c r="EY136" t="s">
        <v>166</v>
      </c>
      <c r="EZ136" t="s">
        <v>166</v>
      </c>
      <c r="FA136" s="157">
        <v>4.5</v>
      </c>
      <c r="FB136" t="s">
        <v>220</v>
      </c>
      <c r="FC136" s="157">
        <v>1</v>
      </c>
      <c r="FD136" s="157">
        <v>1</v>
      </c>
      <c r="FE136" s="177">
        <v>7.3415720588458004</v>
      </c>
      <c r="FF136" t="s">
        <v>221</v>
      </c>
      <c r="FG136" s="177">
        <v>7.312821686366977E-2</v>
      </c>
      <c r="FH136" s="177">
        <v>8.2710100073500215E-2</v>
      </c>
      <c r="FI136" s="178">
        <v>3690.3953194655796</v>
      </c>
      <c r="FK136" t="s">
        <v>166</v>
      </c>
      <c r="FL136" s="144">
        <f t="shared" si="79"/>
        <v>3690.3953194655796</v>
      </c>
      <c r="FM136" s="178">
        <v>1935.9094539646303</v>
      </c>
      <c r="FN136" s="178">
        <v>1147.0952245970097</v>
      </c>
      <c r="FO136" t="s">
        <v>222</v>
      </c>
      <c r="FP136" t="s">
        <v>223</v>
      </c>
      <c r="FQ136" s="144" t="s">
        <v>166</v>
      </c>
      <c r="FR136" s="144" t="s">
        <v>166</v>
      </c>
      <c r="FS136" s="144" t="s">
        <v>166</v>
      </c>
      <c r="FT136" s="144" t="s">
        <v>166</v>
      </c>
      <c r="FU136" s="144" t="s">
        <v>166</v>
      </c>
      <c r="FV136" s="144" t="s">
        <v>166</v>
      </c>
      <c r="FW136" s="144" t="s">
        <v>166</v>
      </c>
      <c r="FX136" s="144" t="s">
        <v>166</v>
      </c>
      <c r="FY136" s="144" t="s">
        <v>166</v>
      </c>
      <c r="FZ136" s="144" t="s">
        <v>166</v>
      </c>
      <c r="GA136" s="144" t="s">
        <v>166</v>
      </c>
      <c r="GB136" s="144" t="s">
        <v>166</v>
      </c>
      <c r="GC136" s="158" t="s">
        <v>362</v>
      </c>
    </row>
    <row r="137" spans="1:185" ht="16">
      <c r="A137" s="140" t="s">
        <v>162</v>
      </c>
      <c r="B137" s="143" t="s">
        <v>163</v>
      </c>
      <c r="C137" s="140" t="s">
        <v>164</v>
      </c>
      <c r="D137" s="140" t="s">
        <v>165</v>
      </c>
      <c r="E137" s="140">
        <v>2020</v>
      </c>
      <c r="F137" t="s">
        <v>184</v>
      </c>
      <c r="G137" s="139">
        <v>50622.203826904297</v>
      </c>
      <c r="H137" s="147">
        <f t="shared" ref="H137" si="139">0.0083*G137^(0.9482)</f>
        <v>239.73656271850717</v>
      </c>
      <c r="I137" s="147">
        <f t="shared" si="135"/>
        <v>239.73656271850717</v>
      </c>
      <c r="J137" s="144">
        <v>2164.9793580748196</v>
      </c>
      <c r="K137" s="144">
        <v>739.20987608547011</v>
      </c>
      <c r="L137" s="144">
        <v>558.78370637060948</v>
      </c>
      <c r="M137" t="b">
        <v>1</v>
      </c>
      <c r="N137">
        <v>3</v>
      </c>
      <c r="O137" s="140" t="s">
        <v>185</v>
      </c>
      <c r="P137" s="140" t="s">
        <v>166</v>
      </c>
      <c r="Q137" s="140" t="s">
        <v>166</v>
      </c>
      <c r="R137" s="140" t="s">
        <v>166</v>
      </c>
      <c r="S137" s="140" t="b">
        <v>1</v>
      </c>
      <c r="T137" s="140" t="b">
        <v>0</v>
      </c>
      <c r="U137" s="140" t="s">
        <v>166</v>
      </c>
      <c r="V137" s="140" t="b">
        <v>0</v>
      </c>
      <c r="W137" s="140" t="b">
        <v>0</v>
      </c>
      <c r="X137" s="140" t="s">
        <v>580</v>
      </c>
      <c r="Y137" s="148" t="s">
        <v>186</v>
      </c>
      <c r="Z137" t="s">
        <v>184</v>
      </c>
      <c r="AA137" s="149">
        <v>1409</v>
      </c>
      <c r="AB137" s="149" t="s">
        <v>233</v>
      </c>
      <c r="AC137" s="149">
        <v>13</v>
      </c>
      <c r="AD137" s="149">
        <v>4</v>
      </c>
      <c r="AE137" t="s">
        <v>166</v>
      </c>
      <c r="AF137" t="s">
        <v>166</v>
      </c>
      <c r="AG137" s="149">
        <v>117.31</v>
      </c>
      <c r="AH137" t="s">
        <v>166</v>
      </c>
      <c r="AI137" t="s">
        <v>166</v>
      </c>
      <c r="AJ137" t="s">
        <v>310</v>
      </c>
      <c r="AK137">
        <v>41.295822000000001</v>
      </c>
      <c r="AL137">
        <v>-49.233086999999998</v>
      </c>
      <c r="AM137">
        <v>30.952638626098633</v>
      </c>
      <c r="AN137" t="s">
        <v>166</v>
      </c>
      <c r="AO137">
        <v>-3500</v>
      </c>
      <c r="AP137">
        <v>-3050</v>
      </c>
      <c r="AQ137" t="s">
        <v>330</v>
      </c>
      <c r="AR137" t="s">
        <v>166</v>
      </c>
      <c r="AS137" s="164">
        <v>50.622203826904297</v>
      </c>
      <c r="AT137" t="s">
        <v>166</v>
      </c>
      <c r="AU137" t="s">
        <v>166</v>
      </c>
      <c r="AV137" t="s">
        <v>166</v>
      </c>
      <c r="AW137" t="s">
        <v>166</v>
      </c>
      <c r="AX137" t="s">
        <v>166</v>
      </c>
      <c r="AY137" t="s">
        <v>190</v>
      </c>
      <c r="AZ137" t="s">
        <v>166</v>
      </c>
      <c r="BA137" t="s">
        <v>166</v>
      </c>
      <c r="BB137" t="s">
        <v>166</v>
      </c>
      <c r="BC137" t="s">
        <v>166</v>
      </c>
      <c r="BD137" t="s">
        <v>166</v>
      </c>
      <c r="BE137" t="s">
        <v>166</v>
      </c>
      <c r="BF137" t="s">
        <v>166</v>
      </c>
      <c r="BG137" s="151" t="s">
        <v>321</v>
      </c>
      <c r="BH137" s="149" t="s">
        <v>192</v>
      </c>
      <c r="BI137" t="s">
        <v>166</v>
      </c>
      <c r="BJ137" s="152" t="s">
        <v>166</v>
      </c>
      <c r="BK137" t="s">
        <v>331</v>
      </c>
      <c r="BL137" t="s">
        <v>194</v>
      </c>
      <c r="BM137" t="s">
        <v>195</v>
      </c>
      <c r="BN137" t="s">
        <v>166</v>
      </c>
      <c r="BO137" t="s">
        <v>166</v>
      </c>
      <c r="BP137" t="s">
        <v>166</v>
      </c>
      <c r="BQ137" s="150">
        <v>13.339908155626585</v>
      </c>
      <c r="BR137" t="s">
        <v>196</v>
      </c>
      <c r="BS137" s="150">
        <v>0.25875744593347583</v>
      </c>
      <c r="BT137">
        <v>0.88</v>
      </c>
      <c r="BU137" t="s">
        <v>197</v>
      </c>
      <c r="BV137" t="s">
        <v>166</v>
      </c>
      <c r="BW137">
        <v>1.748</v>
      </c>
      <c r="BX137" t="s">
        <v>197</v>
      </c>
      <c r="BY137" t="s">
        <v>166</v>
      </c>
      <c r="BZ137" t="s">
        <v>424</v>
      </c>
      <c r="CA137" t="s">
        <v>360</v>
      </c>
      <c r="CB137" s="150">
        <f t="shared" si="78"/>
        <v>13.487119176951394</v>
      </c>
      <c r="CC137" t="s">
        <v>196</v>
      </c>
      <c r="CD137" s="150">
        <v>0.25875744593347583</v>
      </c>
      <c r="CE137" t="s">
        <v>199</v>
      </c>
      <c r="CF137" t="s">
        <v>166</v>
      </c>
      <c r="CG137" t="s">
        <v>200</v>
      </c>
      <c r="CH137" t="s">
        <v>166</v>
      </c>
      <c r="CI137" t="s">
        <v>166</v>
      </c>
      <c r="CJ137" s="139">
        <v>34.065914322002172</v>
      </c>
      <c r="CK137" t="s">
        <v>201</v>
      </c>
      <c r="CL137">
        <v>2</v>
      </c>
      <c r="CM137">
        <v>2</v>
      </c>
      <c r="CN137" t="s">
        <v>166</v>
      </c>
      <c r="CO137" s="139">
        <v>3.7106669472243103</v>
      </c>
      <c r="CP137" t="s">
        <v>166</v>
      </c>
      <c r="CQ137" t="s">
        <v>166</v>
      </c>
      <c r="CR137" t="s">
        <v>166</v>
      </c>
      <c r="CS137" s="153" t="s">
        <v>202</v>
      </c>
      <c r="CT137" t="s">
        <v>203</v>
      </c>
      <c r="CU137">
        <v>2.2000000000000002</v>
      </c>
      <c r="CV137" t="s">
        <v>204</v>
      </c>
      <c r="CW137" t="s">
        <v>166</v>
      </c>
      <c r="CX137" t="s">
        <v>166</v>
      </c>
      <c r="CY137" t="s">
        <v>166</v>
      </c>
      <c r="CZ137" t="s">
        <v>166</v>
      </c>
      <c r="DA137" s="154" t="s">
        <v>166</v>
      </c>
      <c r="DB137" t="s">
        <v>166</v>
      </c>
      <c r="DC137" t="s">
        <v>166</v>
      </c>
      <c r="DD137" t="s">
        <v>166</v>
      </c>
      <c r="DE137" t="s">
        <v>166</v>
      </c>
      <c r="DF137" t="s">
        <v>205</v>
      </c>
      <c r="DG137">
        <v>35</v>
      </c>
      <c r="DH137" t="s">
        <v>201</v>
      </c>
      <c r="DI137">
        <v>1</v>
      </c>
      <c r="DJ137" t="s">
        <v>206</v>
      </c>
      <c r="DK137">
        <v>17</v>
      </c>
      <c r="DL137" t="s">
        <v>166</v>
      </c>
      <c r="DM137" t="s">
        <v>166</v>
      </c>
      <c r="DN137" t="s">
        <v>207</v>
      </c>
      <c r="DO137">
        <v>38</v>
      </c>
      <c r="DP137" t="s">
        <v>208</v>
      </c>
      <c r="DQ137">
        <v>3</v>
      </c>
      <c r="DR137" t="s">
        <v>209</v>
      </c>
      <c r="DS137" t="s">
        <v>166</v>
      </c>
      <c r="DT137" t="s">
        <v>166</v>
      </c>
      <c r="DU137" t="s">
        <v>166</v>
      </c>
      <c r="DV137" t="s">
        <v>166</v>
      </c>
      <c r="DW137">
        <v>432.6</v>
      </c>
      <c r="DX137" t="s">
        <v>166</v>
      </c>
      <c r="DY137" t="s">
        <v>166</v>
      </c>
      <c r="DZ137" t="s">
        <v>210</v>
      </c>
      <c r="EA137" t="s">
        <v>361</v>
      </c>
      <c r="EB137" t="s">
        <v>212</v>
      </c>
      <c r="EC137" t="s">
        <v>166</v>
      </c>
      <c r="ED137" t="s">
        <v>213</v>
      </c>
      <c r="EE137" s="155" t="s">
        <v>214</v>
      </c>
      <c r="EF137" s="155" t="s">
        <v>214</v>
      </c>
      <c r="EG137">
        <v>1.0271999999999999</v>
      </c>
      <c r="EH137" t="s">
        <v>215</v>
      </c>
      <c r="EI137" t="s">
        <v>215</v>
      </c>
      <c r="EJ137" t="s">
        <v>216</v>
      </c>
      <c r="EK137" t="s">
        <v>215</v>
      </c>
      <c r="EL137" t="s">
        <v>215</v>
      </c>
      <c r="EM137" t="s">
        <v>217</v>
      </c>
      <c r="EN137" s="156" t="s">
        <v>214</v>
      </c>
      <c r="EO137" s="156" t="s">
        <v>214</v>
      </c>
      <c r="EP137" s="156" t="s">
        <v>214</v>
      </c>
      <c r="EQ137" s="156" t="s">
        <v>214</v>
      </c>
      <c r="ET137" t="s">
        <v>218</v>
      </c>
      <c r="EU137" t="s">
        <v>219</v>
      </c>
      <c r="EV137" t="s">
        <v>213</v>
      </c>
      <c r="EW137" t="s">
        <v>166</v>
      </c>
      <c r="EX137" t="s">
        <v>166</v>
      </c>
      <c r="EY137" t="s">
        <v>166</v>
      </c>
      <c r="EZ137" t="s">
        <v>166</v>
      </c>
      <c r="FA137" s="157">
        <v>4.5</v>
      </c>
      <c r="FB137" t="s">
        <v>220</v>
      </c>
      <c r="FC137" s="157">
        <v>1</v>
      </c>
      <c r="FD137" s="157">
        <v>1</v>
      </c>
      <c r="FE137" s="179">
        <v>7.3753101731467998</v>
      </c>
      <c r="FF137" t="s">
        <v>221</v>
      </c>
      <c r="FG137" s="179">
        <v>5.5781164644540304E-2</v>
      </c>
      <c r="FH137" s="179">
        <v>6.4460383814429534E-2</v>
      </c>
      <c r="FI137" s="178">
        <v>3400.2979941439398</v>
      </c>
      <c r="FK137" t="s">
        <v>166</v>
      </c>
      <c r="FL137" s="144">
        <f t="shared" si="79"/>
        <v>3400.2979941439398</v>
      </c>
      <c r="FM137" s="178">
        <v>1353.41261582478</v>
      </c>
      <c r="FN137" s="178">
        <v>918.18341568526967</v>
      </c>
      <c r="FO137" t="s">
        <v>222</v>
      </c>
      <c r="FP137" t="s">
        <v>223</v>
      </c>
      <c r="FQ137" s="144" t="s">
        <v>166</v>
      </c>
      <c r="FR137" s="144" t="s">
        <v>166</v>
      </c>
      <c r="FS137" s="144" t="s">
        <v>166</v>
      </c>
      <c r="FT137" s="144" t="s">
        <v>166</v>
      </c>
      <c r="FU137" s="144" t="s">
        <v>166</v>
      </c>
      <c r="FV137" s="144" t="s">
        <v>166</v>
      </c>
      <c r="FW137" s="144" t="s">
        <v>166</v>
      </c>
      <c r="FX137" s="144" t="s">
        <v>166</v>
      </c>
      <c r="FY137" s="144" t="s">
        <v>166</v>
      </c>
      <c r="FZ137" s="144" t="s">
        <v>166</v>
      </c>
      <c r="GA137" s="144" t="s">
        <v>166</v>
      </c>
      <c r="GB137" s="144" t="s">
        <v>166</v>
      </c>
      <c r="GC137" s="158" t="s">
        <v>362</v>
      </c>
    </row>
    <row r="138" spans="1:185" ht="16">
      <c r="A138" s="140" t="s">
        <v>162</v>
      </c>
      <c r="B138" s="143" t="s">
        <v>163</v>
      </c>
      <c r="C138" s="140" t="s">
        <v>164</v>
      </c>
      <c r="D138" s="140" t="s">
        <v>165</v>
      </c>
      <c r="E138" s="140">
        <v>2020</v>
      </c>
      <c r="F138" t="s">
        <v>184</v>
      </c>
      <c r="G138" s="139">
        <v>50683.013916015625</v>
      </c>
      <c r="H138" s="147">
        <f t="shared" ref="H138" si="140">0.0083*G138^(0.9482)</f>
        <v>240.00962097344157</v>
      </c>
      <c r="I138" s="147">
        <f t="shared" si="135"/>
        <v>240.00962097344157</v>
      </c>
      <c r="J138" s="144">
        <v>1735.79483360379</v>
      </c>
      <c r="K138" s="144">
        <v>487.79669833901994</v>
      </c>
      <c r="L138" s="144">
        <v>418.07849043874012</v>
      </c>
      <c r="M138" t="b">
        <v>1</v>
      </c>
      <c r="N138">
        <v>3</v>
      </c>
      <c r="O138" s="140" t="s">
        <v>185</v>
      </c>
      <c r="P138" s="140" t="s">
        <v>166</v>
      </c>
      <c r="Q138" s="140" t="s">
        <v>166</v>
      </c>
      <c r="R138" s="140" t="s">
        <v>166</v>
      </c>
      <c r="S138" s="140" t="b">
        <v>1</v>
      </c>
      <c r="T138" s="140" t="b">
        <v>0</v>
      </c>
      <c r="U138" s="140" t="s">
        <v>166</v>
      </c>
      <c r="V138" s="140" t="b">
        <v>0</v>
      </c>
      <c r="W138" s="140" t="b">
        <v>0</v>
      </c>
      <c r="X138" s="140" t="s">
        <v>580</v>
      </c>
      <c r="Y138" s="148" t="s">
        <v>186</v>
      </c>
      <c r="Z138" t="s">
        <v>184</v>
      </c>
      <c r="AA138" s="149">
        <v>1409</v>
      </c>
      <c r="AB138" s="149" t="s">
        <v>233</v>
      </c>
      <c r="AC138" s="149">
        <v>13</v>
      </c>
      <c r="AD138" s="149">
        <v>4</v>
      </c>
      <c r="AE138" t="s">
        <v>166</v>
      </c>
      <c r="AF138" t="s">
        <v>166</v>
      </c>
      <c r="AG138" s="149">
        <v>118.51</v>
      </c>
      <c r="AH138" t="s">
        <v>166</v>
      </c>
      <c r="AI138" t="s">
        <v>166</v>
      </c>
      <c r="AJ138" t="s">
        <v>310</v>
      </c>
      <c r="AK138">
        <v>41.295822000000001</v>
      </c>
      <c r="AL138">
        <v>-49.233086999999998</v>
      </c>
      <c r="AM138">
        <v>30.954006195068359</v>
      </c>
      <c r="AN138" t="s">
        <v>166</v>
      </c>
      <c r="AO138">
        <v>-3500</v>
      </c>
      <c r="AP138">
        <v>-3050</v>
      </c>
      <c r="AQ138" t="s">
        <v>332</v>
      </c>
      <c r="AR138" t="s">
        <v>166</v>
      </c>
      <c r="AS138" s="164">
        <v>50.683013916015625</v>
      </c>
      <c r="AT138" t="s">
        <v>166</v>
      </c>
      <c r="AU138" t="s">
        <v>166</v>
      </c>
      <c r="AV138" t="s">
        <v>166</v>
      </c>
      <c r="AW138" t="s">
        <v>166</v>
      </c>
      <c r="AX138" t="s">
        <v>166</v>
      </c>
      <c r="AY138" t="s">
        <v>190</v>
      </c>
      <c r="AZ138" t="s">
        <v>166</v>
      </c>
      <c r="BA138" t="s">
        <v>166</v>
      </c>
      <c r="BB138" t="s">
        <v>166</v>
      </c>
      <c r="BC138" t="s">
        <v>166</v>
      </c>
      <c r="BD138" t="s">
        <v>166</v>
      </c>
      <c r="BE138" t="s">
        <v>166</v>
      </c>
      <c r="BF138" t="s">
        <v>166</v>
      </c>
      <c r="BG138" s="151" t="s">
        <v>321</v>
      </c>
      <c r="BH138" s="149" t="s">
        <v>192</v>
      </c>
      <c r="BI138" t="s">
        <v>166</v>
      </c>
      <c r="BJ138" s="152" t="s">
        <v>166</v>
      </c>
      <c r="BK138" t="s">
        <v>333</v>
      </c>
      <c r="BL138" t="s">
        <v>194</v>
      </c>
      <c r="BM138" t="s">
        <v>195</v>
      </c>
      <c r="BN138" t="s">
        <v>166</v>
      </c>
      <c r="BO138" t="s">
        <v>166</v>
      </c>
      <c r="BP138" t="s">
        <v>166</v>
      </c>
      <c r="BQ138" s="150">
        <v>13.58598668310659</v>
      </c>
      <c r="BR138" t="s">
        <v>196</v>
      </c>
      <c r="BS138" s="150">
        <v>0.24596248793725273</v>
      </c>
      <c r="BT138">
        <v>0.88</v>
      </c>
      <c r="BU138" t="s">
        <v>197</v>
      </c>
      <c r="BV138" t="s">
        <v>166</v>
      </c>
      <c r="BW138">
        <v>1.748</v>
      </c>
      <c r="BX138" t="s">
        <v>197</v>
      </c>
      <c r="BY138" t="s">
        <v>166</v>
      </c>
      <c r="BZ138" t="s">
        <v>425</v>
      </c>
      <c r="CA138" t="s">
        <v>360</v>
      </c>
      <c r="CB138" s="150">
        <f t="shared" si="78"/>
        <v>13.703668281133799</v>
      </c>
      <c r="CC138" t="s">
        <v>196</v>
      </c>
      <c r="CD138" s="150">
        <v>0.24596248793725273</v>
      </c>
      <c r="CE138" t="s">
        <v>199</v>
      </c>
      <c r="CF138" t="s">
        <v>166</v>
      </c>
      <c r="CG138" t="s">
        <v>200</v>
      </c>
      <c r="CH138" t="s">
        <v>166</v>
      </c>
      <c r="CI138" t="s">
        <v>166</v>
      </c>
      <c r="CJ138" s="139">
        <v>34.065118717293494</v>
      </c>
      <c r="CK138" t="s">
        <v>201</v>
      </c>
      <c r="CL138">
        <v>2</v>
      </c>
      <c r="CM138">
        <v>2</v>
      </c>
      <c r="CN138" t="s">
        <v>166</v>
      </c>
      <c r="CO138" s="139">
        <v>3.7105005517962906</v>
      </c>
      <c r="CP138" t="s">
        <v>166</v>
      </c>
      <c r="CQ138" t="s">
        <v>166</v>
      </c>
      <c r="CR138" t="s">
        <v>166</v>
      </c>
      <c r="CS138" s="153" t="s">
        <v>202</v>
      </c>
      <c r="CT138" t="s">
        <v>203</v>
      </c>
      <c r="CU138">
        <v>2.2000000000000002</v>
      </c>
      <c r="CV138" t="s">
        <v>204</v>
      </c>
      <c r="CW138" t="s">
        <v>166</v>
      </c>
      <c r="CX138" t="s">
        <v>166</v>
      </c>
      <c r="CY138" t="s">
        <v>166</v>
      </c>
      <c r="CZ138" t="s">
        <v>166</v>
      </c>
      <c r="DA138" s="154" t="s">
        <v>166</v>
      </c>
      <c r="DB138" t="s">
        <v>166</v>
      </c>
      <c r="DC138" t="s">
        <v>166</v>
      </c>
      <c r="DD138" t="s">
        <v>166</v>
      </c>
      <c r="DE138" t="s">
        <v>166</v>
      </c>
      <c r="DF138" t="s">
        <v>205</v>
      </c>
      <c r="DG138">
        <v>35</v>
      </c>
      <c r="DH138" t="s">
        <v>201</v>
      </c>
      <c r="DI138">
        <v>1</v>
      </c>
      <c r="DJ138" t="s">
        <v>206</v>
      </c>
      <c r="DK138">
        <v>17</v>
      </c>
      <c r="DL138" t="s">
        <v>166</v>
      </c>
      <c r="DM138" t="s">
        <v>166</v>
      </c>
      <c r="DN138" t="s">
        <v>207</v>
      </c>
      <c r="DO138">
        <v>38</v>
      </c>
      <c r="DP138" t="s">
        <v>208</v>
      </c>
      <c r="DQ138">
        <v>3</v>
      </c>
      <c r="DR138" t="s">
        <v>209</v>
      </c>
      <c r="DS138" t="s">
        <v>166</v>
      </c>
      <c r="DT138" t="s">
        <v>166</v>
      </c>
      <c r="DU138" t="s">
        <v>166</v>
      </c>
      <c r="DV138" t="s">
        <v>166</v>
      </c>
      <c r="DW138">
        <v>432.6</v>
      </c>
      <c r="DX138" t="s">
        <v>166</v>
      </c>
      <c r="DY138" t="s">
        <v>166</v>
      </c>
      <c r="DZ138" t="s">
        <v>210</v>
      </c>
      <c r="EA138" t="s">
        <v>361</v>
      </c>
      <c r="EB138" t="s">
        <v>212</v>
      </c>
      <c r="EC138" t="s">
        <v>166</v>
      </c>
      <c r="ED138" t="s">
        <v>213</v>
      </c>
      <c r="EE138" s="155" t="s">
        <v>214</v>
      </c>
      <c r="EF138" s="155" t="s">
        <v>214</v>
      </c>
      <c r="EG138">
        <v>1.0271999999999999</v>
      </c>
      <c r="EH138" t="s">
        <v>215</v>
      </c>
      <c r="EI138" t="s">
        <v>215</v>
      </c>
      <c r="EJ138" t="s">
        <v>216</v>
      </c>
      <c r="EK138" t="s">
        <v>215</v>
      </c>
      <c r="EL138" t="s">
        <v>215</v>
      </c>
      <c r="EM138" t="s">
        <v>217</v>
      </c>
      <c r="EN138" s="156" t="s">
        <v>214</v>
      </c>
      <c r="EO138" s="156" t="s">
        <v>214</v>
      </c>
      <c r="EP138" s="156" t="s">
        <v>214</v>
      </c>
      <c r="EQ138" s="156" t="s">
        <v>214</v>
      </c>
      <c r="ET138" t="s">
        <v>218</v>
      </c>
      <c r="EU138" t="s">
        <v>219</v>
      </c>
      <c r="EV138" t="s">
        <v>213</v>
      </c>
      <c r="EW138" t="s">
        <v>166</v>
      </c>
      <c r="EX138" t="s">
        <v>166</v>
      </c>
      <c r="EY138" t="s">
        <v>166</v>
      </c>
      <c r="EZ138" t="s">
        <v>166</v>
      </c>
      <c r="FA138" s="157">
        <v>4.5</v>
      </c>
      <c r="FB138" t="s">
        <v>220</v>
      </c>
      <c r="FC138" s="157">
        <v>1</v>
      </c>
      <c r="FD138" s="157">
        <v>1</v>
      </c>
      <c r="FE138" s="179">
        <v>7.4362175099458998</v>
      </c>
      <c r="FF138" t="s">
        <v>221</v>
      </c>
      <c r="FG138" s="179">
        <v>4.7837175002079846E-2</v>
      </c>
      <c r="FH138" s="179">
        <v>5.0271062780930187E-2</v>
      </c>
      <c r="FI138" s="178">
        <v>2563.2180605292201</v>
      </c>
      <c r="FK138" t="s">
        <v>166</v>
      </c>
      <c r="FL138" s="144">
        <f t="shared" si="79"/>
        <v>2563.2180605292201</v>
      </c>
      <c r="FM138" s="178">
        <v>749.91801773742009</v>
      </c>
      <c r="FN138" s="178">
        <v>632.65684824976006</v>
      </c>
      <c r="FO138" t="s">
        <v>222</v>
      </c>
      <c r="FP138" t="s">
        <v>223</v>
      </c>
      <c r="FQ138" s="144" t="s">
        <v>166</v>
      </c>
      <c r="FR138" s="144" t="s">
        <v>166</v>
      </c>
      <c r="FS138" s="144" t="s">
        <v>166</v>
      </c>
      <c r="FT138" s="144" t="s">
        <v>166</v>
      </c>
      <c r="FU138" s="144" t="s">
        <v>166</v>
      </c>
      <c r="FV138" s="144" t="s">
        <v>166</v>
      </c>
      <c r="FW138" s="144" t="s">
        <v>166</v>
      </c>
      <c r="FX138" s="144" t="s">
        <v>166</v>
      </c>
      <c r="FY138" s="144" t="s">
        <v>166</v>
      </c>
      <c r="FZ138" s="144" t="s">
        <v>166</v>
      </c>
      <c r="GA138" s="144" t="s">
        <v>166</v>
      </c>
      <c r="GB138" s="144" t="s">
        <v>166</v>
      </c>
      <c r="GC138" s="158" t="s">
        <v>362</v>
      </c>
    </row>
    <row r="139" spans="1:185" ht="16">
      <c r="A139" s="140" t="s">
        <v>162</v>
      </c>
      <c r="B139" s="143" t="s">
        <v>163</v>
      </c>
      <c r="C139" s="140" t="s">
        <v>164</v>
      </c>
      <c r="D139" s="140" t="s">
        <v>165</v>
      </c>
      <c r="E139" s="140">
        <v>2020</v>
      </c>
      <c r="F139" t="s">
        <v>184</v>
      </c>
      <c r="G139" s="139">
        <v>51288.524627685547</v>
      </c>
      <c r="H139" s="147">
        <f t="shared" ref="H139" si="141">0.0083*G139^(0.9482)</f>
        <v>242.72765040944543</v>
      </c>
      <c r="I139" s="147">
        <f t="shared" si="135"/>
        <v>242.72765040944543</v>
      </c>
      <c r="J139" s="144">
        <v>1881.7162980053199</v>
      </c>
      <c r="K139" s="144">
        <v>580.64762670691016</v>
      </c>
      <c r="L139" s="144">
        <v>450.59329620396011</v>
      </c>
      <c r="M139" t="b">
        <v>1</v>
      </c>
      <c r="N139">
        <v>3</v>
      </c>
      <c r="O139" s="140" t="s">
        <v>185</v>
      </c>
      <c r="P139" s="140" t="s">
        <v>166</v>
      </c>
      <c r="Q139" s="140" t="s">
        <v>166</v>
      </c>
      <c r="R139" s="140" t="s">
        <v>166</v>
      </c>
      <c r="S139" s="140" t="b">
        <v>1</v>
      </c>
      <c r="T139" s="140" t="b">
        <v>0</v>
      </c>
      <c r="U139" s="140" t="s">
        <v>166</v>
      </c>
      <c r="V139" s="140" t="b">
        <v>0</v>
      </c>
      <c r="W139" s="140" t="b">
        <v>0</v>
      </c>
      <c r="X139" s="140" t="s">
        <v>580</v>
      </c>
      <c r="Y139" s="148" t="s">
        <v>186</v>
      </c>
      <c r="Z139" t="s">
        <v>184</v>
      </c>
      <c r="AA139" s="149">
        <v>1409</v>
      </c>
      <c r="AB139" s="149" t="s">
        <v>250</v>
      </c>
      <c r="AC139" s="149">
        <v>16</v>
      </c>
      <c r="AD139" s="149" t="s">
        <v>309</v>
      </c>
      <c r="AE139" t="s">
        <v>166</v>
      </c>
      <c r="AF139" t="s">
        <v>166</v>
      </c>
      <c r="AG139" s="150">
        <v>131.24</v>
      </c>
      <c r="AH139" t="s">
        <v>166</v>
      </c>
      <c r="AI139" t="s">
        <v>166</v>
      </c>
      <c r="AJ139" t="s">
        <v>310</v>
      </c>
      <c r="AK139">
        <v>41.295653000000001</v>
      </c>
      <c r="AL139">
        <v>-49.233088000000002</v>
      </c>
      <c r="AM139">
        <v>30.967609405517578</v>
      </c>
      <c r="AN139" t="s">
        <v>166</v>
      </c>
      <c r="AO139">
        <v>-3500</v>
      </c>
      <c r="AP139">
        <v>-3050</v>
      </c>
      <c r="AQ139" t="s">
        <v>334</v>
      </c>
      <c r="AR139" t="s">
        <v>166</v>
      </c>
      <c r="AS139" s="150">
        <v>51.288524627685547</v>
      </c>
      <c r="AT139" t="s">
        <v>166</v>
      </c>
      <c r="AU139" t="s">
        <v>166</v>
      </c>
      <c r="AV139" t="s">
        <v>166</v>
      </c>
      <c r="AW139" t="s">
        <v>166</v>
      </c>
      <c r="AX139" t="s">
        <v>166</v>
      </c>
      <c r="AY139" t="s">
        <v>190</v>
      </c>
      <c r="AZ139" t="s">
        <v>166</v>
      </c>
      <c r="BA139" t="s">
        <v>166</v>
      </c>
      <c r="BB139" t="s">
        <v>166</v>
      </c>
      <c r="BC139" t="s">
        <v>166</v>
      </c>
      <c r="BD139" t="s">
        <v>166</v>
      </c>
      <c r="BE139" t="s">
        <v>166</v>
      </c>
      <c r="BF139" t="s">
        <v>166</v>
      </c>
      <c r="BG139" s="151" t="s">
        <v>314</v>
      </c>
      <c r="BH139" s="149" t="s">
        <v>263</v>
      </c>
      <c r="BI139" t="s">
        <v>166</v>
      </c>
      <c r="BJ139" s="152" t="s">
        <v>166</v>
      </c>
      <c r="BK139" t="s">
        <v>335</v>
      </c>
      <c r="BL139" t="s">
        <v>194</v>
      </c>
      <c r="BM139" t="s">
        <v>195</v>
      </c>
      <c r="BN139" t="s">
        <v>166</v>
      </c>
      <c r="BO139" t="s">
        <v>166</v>
      </c>
      <c r="BP139" t="s">
        <v>166</v>
      </c>
      <c r="BQ139" s="150">
        <v>13.484431549728537</v>
      </c>
      <c r="BR139" t="s">
        <v>196</v>
      </c>
      <c r="BS139" s="150">
        <v>0.24284273893489644</v>
      </c>
      <c r="BT139">
        <v>0.88</v>
      </c>
      <c r="BU139" t="s">
        <v>197</v>
      </c>
      <c r="BV139" t="s">
        <v>166</v>
      </c>
      <c r="BW139">
        <v>1.748</v>
      </c>
      <c r="BX139" t="s">
        <v>197</v>
      </c>
      <c r="BY139" t="s">
        <v>166</v>
      </c>
      <c r="BZ139" t="s">
        <v>426</v>
      </c>
      <c r="CA139" t="s">
        <v>360</v>
      </c>
      <c r="CB139" s="150">
        <f t="shared" si="78"/>
        <v>13.614299763761112</v>
      </c>
      <c r="CC139" t="s">
        <v>196</v>
      </c>
      <c r="CD139" s="150">
        <v>0.24284273893489644</v>
      </c>
      <c r="CE139" t="s">
        <v>199</v>
      </c>
      <c r="CF139" t="s">
        <v>166</v>
      </c>
      <c r="CG139" t="s">
        <v>200</v>
      </c>
      <c r="CH139" t="s">
        <v>166</v>
      </c>
      <c r="CI139" t="s">
        <v>166</v>
      </c>
      <c r="CJ139" s="139">
        <v>33.729822858202212</v>
      </c>
      <c r="CK139" t="s">
        <v>201</v>
      </c>
      <c r="CL139">
        <v>2</v>
      </c>
      <c r="CM139">
        <v>2</v>
      </c>
      <c r="CN139" t="s">
        <v>166</v>
      </c>
      <c r="CO139" s="139">
        <v>3.6410356897849883</v>
      </c>
      <c r="CP139" t="s">
        <v>166</v>
      </c>
      <c r="CQ139" t="s">
        <v>166</v>
      </c>
      <c r="CR139" t="s">
        <v>166</v>
      </c>
      <c r="CS139" s="153" t="s">
        <v>202</v>
      </c>
      <c r="CT139" t="s">
        <v>203</v>
      </c>
      <c r="CU139">
        <v>2.2000000000000002</v>
      </c>
      <c r="CV139" t="s">
        <v>204</v>
      </c>
      <c r="CW139" t="s">
        <v>166</v>
      </c>
      <c r="CX139" t="s">
        <v>166</v>
      </c>
      <c r="CY139" t="s">
        <v>166</v>
      </c>
      <c r="CZ139" t="s">
        <v>166</v>
      </c>
      <c r="DA139" s="154" t="s">
        <v>166</v>
      </c>
      <c r="DB139" t="s">
        <v>166</v>
      </c>
      <c r="DC139" t="s">
        <v>166</v>
      </c>
      <c r="DD139" t="s">
        <v>166</v>
      </c>
      <c r="DE139" t="s">
        <v>166</v>
      </c>
      <c r="DF139" t="s">
        <v>205</v>
      </c>
      <c r="DG139">
        <v>35</v>
      </c>
      <c r="DH139" t="s">
        <v>201</v>
      </c>
      <c r="DI139">
        <v>1</v>
      </c>
      <c r="DJ139" t="s">
        <v>206</v>
      </c>
      <c r="DK139">
        <v>17</v>
      </c>
      <c r="DL139" t="s">
        <v>166</v>
      </c>
      <c r="DM139" t="s">
        <v>166</v>
      </c>
      <c r="DN139" t="s">
        <v>207</v>
      </c>
      <c r="DO139">
        <v>38</v>
      </c>
      <c r="DP139" t="s">
        <v>208</v>
      </c>
      <c r="DQ139">
        <v>3</v>
      </c>
      <c r="DR139" t="s">
        <v>209</v>
      </c>
      <c r="DS139" t="s">
        <v>166</v>
      </c>
      <c r="DT139" t="s">
        <v>166</v>
      </c>
      <c r="DU139" t="s">
        <v>166</v>
      </c>
      <c r="DV139" t="s">
        <v>166</v>
      </c>
      <c r="DW139">
        <v>432.6</v>
      </c>
      <c r="DX139" t="s">
        <v>166</v>
      </c>
      <c r="DY139" t="s">
        <v>166</v>
      </c>
      <c r="DZ139" t="s">
        <v>210</v>
      </c>
      <c r="EA139" t="s">
        <v>361</v>
      </c>
      <c r="EB139" t="s">
        <v>212</v>
      </c>
      <c r="EC139" t="s">
        <v>166</v>
      </c>
      <c r="ED139" t="s">
        <v>213</v>
      </c>
      <c r="EE139" s="155" t="s">
        <v>214</v>
      </c>
      <c r="EF139" s="155" t="s">
        <v>214</v>
      </c>
      <c r="EG139">
        <v>1.0271999999999999</v>
      </c>
      <c r="EH139" t="s">
        <v>215</v>
      </c>
      <c r="EI139" t="s">
        <v>215</v>
      </c>
      <c r="EJ139" t="s">
        <v>216</v>
      </c>
      <c r="EK139" t="s">
        <v>215</v>
      </c>
      <c r="EL139" t="s">
        <v>215</v>
      </c>
      <c r="EM139" t="s">
        <v>217</v>
      </c>
      <c r="EN139" s="156" t="s">
        <v>214</v>
      </c>
      <c r="EO139" s="156" t="s">
        <v>214</v>
      </c>
      <c r="EP139" s="156" t="s">
        <v>214</v>
      </c>
      <c r="EQ139" s="156" t="s">
        <v>214</v>
      </c>
      <c r="ET139" t="s">
        <v>218</v>
      </c>
      <c r="EU139" t="s">
        <v>219</v>
      </c>
      <c r="EV139" t="s">
        <v>213</v>
      </c>
      <c r="EW139" t="s">
        <v>166</v>
      </c>
      <c r="EX139" t="s">
        <v>166</v>
      </c>
      <c r="EY139" t="s">
        <v>166</v>
      </c>
      <c r="EZ139" t="s">
        <v>166</v>
      </c>
      <c r="FA139" s="157">
        <v>4.5</v>
      </c>
      <c r="FB139" t="s">
        <v>220</v>
      </c>
      <c r="FC139" s="157">
        <v>1</v>
      </c>
      <c r="FD139" s="157">
        <v>1</v>
      </c>
      <c r="FE139" s="177">
        <v>7.4146229723928796</v>
      </c>
      <c r="FF139" t="s">
        <v>221</v>
      </c>
      <c r="FG139" s="177">
        <v>4.989910389410035E-2</v>
      </c>
      <c r="FH139" s="177">
        <v>5.3257250495749808E-2</v>
      </c>
      <c r="FI139" s="178">
        <v>2855.41208488451</v>
      </c>
      <c r="FK139" t="s">
        <v>166</v>
      </c>
      <c r="FL139" s="144">
        <f t="shared" si="79"/>
        <v>2855.41208488451</v>
      </c>
      <c r="FM139" s="178">
        <v>916.15807123162995</v>
      </c>
      <c r="FN139" s="178">
        <v>688.14978029259009</v>
      </c>
      <c r="FO139" t="s">
        <v>222</v>
      </c>
      <c r="FP139" t="s">
        <v>223</v>
      </c>
      <c r="FQ139" s="144" t="s">
        <v>166</v>
      </c>
      <c r="FR139" s="144" t="s">
        <v>166</v>
      </c>
      <c r="FS139" s="144" t="s">
        <v>166</v>
      </c>
      <c r="FT139" s="144" t="s">
        <v>166</v>
      </c>
      <c r="FU139" s="144" t="s">
        <v>166</v>
      </c>
      <c r="FV139" s="144" t="s">
        <v>166</v>
      </c>
      <c r="FW139" s="144" t="s">
        <v>166</v>
      </c>
      <c r="FX139" s="144" t="s">
        <v>166</v>
      </c>
      <c r="FY139" s="144" t="s">
        <v>166</v>
      </c>
      <c r="FZ139" s="144" t="s">
        <v>166</v>
      </c>
      <c r="GA139" s="144" t="s">
        <v>166</v>
      </c>
      <c r="GB139" s="144" t="s">
        <v>166</v>
      </c>
      <c r="GC139" s="158" t="s">
        <v>362</v>
      </c>
    </row>
    <row r="140" spans="1:185" ht="16">
      <c r="A140" s="140" t="s">
        <v>162</v>
      </c>
      <c r="B140" s="143" t="s">
        <v>163</v>
      </c>
      <c r="C140" s="140" t="s">
        <v>164</v>
      </c>
      <c r="D140" s="140" t="s">
        <v>165</v>
      </c>
      <c r="E140" s="140">
        <v>2020</v>
      </c>
      <c r="F140" t="s">
        <v>184</v>
      </c>
      <c r="G140" s="139">
        <v>51604.892730712891</v>
      </c>
      <c r="H140" s="147">
        <f t="shared" ref="H140" si="142">0.0083*G140^(0.9482)</f>
        <v>244.14710808523742</v>
      </c>
      <c r="I140" s="147">
        <f t="shared" si="135"/>
        <v>244.14710808523742</v>
      </c>
      <c r="J140" s="144">
        <v>1123.6408165416699</v>
      </c>
      <c r="K140" s="144">
        <v>330.25059942215012</v>
      </c>
      <c r="L140" s="144">
        <v>251.24556692269084</v>
      </c>
      <c r="M140" t="b">
        <v>1</v>
      </c>
      <c r="N140">
        <v>3</v>
      </c>
      <c r="O140" s="140" t="s">
        <v>185</v>
      </c>
      <c r="P140" s="140" t="s">
        <v>166</v>
      </c>
      <c r="Q140" s="140" t="s">
        <v>166</v>
      </c>
      <c r="R140" s="140" t="s">
        <v>166</v>
      </c>
      <c r="S140" s="140" t="b">
        <v>1</v>
      </c>
      <c r="T140" s="140" t="b">
        <v>0</v>
      </c>
      <c r="U140" s="140" t="s">
        <v>166</v>
      </c>
      <c r="V140" s="140" t="b">
        <v>0</v>
      </c>
      <c r="W140" s="140" t="b">
        <v>0</v>
      </c>
      <c r="X140" s="140" t="s">
        <v>580</v>
      </c>
      <c r="Y140" s="148" t="s">
        <v>186</v>
      </c>
      <c r="Z140" t="s">
        <v>184</v>
      </c>
      <c r="AA140" s="149">
        <v>1409</v>
      </c>
      <c r="AB140" s="149" t="s">
        <v>250</v>
      </c>
      <c r="AC140" s="149">
        <v>17</v>
      </c>
      <c r="AD140" s="149">
        <v>3</v>
      </c>
      <c r="AE140" t="s">
        <v>166</v>
      </c>
      <c r="AF140" t="s">
        <v>166</v>
      </c>
      <c r="AG140" s="149">
        <v>134.81</v>
      </c>
      <c r="AH140" t="s">
        <v>166</v>
      </c>
      <c r="AI140" t="s">
        <v>166</v>
      </c>
      <c r="AJ140" t="s">
        <v>310</v>
      </c>
      <c r="AK140">
        <v>41.295653000000001</v>
      </c>
      <c r="AL140">
        <v>-49.233088000000002</v>
      </c>
      <c r="AM140">
        <v>30.97471809387207</v>
      </c>
      <c r="AN140" t="s">
        <v>166</v>
      </c>
      <c r="AO140">
        <v>-3500</v>
      </c>
      <c r="AP140">
        <v>-3050</v>
      </c>
      <c r="AQ140" t="s">
        <v>336</v>
      </c>
      <c r="AR140" t="s">
        <v>166</v>
      </c>
      <c r="AS140" s="164">
        <v>51.604892730712891</v>
      </c>
      <c r="AT140" t="s">
        <v>166</v>
      </c>
      <c r="AU140" t="s">
        <v>166</v>
      </c>
      <c r="AV140" t="s">
        <v>166</v>
      </c>
      <c r="AW140" t="s">
        <v>166</v>
      </c>
      <c r="AX140" t="s">
        <v>166</v>
      </c>
      <c r="AY140" t="s">
        <v>190</v>
      </c>
      <c r="AZ140" t="s">
        <v>166</v>
      </c>
      <c r="BA140" t="s">
        <v>166</v>
      </c>
      <c r="BB140" t="s">
        <v>166</v>
      </c>
      <c r="BC140" t="s">
        <v>166</v>
      </c>
      <c r="BD140" t="s">
        <v>166</v>
      </c>
      <c r="BE140" t="s">
        <v>166</v>
      </c>
      <c r="BF140" t="s">
        <v>166</v>
      </c>
      <c r="BG140" s="151" t="s">
        <v>337</v>
      </c>
      <c r="BH140" s="149" t="s">
        <v>192</v>
      </c>
      <c r="BI140" t="s">
        <v>166</v>
      </c>
      <c r="BJ140" s="152" t="s">
        <v>166</v>
      </c>
      <c r="BK140" t="s">
        <v>338</v>
      </c>
      <c r="BL140" t="s">
        <v>194</v>
      </c>
      <c r="BM140" t="s">
        <v>195</v>
      </c>
      <c r="BN140" t="s">
        <v>166</v>
      </c>
      <c r="BO140" t="s">
        <v>166</v>
      </c>
      <c r="BP140" t="s">
        <v>166</v>
      </c>
      <c r="BQ140" s="150">
        <v>14.173401579817352</v>
      </c>
      <c r="BR140" t="s">
        <v>196</v>
      </c>
      <c r="BS140" s="150">
        <v>0.26083391381171461</v>
      </c>
      <c r="BT140">
        <v>0.88</v>
      </c>
      <c r="BU140" t="s">
        <v>197</v>
      </c>
      <c r="BV140" t="s">
        <v>166</v>
      </c>
      <c r="BW140">
        <v>1.748</v>
      </c>
      <c r="BX140" t="s">
        <v>197</v>
      </c>
      <c r="BY140" t="s">
        <v>166</v>
      </c>
      <c r="BZ140" t="s">
        <v>427</v>
      </c>
      <c r="CA140" t="s">
        <v>360</v>
      </c>
      <c r="CB140" s="150">
        <f t="shared" si="78"/>
        <v>14.220593390239269</v>
      </c>
      <c r="CC140" t="s">
        <v>196</v>
      </c>
      <c r="CD140" s="150">
        <v>0.26083391381171461</v>
      </c>
      <c r="CE140" t="s">
        <v>199</v>
      </c>
      <c r="CF140" t="s">
        <v>166</v>
      </c>
      <c r="CG140" t="s">
        <v>200</v>
      </c>
      <c r="CH140" t="s">
        <v>166</v>
      </c>
      <c r="CI140" t="s">
        <v>166</v>
      </c>
      <c r="CJ140" s="139">
        <v>34.964601888846929</v>
      </c>
      <c r="CK140" t="s">
        <v>201</v>
      </c>
      <c r="CL140">
        <v>2</v>
      </c>
      <c r="CM140">
        <v>2</v>
      </c>
      <c r="CN140" t="s">
        <v>166</v>
      </c>
      <c r="CO140" s="139">
        <v>3.9034674841497661</v>
      </c>
      <c r="CP140" t="s">
        <v>166</v>
      </c>
      <c r="CQ140" t="s">
        <v>166</v>
      </c>
      <c r="CR140" t="s">
        <v>166</v>
      </c>
      <c r="CS140" s="153" t="s">
        <v>202</v>
      </c>
      <c r="CT140" t="s">
        <v>203</v>
      </c>
      <c r="CU140">
        <v>2.2000000000000002</v>
      </c>
      <c r="CV140" t="s">
        <v>204</v>
      </c>
      <c r="CW140" t="s">
        <v>166</v>
      </c>
      <c r="CX140" t="s">
        <v>166</v>
      </c>
      <c r="CY140" t="s">
        <v>166</v>
      </c>
      <c r="CZ140" t="s">
        <v>166</v>
      </c>
      <c r="DA140" s="154" t="s">
        <v>166</v>
      </c>
      <c r="DB140" t="s">
        <v>166</v>
      </c>
      <c r="DC140" t="s">
        <v>166</v>
      </c>
      <c r="DD140" t="s">
        <v>166</v>
      </c>
      <c r="DE140" t="s">
        <v>166</v>
      </c>
      <c r="DF140" t="s">
        <v>205</v>
      </c>
      <c r="DG140">
        <v>35</v>
      </c>
      <c r="DH140" t="s">
        <v>201</v>
      </c>
      <c r="DI140">
        <v>1</v>
      </c>
      <c r="DJ140" t="s">
        <v>206</v>
      </c>
      <c r="DK140">
        <v>17</v>
      </c>
      <c r="DL140" t="s">
        <v>166</v>
      </c>
      <c r="DM140" t="s">
        <v>166</v>
      </c>
      <c r="DN140" t="s">
        <v>207</v>
      </c>
      <c r="DO140">
        <v>38</v>
      </c>
      <c r="DP140" t="s">
        <v>208</v>
      </c>
      <c r="DQ140">
        <v>3</v>
      </c>
      <c r="DR140" t="s">
        <v>209</v>
      </c>
      <c r="DS140" t="s">
        <v>166</v>
      </c>
      <c r="DT140" t="s">
        <v>166</v>
      </c>
      <c r="DU140" t="s">
        <v>166</v>
      </c>
      <c r="DV140" t="s">
        <v>166</v>
      </c>
      <c r="DW140">
        <v>432.6</v>
      </c>
      <c r="DX140" t="s">
        <v>166</v>
      </c>
      <c r="DY140" t="s">
        <v>166</v>
      </c>
      <c r="DZ140" t="s">
        <v>210</v>
      </c>
      <c r="EA140" t="s">
        <v>361</v>
      </c>
      <c r="EB140" t="s">
        <v>212</v>
      </c>
      <c r="EC140" t="s">
        <v>166</v>
      </c>
      <c r="ED140" t="s">
        <v>213</v>
      </c>
      <c r="EE140" s="155" t="s">
        <v>214</v>
      </c>
      <c r="EF140" s="155" t="s">
        <v>214</v>
      </c>
      <c r="EG140">
        <v>1.0271999999999999</v>
      </c>
      <c r="EH140" t="s">
        <v>215</v>
      </c>
      <c r="EI140" t="s">
        <v>215</v>
      </c>
      <c r="EJ140" t="s">
        <v>216</v>
      </c>
      <c r="EK140" t="s">
        <v>215</v>
      </c>
      <c r="EL140" t="s">
        <v>215</v>
      </c>
      <c r="EM140" t="s">
        <v>217</v>
      </c>
      <c r="EN140" s="156" t="s">
        <v>214</v>
      </c>
      <c r="EO140" s="156" t="s">
        <v>214</v>
      </c>
      <c r="EP140" s="156" t="s">
        <v>214</v>
      </c>
      <c r="EQ140" s="156" t="s">
        <v>214</v>
      </c>
      <c r="ET140" t="s">
        <v>218</v>
      </c>
      <c r="EU140" t="s">
        <v>219</v>
      </c>
      <c r="EV140" t="s">
        <v>213</v>
      </c>
      <c r="EW140" t="s">
        <v>166</v>
      </c>
      <c r="EX140" t="s">
        <v>166</v>
      </c>
      <c r="EY140" t="s">
        <v>166</v>
      </c>
      <c r="EZ140" t="s">
        <v>166</v>
      </c>
      <c r="FA140" s="157">
        <v>4.5</v>
      </c>
      <c r="FB140" t="s">
        <v>220</v>
      </c>
      <c r="FC140" s="157">
        <v>1</v>
      </c>
      <c r="FD140" s="157">
        <v>1</v>
      </c>
      <c r="FE140" s="179">
        <v>7.55288430561344</v>
      </c>
      <c r="FF140" t="s">
        <v>221</v>
      </c>
      <c r="FG140" s="179">
        <v>4.0505084297519645E-2</v>
      </c>
      <c r="FH140" s="179">
        <v>4.2792160319070405E-2</v>
      </c>
      <c r="FI140" s="178">
        <v>1454.3788061810101</v>
      </c>
      <c r="FK140" t="s">
        <v>166</v>
      </c>
      <c r="FL140" s="144">
        <f t="shared" si="79"/>
        <v>1454.3788061810101</v>
      </c>
      <c r="FM140" s="178">
        <v>389.98313985029995</v>
      </c>
      <c r="FN140" s="178">
        <v>331.82778663528029</v>
      </c>
      <c r="FO140" t="s">
        <v>222</v>
      </c>
      <c r="FP140" t="s">
        <v>223</v>
      </c>
      <c r="FQ140" s="144" t="s">
        <v>166</v>
      </c>
      <c r="FR140" s="144" t="s">
        <v>166</v>
      </c>
      <c r="FS140" s="144" t="s">
        <v>166</v>
      </c>
      <c r="FT140" s="144" t="s">
        <v>166</v>
      </c>
      <c r="FU140" s="144" t="s">
        <v>166</v>
      </c>
      <c r="FV140" s="144" t="s">
        <v>166</v>
      </c>
      <c r="FW140" s="144" t="s">
        <v>166</v>
      </c>
      <c r="FX140" s="144" t="s">
        <v>166</v>
      </c>
      <c r="FY140" s="144" t="s">
        <v>166</v>
      </c>
      <c r="FZ140" s="144" t="s">
        <v>166</v>
      </c>
      <c r="GA140" s="144" t="s">
        <v>166</v>
      </c>
      <c r="GB140" s="144" t="s">
        <v>166</v>
      </c>
      <c r="GC140" s="158" t="s">
        <v>362</v>
      </c>
    </row>
    <row r="141" spans="1:185" ht="16">
      <c r="A141" s="140" t="s">
        <v>162</v>
      </c>
      <c r="B141" s="143" t="s">
        <v>163</v>
      </c>
      <c r="C141" s="140" t="s">
        <v>164</v>
      </c>
      <c r="D141" s="140" t="s">
        <v>165</v>
      </c>
      <c r="E141" s="140">
        <v>2020</v>
      </c>
      <c r="F141" t="s">
        <v>184</v>
      </c>
      <c r="G141" s="139">
        <v>51631.473541259766</v>
      </c>
      <c r="H141" s="147">
        <f t="shared" ref="H141" si="143">0.0083*G141^(0.9482)</f>
        <v>244.26634839156904</v>
      </c>
      <c r="I141" s="147">
        <f t="shared" si="135"/>
        <v>244.26634839156904</v>
      </c>
      <c r="J141" s="144">
        <v>1276.02831837392</v>
      </c>
      <c r="K141" s="144">
        <v>365.30479541160003</v>
      </c>
      <c r="L141" s="144">
        <v>300.758134635484</v>
      </c>
      <c r="M141" t="b">
        <v>1</v>
      </c>
      <c r="N141">
        <v>3</v>
      </c>
      <c r="O141" s="140" t="s">
        <v>185</v>
      </c>
      <c r="P141" s="140" t="s">
        <v>166</v>
      </c>
      <c r="Q141" s="140" t="s">
        <v>166</v>
      </c>
      <c r="R141" s="140" t="s">
        <v>166</v>
      </c>
      <c r="S141" s="140" t="b">
        <v>1</v>
      </c>
      <c r="T141" s="140" t="b">
        <v>0</v>
      </c>
      <c r="U141" s="140" t="s">
        <v>166</v>
      </c>
      <c r="V141" s="140" t="b">
        <v>0</v>
      </c>
      <c r="W141" s="140" t="b">
        <v>0</v>
      </c>
      <c r="X141" s="140" t="s">
        <v>580</v>
      </c>
      <c r="Y141" s="148" t="s">
        <v>186</v>
      </c>
      <c r="Z141" t="s">
        <v>184</v>
      </c>
      <c r="AA141" s="149">
        <v>1409</v>
      </c>
      <c r="AB141" s="149" t="s">
        <v>250</v>
      </c>
      <c r="AC141" s="149">
        <v>17</v>
      </c>
      <c r="AD141" s="149">
        <v>3</v>
      </c>
      <c r="AE141" t="s">
        <v>166</v>
      </c>
      <c r="AF141" t="s">
        <v>166</v>
      </c>
      <c r="AG141" s="150">
        <v>135.11000000000001</v>
      </c>
      <c r="AH141" t="s">
        <v>166</v>
      </c>
      <c r="AI141" t="s">
        <v>166</v>
      </c>
      <c r="AJ141" t="s">
        <v>310</v>
      </c>
      <c r="AK141">
        <v>41.295653000000001</v>
      </c>
      <c r="AL141">
        <v>-49.233088000000002</v>
      </c>
      <c r="AM141">
        <v>30.975315093994141</v>
      </c>
      <c r="AN141" t="s">
        <v>166</v>
      </c>
      <c r="AO141">
        <v>-3500</v>
      </c>
      <c r="AP141">
        <v>-3050</v>
      </c>
      <c r="AQ141" t="s">
        <v>339</v>
      </c>
      <c r="AR141" t="s">
        <v>166</v>
      </c>
      <c r="AS141" s="150">
        <v>51.631473541259766</v>
      </c>
      <c r="AT141" t="s">
        <v>166</v>
      </c>
      <c r="AU141" t="s">
        <v>166</v>
      </c>
      <c r="AV141" t="s">
        <v>166</v>
      </c>
      <c r="AW141" t="s">
        <v>166</v>
      </c>
      <c r="AX141" t="s">
        <v>166</v>
      </c>
      <c r="AY141" t="s">
        <v>190</v>
      </c>
      <c r="AZ141" t="s">
        <v>166</v>
      </c>
      <c r="BA141" t="s">
        <v>166</v>
      </c>
      <c r="BB141" t="s">
        <v>166</v>
      </c>
      <c r="BC141" t="s">
        <v>166</v>
      </c>
      <c r="BD141" t="s">
        <v>166</v>
      </c>
      <c r="BE141" t="s">
        <v>166</v>
      </c>
      <c r="BF141" t="s">
        <v>166</v>
      </c>
      <c r="BG141" s="151" t="s">
        <v>337</v>
      </c>
      <c r="BH141" s="149" t="s">
        <v>192</v>
      </c>
      <c r="BI141" t="s">
        <v>166</v>
      </c>
      <c r="BJ141" s="152" t="s">
        <v>166</v>
      </c>
      <c r="BK141" t="s">
        <v>340</v>
      </c>
      <c r="BL141" t="s">
        <v>194</v>
      </c>
      <c r="BM141" t="s">
        <v>195</v>
      </c>
      <c r="BN141" t="s">
        <v>166</v>
      </c>
      <c r="BO141" t="s">
        <v>166</v>
      </c>
      <c r="BP141" t="s">
        <v>166</v>
      </c>
      <c r="BQ141" s="150">
        <v>13.978673676570672</v>
      </c>
      <c r="BR141" t="s">
        <v>196</v>
      </c>
      <c r="BS141" s="150">
        <v>0.2629590847793879</v>
      </c>
      <c r="BT141">
        <v>0.88</v>
      </c>
      <c r="BU141" t="s">
        <v>197</v>
      </c>
      <c r="BV141" t="s">
        <v>166</v>
      </c>
      <c r="BW141">
        <v>1.748</v>
      </c>
      <c r="BX141" t="s">
        <v>197</v>
      </c>
      <c r="BY141" t="s">
        <v>166</v>
      </c>
      <c r="BZ141" t="s">
        <v>428</v>
      </c>
      <c r="CA141" t="s">
        <v>360</v>
      </c>
      <c r="CB141" s="150">
        <f t="shared" si="78"/>
        <v>14.04923283538219</v>
      </c>
      <c r="CC141" t="s">
        <v>196</v>
      </c>
      <c r="CD141" s="150">
        <v>0.2629590847793879</v>
      </c>
      <c r="CE141" t="s">
        <v>199</v>
      </c>
      <c r="CF141" t="s">
        <v>166</v>
      </c>
      <c r="CG141" t="s">
        <v>200</v>
      </c>
      <c r="CH141" t="s">
        <v>166</v>
      </c>
      <c r="CI141" t="s">
        <v>166</v>
      </c>
      <c r="CJ141" s="139">
        <v>34.413098438968689</v>
      </c>
      <c r="CK141" t="s">
        <v>201</v>
      </c>
      <c r="CL141">
        <v>2</v>
      </c>
      <c r="CM141">
        <v>2</v>
      </c>
      <c r="CN141" t="s">
        <v>166</v>
      </c>
      <c r="CO141" s="139">
        <v>3.7839949482991222</v>
      </c>
      <c r="CP141" t="s">
        <v>166</v>
      </c>
      <c r="CQ141" t="s">
        <v>166</v>
      </c>
      <c r="CR141" t="s">
        <v>166</v>
      </c>
      <c r="CS141" s="153" t="s">
        <v>202</v>
      </c>
      <c r="CT141" t="s">
        <v>203</v>
      </c>
      <c r="CU141">
        <v>2.2000000000000002</v>
      </c>
      <c r="CV141" t="s">
        <v>204</v>
      </c>
      <c r="CW141" t="s">
        <v>166</v>
      </c>
      <c r="CX141" t="s">
        <v>166</v>
      </c>
      <c r="CY141" t="s">
        <v>166</v>
      </c>
      <c r="CZ141" t="s">
        <v>166</v>
      </c>
      <c r="DA141" s="154" t="s">
        <v>166</v>
      </c>
      <c r="DB141" t="s">
        <v>166</v>
      </c>
      <c r="DC141" t="s">
        <v>166</v>
      </c>
      <c r="DD141" t="s">
        <v>166</v>
      </c>
      <c r="DE141" t="s">
        <v>166</v>
      </c>
      <c r="DF141" t="s">
        <v>205</v>
      </c>
      <c r="DG141">
        <v>35</v>
      </c>
      <c r="DH141" t="s">
        <v>201</v>
      </c>
      <c r="DI141">
        <v>1</v>
      </c>
      <c r="DJ141" t="s">
        <v>206</v>
      </c>
      <c r="DK141">
        <v>17</v>
      </c>
      <c r="DL141" t="s">
        <v>166</v>
      </c>
      <c r="DM141" t="s">
        <v>166</v>
      </c>
      <c r="DN141" t="s">
        <v>207</v>
      </c>
      <c r="DO141">
        <v>38</v>
      </c>
      <c r="DP141" t="s">
        <v>208</v>
      </c>
      <c r="DQ141">
        <v>3</v>
      </c>
      <c r="DR141" t="s">
        <v>209</v>
      </c>
      <c r="DS141" t="s">
        <v>166</v>
      </c>
      <c r="DT141" t="s">
        <v>166</v>
      </c>
      <c r="DU141" t="s">
        <v>166</v>
      </c>
      <c r="DV141" t="s">
        <v>166</v>
      </c>
      <c r="DW141">
        <v>432.6</v>
      </c>
      <c r="DX141" t="s">
        <v>166</v>
      </c>
      <c r="DY141" t="s">
        <v>166</v>
      </c>
      <c r="DZ141" t="s">
        <v>210</v>
      </c>
      <c r="EA141" t="s">
        <v>361</v>
      </c>
      <c r="EB141" t="s">
        <v>212</v>
      </c>
      <c r="EC141" t="s">
        <v>166</v>
      </c>
      <c r="ED141" t="s">
        <v>213</v>
      </c>
      <c r="EE141" s="155" t="s">
        <v>214</v>
      </c>
      <c r="EF141" s="155" t="s">
        <v>214</v>
      </c>
      <c r="EG141">
        <v>1.0271999999999999</v>
      </c>
      <c r="EH141" t="s">
        <v>215</v>
      </c>
      <c r="EI141" t="s">
        <v>215</v>
      </c>
      <c r="EJ141" t="s">
        <v>216</v>
      </c>
      <c r="EK141" t="s">
        <v>215</v>
      </c>
      <c r="EL141" t="s">
        <v>215</v>
      </c>
      <c r="EM141" t="s">
        <v>217</v>
      </c>
      <c r="EN141" s="156" t="s">
        <v>214</v>
      </c>
      <c r="EO141" s="156" t="s">
        <v>214</v>
      </c>
      <c r="EP141" s="156" t="s">
        <v>214</v>
      </c>
      <c r="EQ141" s="156" t="s">
        <v>214</v>
      </c>
      <c r="ET141" t="s">
        <v>218</v>
      </c>
      <c r="EU141" t="s">
        <v>219</v>
      </c>
      <c r="EV141" t="s">
        <v>213</v>
      </c>
      <c r="EW141" t="s">
        <v>166</v>
      </c>
      <c r="EX141" t="s">
        <v>166</v>
      </c>
      <c r="EY141" t="s">
        <v>166</v>
      </c>
      <c r="EZ141" t="s">
        <v>166</v>
      </c>
      <c r="FA141" s="157">
        <v>4.5</v>
      </c>
      <c r="FB141" t="s">
        <v>220</v>
      </c>
      <c r="FC141" s="157">
        <v>1</v>
      </c>
      <c r="FD141" s="157">
        <v>1</v>
      </c>
      <c r="FE141" s="177">
        <v>7.5220948721359902</v>
      </c>
      <c r="FF141" t="s">
        <v>221</v>
      </c>
      <c r="FG141" s="177">
        <v>4.1624740781609937E-2</v>
      </c>
      <c r="FH141" s="177">
        <v>4.6212460874340167E-2</v>
      </c>
      <c r="FI141" s="178">
        <v>1730.49681736616</v>
      </c>
      <c r="FK141" t="s">
        <v>166</v>
      </c>
      <c r="FL141" s="144">
        <f t="shared" si="79"/>
        <v>1730.49681736616</v>
      </c>
      <c r="FM141" s="178">
        <v>517.16012947597028</v>
      </c>
      <c r="FN141" s="178">
        <v>423.08899253336017</v>
      </c>
      <c r="FO141" t="s">
        <v>222</v>
      </c>
      <c r="FP141" t="s">
        <v>223</v>
      </c>
      <c r="FQ141" s="144" t="s">
        <v>166</v>
      </c>
      <c r="FR141" s="144" t="s">
        <v>166</v>
      </c>
      <c r="FS141" s="144" t="s">
        <v>166</v>
      </c>
      <c r="FT141" s="144" t="s">
        <v>166</v>
      </c>
      <c r="FU141" s="144" t="s">
        <v>166</v>
      </c>
      <c r="FV141" s="144" t="s">
        <v>166</v>
      </c>
      <c r="FW141" s="144" t="s">
        <v>166</v>
      </c>
      <c r="FX141" s="144" t="s">
        <v>166</v>
      </c>
      <c r="FY141" s="144" t="s">
        <v>166</v>
      </c>
      <c r="FZ141" s="144" t="s">
        <v>166</v>
      </c>
      <c r="GA141" s="144" t="s">
        <v>166</v>
      </c>
      <c r="GB141" s="144" t="s">
        <v>166</v>
      </c>
      <c r="GC141" s="158" t="s">
        <v>362</v>
      </c>
    </row>
    <row r="142" spans="1:185" ht="16">
      <c r="A142" s="140" t="s">
        <v>162</v>
      </c>
      <c r="B142" s="143" t="s">
        <v>163</v>
      </c>
      <c r="C142" s="140" t="s">
        <v>164</v>
      </c>
      <c r="D142" s="140" t="s">
        <v>165</v>
      </c>
      <c r="E142" s="140">
        <v>2020</v>
      </c>
      <c r="F142" t="s">
        <v>184</v>
      </c>
      <c r="G142" s="139">
        <v>51631.473541259766</v>
      </c>
      <c r="H142" s="147">
        <f t="shared" ref="H142" si="144">0.0083*G142^(0.9482)</f>
        <v>244.26634839156904</v>
      </c>
      <c r="I142" s="147">
        <f t="shared" si="135"/>
        <v>244.26634839156904</v>
      </c>
      <c r="J142" s="144">
        <v>1345.43612813807</v>
      </c>
      <c r="K142" s="144">
        <v>444.22995924579004</v>
      </c>
      <c r="L142" s="144">
        <v>327.16754589734001</v>
      </c>
      <c r="M142" t="b">
        <v>1</v>
      </c>
      <c r="N142">
        <v>3</v>
      </c>
      <c r="O142" s="140" t="s">
        <v>185</v>
      </c>
      <c r="P142" s="140" t="s">
        <v>166</v>
      </c>
      <c r="Q142" s="140" t="s">
        <v>166</v>
      </c>
      <c r="R142" s="140" t="s">
        <v>166</v>
      </c>
      <c r="S142" s="140" t="b">
        <v>1</v>
      </c>
      <c r="T142" s="140" t="b">
        <v>0</v>
      </c>
      <c r="U142" s="140" t="s">
        <v>166</v>
      </c>
      <c r="V142" s="140" t="b">
        <v>0</v>
      </c>
      <c r="W142" s="140" t="b">
        <v>0</v>
      </c>
      <c r="X142" s="140" t="s">
        <v>580</v>
      </c>
      <c r="Y142" s="148" t="s">
        <v>186</v>
      </c>
      <c r="Z142" t="s">
        <v>184</v>
      </c>
      <c r="AA142" s="149">
        <v>1409</v>
      </c>
      <c r="AB142" s="149" t="s">
        <v>250</v>
      </c>
      <c r="AC142" s="149">
        <v>17</v>
      </c>
      <c r="AD142" s="149">
        <v>3</v>
      </c>
      <c r="AE142" t="s">
        <v>166</v>
      </c>
      <c r="AF142" t="s">
        <v>166</v>
      </c>
      <c r="AG142" s="150">
        <v>135.11000000000001</v>
      </c>
      <c r="AH142" t="s">
        <v>166</v>
      </c>
      <c r="AI142" t="s">
        <v>166</v>
      </c>
      <c r="AJ142" t="s">
        <v>310</v>
      </c>
      <c r="AK142">
        <v>41.295653000000001</v>
      </c>
      <c r="AL142">
        <v>-49.233088000000002</v>
      </c>
      <c r="AM142">
        <v>30.975315093994141</v>
      </c>
      <c r="AN142" t="s">
        <v>166</v>
      </c>
      <c r="AO142">
        <v>-3500</v>
      </c>
      <c r="AP142">
        <v>-3050</v>
      </c>
      <c r="AQ142" t="s">
        <v>341</v>
      </c>
      <c r="AR142" t="s">
        <v>166</v>
      </c>
      <c r="AS142" s="150">
        <v>51.631473541259766</v>
      </c>
      <c r="AT142" t="s">
        <v>166</v>
      </c>
      <c r="AU142" t="s">
        <v>166</v>
      </c>
      <c r="AV142" t="s">
        <v>166</v>
      </c>
      <c r="AW142" t="s">
        <v>166</v>
      </c>
      <c r="AX142" t="s">
        <v>166</v>
      </c>
      <c r="AY142" t="s">
        <v>190</v>
      </c>
      <c r="AZ142" t="s">
        <v>166</v>
      </c>
      <c r="BA142" t="s">
        <v>166</v>
      </c>
      <c r="BB142" t="s">
        <v>166</v>
      </c>
      <c r="BC142" t="s">
        <v>166</v>
      </c>
      <c r="BD142" t="s">
        <v>166</v>
      </c>
      <c r="BE142" t="s">
        <v>166</v>
      </c>
      <c r="BF142" t="s">
        <v>166</v>
      </c>
      <c r="BG142" s="151" t="s">
        <v>296</v>
      </c>
      <c r="BH142" s="149" t="s">
        <v>342</v>
      </c>
      <c r="BI142" t="s">
        <v>166</v>
      </c>
      <c r="BJ142" s="152" t="s">
        <v>166</v>
      </c>
      <c r="BK142" t="s">
        <v>343</v>
      </c>
      <c r="BL142" t="s">
        <v>194</v>
      </c>
      <c r="BM142" t="s">
        <v>195</v>
      </c>
      <c r="BN142" t="s">
        <v>166</v>
      </c>
      <c r="BO142" t="s">
        <v>166</v>
      </c>
      <c r="BP142" t="s">
        <v>166</v>
      </c>
      <c r="BQ142" s="150">
        <v>13.963375429412455</v>
      </c>
      <c r="BR142" t="s">
        <v>196</v>
      </c>
      <c r="BS142" s="150">
        <v>0.33079152201630624</v>
      </c>
      <c r="BT142">
        <v>0.88</v>
      </c>
      <c r="BU142" t="s">
        <v>197</v>
      </c>
      <c r="BV142" t="s">
        <v>166</v>
      </c>
      <c r="BW142">
        <v>1.748</v>
      </c>
      <c r="BX142" t="s">
        <v>197</v>
      </c>
      <c r="BY142" t="s">
        <v>166</v>
      </c>
      <c r="BZ142" t="s">
        <v>429</v>
      </c>
      <c r="CA142" t="s">
        <v>360</v>
      </c>
      <c r="CB142" s="150">
        <f t="shared" ref="CB142:CB158" si="145">BQ142*BT142+BW142</f>
        <v>14.03577037788296</v>
      </c>
      <c r="CC142" t="s">
        <v>196</v>
      </c>
      <c r="CD142" s="150">
        <v>0.33079152201630624</v>
      </c>
      <c r="CE142" t="s">
        <v>199</v>
      </c>
      <c r="CF142" t="s">
        <v>166</v>
      </c>
      <c r="CG142" t="s">
        <v>200</v>
      </c>
      <c r="CH142" t="s">
        <v>166</v>
      </c>
      <c r="CI142" t="s">
        <v>166</v>
      </c>
      <c r="CJ142" s="139">
        <v>36.605513796772918</v>
      </c>
      <c r="CK142" t="s">
        <v>201</v>
      </c>
      <c r="CL142">
        <v>2</v>
      </c>
      <c r="CM142">
        <v>2</v>
      </c>
      <c r="CN142" t="s">
        <v>166</v>
      </c>
      <c r="CO142" s="139">
        <v>4.2817149363344322</v>
      </c>
      <c r="CP142" t="s">
        <v>166</v>
      </c>
      <c r="CQ142" t="s">
        <v>166</v>
      </c>
      <c r="CR142" t="s">
        <v>166</v>
      </c>
      <c r="CS142" s="153" t="s">
        <v>202</v>
      </c>
      <c r="CT142" t="s">
        <v>203</v>
      </c>
      <c r="CU142">
        <v>2.2000000000000002</v>
      </c>
      <c r="CV142" t="s">
        <v>204</v>
      </c>
      <c r="CW142" t="s">
        <v>166</v>
      </c>
      <c r="CX142" t="s">
        <v>166</v>
      </c>
      <c r="CY142" t="s">
        <v>166</v>
      </c>
      <c r="CZ142" t="s">
        <v>166</v>
      </c>
      <c r="DA142" s="154" t="s">
        <v>166</v>
      </c>
      <c r="DB142" t="s">
        <v>166</v>
      </c>
      <c r="DC142" t="s">
        <v>166</v>
      </c>
      <c r="DD142" t="s">
        <v>166</v>
      </c>
      <c r="DE142" t="s">
        <v>166</v>
      </c>
      <c r="DF142" t="s">
        <v>205</v>
      </c>
      <c r="DG142">
        <v>35</v>
      </c>
      <c r="DH142" t="s">
        <v>201</v>
      </c>
      <c r="DI142">
        <v>1</v>
      </c>
      <c r="DJ142" t="s">
        <v>206</v>
      </c>
      <c r="DK142">
        <v>17</v>
      </c>
      <c r="DL142" t="s">
        <v>166</v>
      </c>
      <c r="DM142" t="s">
        <v>166</v>
      </c>
      <c r="DN142" t="s">
        <v>207</v>
      </c>
      <c r="DO142">
        <v>38</v>
      </c>
      <c r="DP142" t="s">
        <v>208</v>
      </c>
      <c r="DQ142">
        <v>3</v>
      </c>
      <c r="DR142" t="s">
        <v>209</v>
      </c>
      <c r="DS142" t="s">
        <v>166</v>
      </c>
      <c r="DT142" t="s">
        <v>166</v>
      </c>
      <c r="DU142" t="s">
        <v>166</v>
      </c>
      <c r="DV142" t="s">
        <v>166</v>
      </c>
      <c r="DW142">
        <v>432.6</v>
      </c>
      <c r="DX142" t="s">
        <v>166</v>
      </c>
      <c r="DY142" t="s">
        <v>166</v>
      </c>
      <c r="DZ142" t="s">
        <v>210</v>
      </c>
      <c r="EA142" t="s">
        <v>361</v>
      </c>
      <c r="EB142" t="s">
        <v>212</v>
      </c>
      <c r="EC142" t="s">
        <v>166</v>
      </c>
      <c r="ED142" t="s">
        <v>213</v>
      </c>
      <c r="EE142" s="155" t="s">
        <v>214</v>
      </c>
      <c r="EF142" s="155" t="s">
        <v>214</v>
      </c>
      <c r="EG142">
        <v>1.0271999999999999</v>
      </c>
      <c r="EH142" t="s">
        <v>215</v>
      </c>
      <c r="EI142" t="s">
        <v>215</v>
      </c>
      <c r="EJ142" t="s">
        <v>216</v>
      </c>
      <c r="EK142" t="s">
        <v>215</v>
      </c>
      <c r="EL142" t="s">
        <v>215</v>
      </c>
      <c r="EM142" t="s">
        <v>217</v>
      </c>
      <c r="EN142" s="156" t="s">
        <v>214</v>
      </c>
      <c r="EO142" s="156" t="s">
        <v>214</v>
      </c>
      <c r="EP142" s="156" t="s">
        <v>214</v>
      </c>
      <c r="EQ142" s="156" t="s">
        <v>214</v>
      </c>
      <c r="ET142" t="s">
        <v>218</v>
      </c>
      <c r="EU142" t="s">
        <v>219</v>
      </c>
      <c r="EV142" t="s">
        <v>213</v>
      </c>
      <c r="EW142" t="s">
        <v>166</v>
      </c>
      <c r="EX142" t="s">
        <v>166</v>
      </c>
      <c r="EY142" t="s">
        <v>166</v>
      </c>
      <c r="EZ142" t="s">
        <v>166</v>
      </c>
      <c r="FA142" s="157">
        <v>4.5</v>
      </c>
      <c r="FB142" t="s">
        <v>220</v>
      </c>
      <c r="FC142" s="157">
        <v>1</v>
      </c>
      <c r="FD142" s="157">
        <v>1</v>
      </c>
      <c r="FE142" s="177">
        <v>7.4944004565219302</v>
      </c>
      <c r="FF142" t="s">
        <v>221</v>
      </c>
      <c r="FG142" s="177">
        <v>4.9131201605439934E-2</v>
      </c>
      <c r="FH142" s="177">
        <v>5.4860905852110342E-2</v>
      </c>
      <c r="FI142" s="178">
        <v>1821.7874148420999</v>
      </c>
      <c r="FK142" t="s">
        <v>166</v>
      </c>
      <c r="FL142" s="144">
        <f t="shared" ref="FL142:FL149" si="146">FI142</f>
        <v>1821.7874148420999</v>
      </c>
      <c r="FM142" s="178">
        <v>573.98023593704988</v>
      </c>
      <c r="FN142" s="178">
        <v>453.06722009107989</v>
      </c>
      <c r="FO142" t="s">
        <v>222</v>
      </c>
      <c r="FP142" t="s">
        <v>223</v>
      </c>
      <c r="FQ142" s="144" t="s">
        <v>166</v>
      </c>
      <c r="FR142" s="144" t="s">
        <v>166</v>
      </c>
      <c r="FS142" s="144" t="s">
        <v>166</v>
      </c>
      <c r="FT142" s="144" t="s">
        <v>166</v>
      </c>
      <c r="FU142" s="144" t="s">
        <v>166</v>
      </c>
      <c r="FV142" s="144" t="s">
        <v>166</v>
      </c>
      <c r="FW142" s="144" t="s">
        <v>166</v>
      </c>
      <c r="FX142" s="144" t="s">
        <v>166</v>
      </c>
      <c r="FY142" s="144" t="s">
        <v>166</v>
      </c>
      <c r="FZ142" s="144" t="s">
        <v>166</v>
      </c>
      <c r="GA142" s="144" t="s">
        <v>166</v>
      </c>
      <c r="GB142" s="144" t="s">
        <v>166</v>
      </c>
      <c r="GC142" s="158" t="s">
        <v>362</v>
      </c>
    </row>
    <row r="143" spans="1:185" ht="16">
      <c r="A143" s="140" t="s">
        <v>162</v>
      </c>
      <c r="B143" s="143" t="s">
        <v>163</v>
      </c>
      <c r="C143" s="140" t="s">
        <v>164</v>
      </c>
      <c r="D143" s="140" t="s">
        <v>165</v>
      </c>
      <c r="E143" s="140">
        <v>2020</v>
      </c>
      <c r="F143" t="s">
        <v>184</v>
      </c>
      <c r="G143" s="139">
        <v>51658.061981201172</v>
      </c>
      <c r="H143" s="147">
        <f t="shared" ref="H143" si="147">0.0083*G143^(0.9482)</f>
        <v>244.38561974184125</v>
      </c>
      <c r="I143" s="147">
        <f t="shared" si="135"/>
        <v>244.38561974184125</v>
      </c>
      <c r="J143" s="144">
        <v>1671.1493822269399</v>
      </c>
      <c r="K143" s="144">
        <v>532.59385204200998</v>
      </c>
      <c r="L143" s="144">
        <v>435.66579510606994</v>
      </c>
      <c r="M143" t="b">
        <v>1</v>
      </c>
      <c r="N143">
        <v>3</v>
      </c>
      <c r="O143" s="140" t="s">
        <v>185</v>
      </c>
      <c r="P143" s="140" t="s">
        <v>166</v>
      </c>
      <c r="Q143" s="140" t="s">
        <v>166</v>
      </c>
      <c r="R143" s="140" t="s">
        <v>166</v>
      </c>
      <c r="S143" s="140" t="b">
        <v>1</v>
      </c>
      <c r="T143" s="140" t="b">
        <v>0</v>
      </c>
      <c r="U143" s="140" t="s">
        <v>166</v>
      </c>
      <c r="V143" s="140" t="b">
        <v>0</v>
      </c>
      <c r="W143" s="140" t="b">
        <v>0</v>
      </c>
      <c r="X143" s="140" t="s">
        <v>580</v>
      </c>
      <c r="Y143" s="148" t="s">
        <v>186</v>
      </c>
      <c r="Z143" t="s">
        <v>184</v>
      </c>
      <c r="AA143" s="149">
        <v>1409</v>
      </c>
      <c r="AB143" s="149" t="s">
        <v>250</v>
      </c>
      <c r="AC143" s="149">
        <v>17</v>
      </c>
      <c r="AD143" s="149">
        <v>3</v>
      </c>
      <c r="AE143" t="s">
        <v>166</v>
      </c>
      <c r="AF143" t="s">
        <v>166</v>
      </c>
      <c r="AG143" s="149">
        <v>135.41</v>
      </c>
      <c r="AH143" t="s">
        <v>166</v>
      </c>
      <c r="AI143" t="s">
        <v>166</v>
      </c>
      <c r="AJ143" t="s">
        <v>310</v>
      </c>
      <c r="AK143">
        <v>41.295653000000001</v>
      </c>
      <c r="AL143">
        <v>-49.233088000000002</v>
      </c>
      <c r="AM143">
        <v>30.975912094116211</v>
      </c>
      <c r="AN143" t="s">
        <v>166</v>
      </c>
      <c r="AO143">
        <v>-3500</v>
      </c>
      <c r="AP143">
        <v>-3050</v>
      </c>
      <c r="AQ143" t="s">
        <v>344</v>
      </c>
      <c r="AR143" t="s">
        <v>166</v>
      </c>
      <c r="AS143" s="164">
        <v>51.658061981201172</v>
      </c>
      <c r="AT143" t="s">
        <v>166</v>
      </c>
      <c r="AU143" t="s">
        <v>166</v>
      </c>
      <c r="AV143" t="s">
        <v>166</v>
      </c>
      <c r="AW143" t="s">
        <v>166</v>
      </c>
      <c r="AX143" t="s">
        <v>166</v>
      </c>
      <c r="AY143" t="s">
        <v>190</v>
      </c>
      <c r="AZ143" t="s">
        <v>166</v>
      </c>
      <c r="BA143" t="s">
        <v>166</v>
      </c>
      <c r="BB143" t="s">
        <v>166</v>
      </c>
      <c r="BC143" t="s">
        <v>166</v>
      </c>
      <c r="BD143" t="s">
        <v>166</v>
      </c>
      <c r="BE143" t="s">
        <v>166</v>
      </c>
      <c r="BF143" t="s">
        <v>166</v>
      </c>
      <c r="BG143" s="151" t="s">
        <v>337</v>
      </c>
      <c r="BH143" s="149" t="s">
        <v>192</v>
      </c>
      <c r="BI143" t="s">
        <v>166</v>
      </c>
      <c r="BJ143" s="152" t="s">
        <v>166</v>
      </c>
      <c r="BK143" t="s">
        <v>345</v>
      </c>
      <c r="BL143" t="s">
        <v>194</v>
      </c>
      <c r="BM143" t="s">
        <v>195</v>
      </c>
      <c r="BN143" t="s">
        <v>166</v>
      </c>
      <c r="BO143" t="s">
        <v>166</v>
      </c>
      <c r="BP143" t="s">
        <v>166</v>
      </c>
      <c r="BQ143" s="150">
        <v>13.65045304546357</v>
      </c>
      <c r="BR143" t="s">
        <v>196</v>
      </c>
      <c r="BS143" s="150">
        <v>0.26907541486335873</v>
      </c>
      <c r="BT143">
        <v>0.88</v>
      </c>
      <c r="BU143" t="s">
        <v>197</v>
      </c>
      <c r="BV143" t="s">
        <v>166</v>
      </c>
      <c r="BW143">
        <v>1.748</v>
      </c>
      <c r="BX143" t="s">
        <v>197</v>
      </c>
      <c r="BY143" t="s">
        <v>166</v>
      </c>
      <c r="BZ143" t="s">
        <v>430</v>
      </c>
      <c r="CA143" t="s">
        <v>360</v>
      </c>
      <c r="CB143" s="150">
        <f t="shared" si="145"/>
        <v>13.76039868000794</v>
      </c>
      <c r="CC143" t="s">
        <v>196</v>
      </c>
      <c r="CD143" s="150">
        <v>0.26907541486335873</v>
      </c>
      <c r="CE143" t="s">
        <v>199</v>
      </c>
      <c r="CF143" t="s">
        <v>166</v>
      </c>
      <c r="CG143" t="s">
        <v>200</v>
      </c>
      <c r="CH143" t="s">
        <v>166</v>
      </c>
      <c r="CI143" t="s">
        <v>166</v>
      </c>
      <c r="CJ143" s="139">
        <v>34.837176308770715</v>
      </c>
      <c r="CK143" t="s">
        <v>201</v>
      </c>
      <c r="CL143">
        <v>2</v>
      </c>
      <c r="CM143">
        <v>2</v>
      </c>
      <c r="CN143" t="s">
        <v>166</v>
      </c>
      <c r="CO143" s="139">
        <v>3.8755323779486304</v>
      </c>
      <c r="CP143" t="s">
        <v>166</v>
      </c>
      <c r="CQ143" t="s">
        <v>166</v>
      </c>
      <c r="CR143" t="s">
        <v>166</v>
      </c>
      <c r="CS143" s="153" t="s">
        <v>202</v>
      </c>
      <c r="CT143" t="s">
        <v>203</v>
      </c>
      <c r="CU143">
        <v>2.2000000000000002</v>
      </c>
      <c r="CV143" t="s">
        <v>204</v>
      </c>
      <c r="CW143" t="s">
        <v>166</v>
      </c>
      <c r="CX143" t="s">
        <v>166</v>
      </c>
      <c r="CY143" t="s">
        <v>166</v>
      </c>
      <c r="CZ143" t="s">
        <v>166</v>
      </c>
      <c r="DA143" s="154" t="s">
        <v>166</v>
      </c>
      <c r="DB143" t="s">
        <v>166</v>
      </c>
      <c r="DC143" t="s">
        <v>166</v>
      </c>
      <c r="DD143" t="s">
        <v>166</v>
      </c>
      <c r="DE143" t="s">
        <v>166</v>
      </c>
      <c r="DF143" t="s">
        <v>205</v>
      </c>
      <c r="DG143">
        <v>35</v>
      </c>
      <c r="DH143" t="s">
        <v>201</v>
      </c>
      <c r="DI143">
        <v>1</v>
      </c>
      <c r="DJ143" t="s">
        <v>206</v>
      </c>
      <c r="DK143">
        <v>17</v>
      </c>
      <c r="DL143" t="s">
        <v>166</v>
      </c>
      <c r="DM143" t="s">
        <v>166</v>
      </c>
      <c r="DN143" t="s">
        <v>207</v>
      </c>
      <c r="DO143">
        <v>38</v>
      </c>
      <c r="DP143" t="s">
        <v>208</v>
      </c>
      <c r="DQ143">
        <v>3</v>
      </c>
      <c r="DR143" t="s">
        <v>209</v>
      </c>
      <c r="DS143" t="s">
        <v>166</v>
      </c>
      <c r="DT143" t="s">
        <v>166</v>
      </c>
      <c r="DU143" t="s">
        <v>166</v>
      </c>
      <c r="DV143" t="s">
        <v>166</v>
      </c>
      <c r="DW143">
        <v>432.6</v>
      </c>
      <c r="DX143" t="s">
        <v>166</v>
      </c>
      <c r="DY143" t="s">
        <v>166</v>
      </c>
      <c r="DZ143" t="s">
        <v>210</v>
      </c>
      <c r="EA143" t="s">
        <v>361</v>
      </c>
      <c r="EB143" t="s">
        <v>212</v>
      </c>
      <c r="EC143" t="s">
        <v>166</v>
      </c>
      <c r="ED143" t="s">
        <v>213</v>
      </c>
      <c r="EE143" s="155" t="s">
        <v>214</v>
      </c>
      <c r="EF143" s="155" t="s">
        <v>214</v>
      </c>
      <c r="EG143">
        <v>1.0271999999999999</v>
      </c>
      <c r="EH143" t="s">
        <v>215</v>
      </c>
      <c r="EI143" t="s">
        <v>215</v>
      </c>
      <c r="EJ143" t="s">
        <v>216</v>
      </c>
      <c r="EK143" t="s">
        <v>215</v>
      </c>
      <c r="EL143" t="s">
        <v>215</v>
      </c>
      <c r="EM143" t="s">
        <v>217</v>
      </c>
      <c r="EN143" s="156" t="s">
        <v>214</v>
      </c>
      <c r="EO143" s="156" t="s">
        <v>214</v>
      </c>
      <c r="EP143" s="156" t="s">
        <v>214</v>
      </c>
      <c r="EQ143" s="156" t="s">
        <v>214</v>
      </c>
      <c r="ET143" t="s">
        <v>218</v>
      </c>
      <c r="EU143" t="s">
        <v>219</v>
      </c>
      <c r="EV143" t="s">
        <v>213</v>
      </c>
      <c r="EW143" t="s">
        <v>166</v>
      </c>
      <c r="EX143" t="s">
        <v>166</v>
      </c>
      <c r="EY143" t="s">
        <v>166</v>
      </c>
      <c r="EZ143" t="s">
        <v>166</v>
      </c>
      <c r="FA143" s="157">
        <v>4.5</v>
      </c>
      <c r="FB143" t="s">
        <v>220</v>
      </c>
      <c r="FC143" s="157">
        <v>1</v>
      </c>
      <c r="FD143" s="157">
        <v>1</v>
      </c>
      <c r="FE143" s="179">
        <v>7.4447630253628496</v>
      </c>
      <c r="FF143" t="s">
        <v>221</v>
      </c>
      <c r="FG143" s="179">
        <v>5.0575443762610028E-2</v>
      </c>
      <c r="FH143" s="179">
        <v>5.5869065595879341E-2</v>
      </c>
      <c r="FI143" s="178">
        <v>2390.35261643889</v>
      </c>
      <c r="FK143" t="s">
        <v>166</v>
      </c>
      <c r="FL143" s="144">
        <f t="shared" si="146"/>
        <v>2390.35261643889</v>
      </c>
      <c r="FM143" s="178">
        <v>854.82791853207027</v>
      </c>
      <c r="FN143" s="178">
        <v>600.14571465686981</v>
      </c>
      <c r="FO143" t="s">
        <v>222</v>
      </c>
      <c r="FP143" t="s">
        <v>223</v>
      </c>
      <c r="FQ143" s="144" t="s">
        <v>166</v>
      </c>
      <c r="FR143" s="144" t="s">
        <v>166</v>
      </c>
      <c r="FS143" s="144" t="s">
        <v>166</v>
      </c>
      <c r="FT143" s="144" t="s">
        <v>166</v>
      </c>
      <c r="FU143" s="144" t="s">
        <v>166</v>
      </c>
      <c r="FV143" s="144" t="s">
        <v>166</v>
      </c>
      <c r="FW143" s="144" t="s">
        <v>166</v>
      </c>
      <c r="FX143" s="144" t="s">
        <v>166</v>
      </c>
      <c r="FY143" s="144" t="s">
        <v>166</v>
      </c>
      <c r="FZ143" s="144" t="s">
        <v>166</v>
      </c>
      <c r="GA143" s="144" t="s">
        <v>166</v>
      </c>
      <c r="GB143" s="144" t="s">
        <v>166</v>
      </c>
      <c r="GC143" s="158" t="s">
        <v>362</v>
      </c>
    </row>
    <row r="144" spans="1:185" ht="16">
      <c r="A144" s="140" t="s">
        <v>162</v>
      </c>
      <c r="B144" s="143" t="s">
        <v>163</v>
      </c>
      <c r="C144" s="140" t="s">
        <v>164</v>
      </c>
      <c r="D144" s="140" t="s">
        <v>165</v>
      </c>
      <c r="E144" s="140">
        <v>2020</v>
      </c>
      <c r="F144" t="s">
        <v>184</v>
      </c>
      <c r="G144" s="139">
        <v>51658.061981201172</v>
      </c>
      <c r="H144" s="147">
        <f t="shared" ref="H144" si="148">0.0083*G144^(0.9482)</f>
        <v>244.38561974184125</v>
      </c>
      <c r="I144" s="147">
        <f t="shared" si="135"/>
        <v>244.38561974184125</v>
      </c>
      <c r="J144" s="144">
        <v>1489.0164883488001</v>
      </c>
      <c r="K144" s="144">
        <v>416.25645821924991</v>
      </c>
      <c r="L144" s="144">
        <v>354.31436809548018</v>
      </c>
      <c r="M144" t="b">
        <v>1</v>
      </c>
      <c r="N144">
        <v>3</v>
      </c>
      <c r="O144" s="140" t="s">
        <v>185</v>
      </c>
      <c r="P144" s="140" t="s">
        <v>166</v>
      </c>
      <c r="Q144" s="140" t="s">
        <v>166</v>
      </c>
      <c r="R144" s="140" t="s">
        <v>166</v>
      </c>
      <c r="S144" s="140" t="b">
        <v>1</v>
      </c>
      <c r="T144" s="140" t="b">
        <v>0</v>
      </c>
      <c r="U144" s="140" t="s">
        <v>166</v>
      </c>
      <c r="V144" s="140" t="b">
        <v>0</v>
      </c>
      <c r="W144" s="140" t="b">
        <v>0</v>
      </c>
      <c r="X144" s="140" t="s">
        <v>580</v>
      </c>
      <c r="Y144" s="148" t="s">
        <v>186</v>
      </c>
      <c r="Z144" t="s">
        <v>184</v>
      </c>
      <c r="AA144" s="149">
        <v>1409</v>
      </c>
      <c r="AB144" s="149" t="s">
        <v>250</v>
      </c>
      <c r="AC144" s="149">
        <v>17</v>
      </c>
      <c r="AD144" s="149">
        <v>3</v>
      </c>
      <c r="AE144" t="s">
        <v>166</v>
      </c>
      <c r="AF144" t="s">
        <v>166</v>
      </c>
      <c r="AG144" s="149">
        <v>135.41</v>
      </c>
      <c r="AH144" t="s">
        <v>166</v>
      </c>
      <c r="AI144" t="s">
        <v>166</v>
      </c>
      <c r="AJ144" t="s">
        <v>310</v>
      </c>
      <c r="AK144">
        <v>41.295653000000001</v>
      </c>
      <c r="AL144">
        <v>-49.233088000000002</v>
      </c>
      <c r="AM144">
        <v>30.975912094116211</v>
      </c>
      <c r="AN144" t="s">
        <v>166</v>
      </c>
      <c r="AO144">
        <v>-3500</v>
      </c>
      <c r="AP144">
        <v>-3050</v>
      </c>
      <c r="AQ144" t="s">
        <v>346</v>
      </c>
      <c r="AR144" t="s">
        <v>166</v>
      </c>
      <c r="AS144" s="164">
        <v>51.658061981201172</v>
      </c>
      <c r="AT144" t="s">
        <v>166</v>
      </c>
      <c r="AU144" t="s">
        <v>166</v>
      </c>
      <c r="AV144" t="s">
        <v>166</v>
      </c>
      <c r="AW144" t="s">
        <v>166</v>
      </c>
      <c r="AX144" t="s">
        <v>166</v>
      </c>
      <c r="AY144" t="s">
        <v>190</v>
      </c>
      <c r="AZ144" t="s">
        <v>166</v>
      </c>
      <c r="BA144" t="s">
        <v>166</v>
      </c>
      <c r="BB144" t="s">
        <v>166</v>
      </c>
      <c r="BC144" t="s">
        <v>166</v>
      </c>
      <c r="BD144" t="s">
        <v>166</v>
      </c>
      <c r="BE144" t="s">
        <v>166</v>
      </c>
      <c r="BF144" t="s">
        <v>166</v>
      </c>
      <c r="BG144" s="151" t="s">
        <v>337</v>
      </c>
      <c r="BH144" s="149" t="s">
        <v>192</v>
      </c>
      <c r="BI144" t="s">
        <v>166</v>
      </c>
      <c r="BJ144" s="152" t="s">
        <v>166</v>
      </c>
      <c r="BK144" t="s">
        <v>347</v>
      </c>
      <c r="BL144" t="s">
        <v>194</v>
      </c>
      <c r="BM144" t="s">
        <v>195</v>
      </c>
      <c r="BN144" t="s">
        <v>166</v>
      </c>
      <c r="BO144" t="s">
        <v>166</v>
      </c>
      <c r="BP144" t="s">
        <v>166</v>
      </c>
      <c r="BQ144" s="150">
        <v>13.805352191427072</v>
      </c>
      <c r="BR144" t="s">
        <v>196</v>
      </c>
      <c r="BS144" s="150">
        <v>0.25053981608910658</v>
      </c>
      <c r="BT144">
        <v>0.88</v>
      </c>
      <c r="BU144" t="s">
        <v>197</v>
      </c>
      <c r="BV144" t="s">
        <v>166</v>
      </c>
      <c r="BW144">
        <v>1.748</v>
      </c>
      <c r="BX144" t="s">
        <v>197</v>
      </c>
      <c r="BY144" t="s">
        <v>166</v>
      </c>
      <c r="BZ144" t="s">
        <v>431</v>
      </c>
      <c r="CA144" t="s">
        <v>360</v>
      </c>
      <c r="CB144" s="150">
        <f t="shared" si="145"/>
        <v>13.896709928455824</v>
      </c>
      <c r="CC144" t="s">
        <v>196</v>
      </c>
      <c r="CD144" s="150">
        <v>0.25053981608910658</v>
      </c>
      <c r="CE144" t="s">
        <v>199</v>
      </c>
      <c r="CF144" t="s">
        <v>166</v>
      </c>
      <c r="CG144" t="s">
        <v>200</v>
      </c>
      <c r="CH144" t="s">
        <v>166</v>
      </c>
      <c r="CI144" t="s">
        <v>166</v>
      </c>
      <c r="CJ144" s="139">
        <v>35.437027420636468</v>
      </c>
      <c r="CK144" t="s">
        <v>201</v>
      </c>
      <c r="CL144">
        <v>2</v>
      </c>
      <c r="CM144">
        <v>2</v>
      </c>
      <c r="CN144" t="s">
        <v>166</v>
      </c>
      <c r="CO144" s="139">
        <v>4.0088044282511976</v>
      </c>
      <c r="CP144" t="s">
        <v>166</v>
      </c>
      <c r="CQ144" t="s">
        <v>166</v>
      </c>
      <c r="CR144" t="s">
        <v>166</v>
      </c>
      <c r="CS144" s="153" t="s">
        <v>202</v>
      </c>
      <c r="CT144" t="s">
        <v>203</v>
      </c>
      <c r="CU144">
        <v>2.2000000000000002</v>
      </c>
      <c r="CV144" t="s">
        <v>204</v>
      </c>
      <c r="CW144" t="s">
        <v>166</v>
      </c>
      <c r="CX144" t="s">
        <v>166</v>
      </c>
      <c r="CY144" t="s">
        <v>166</v>
      </c>
      <c r="CZ144" t="s">
        <v>166</v>
      </c>
      <c r="DA144" s="154" t="s">
        <v>166</v>
      </c>
      <c r="DB144" t="s">
        <v>166</v>
      </c>
      <c r="DC144" t="s">
        <v>166</v>
      </c>
      <c r="DD144" t="s">
        <v>166</v>
      </c>
      <c r="DE144" t="s">
        <v>166</v>
      </c>
      <c r="DF144" t="s">
        <v>205</v>
      </c>
      <c r="DG144">
        <v>35</v>
      </c>
      <c r="DH144" t="s">
        <v>201</v>
      </c>
      <c r="DI144">
        <v>1</v>
      </c>
      <c r="DJ144" t="s">
        <v>206</v>
      </c>
      <c r="DK144">
        <v>17</v>
      </c>
      <c r="DL144" t="s">
        <v>166</v>
      </c>
      <c r="DM144" t="s">
        <v>166</v>
      </c>
      <c r="DN144" t="s">
        <v>207</v>
      </c>
      <c r="DO144">
        <v>38</v>
      </c>
      <c r="DP144" t="s">
        <v>208</v>
      </c>
      <c r="DQ144">
        <v>3</v>
      </c>
      <c r="DR144" t="s">
        <v>209</v>
      </c>
      <c r="DS144" t="s">
        <v>166</v>
      </c>
      <c r="DT144" t="s">
        <v>166</v>
      </c>
      <c r="DU144" t="s">
        <v>166</v>
      </c>
      <c r="DV144" t="s">
        <v>166</v>
      </c>
      <c r="DW144">
        <v>432.6</v>
      </c>
      <c r="DX144" t="s">
        <v>166</v>
      </c>
      <c r="DY144" t="s">
        <v>166</v>
      </c>
      <c r="DZ144" t="s">
        <v>210</v>
      </c>
      <c r="EA144" t="s">
        <v>361</v>
      </c>
      <c r="EB144" t="s">
        <v>212</v>
      </c>
      <c r="EC144" t="s">
        <v>166</v>
      </c>
      <c r="ED144" t="s">
        <v>213</v>
      </c>
      <c r="EE144" s="155" t="s">
        <v>214</v>
      </c>
      <c r="EF144" s="155" t="s">
        <v>214</v>
      </c>
      <c r="EG144">
        <v>1.0271999999999999</v>
      </c>
      <c r="EH144" t="s">
        <v>215</v>
      </c>
      <c r="EI144" t="s">
        <v>215</v>
      </c>
      <c r="EJ144" t="s">
        <v>216</v>
      </c>
      <c r="EK144" t="s">
        <v>215</v>
      </c>
      <c r="EL144" t="s">
        <v>215</v>
      </c>
      <c r="EM144" t="s">
        <v>217</v>
      </c>
      <c r="EN144" s="156" t="s">
        <v>214</v>
      </c>
      <c r="EO144" s="156" t="s">
        <v>214</v>
      </c>
      <c r="EP144" s="156" t="s">
        <v>214</v>
      </c>
      <c r="EQ144" s="156" t="s">
        <v>214</v>
      </c>
      <c r="ET144" t="s">
        <v>218</v>
      </c>
      <c r="EU144" t="s">
        <v>219</v>
      </c>
      <c r="EV144" t="s">
        <v>213</v>
      </c>
      <c r="EW144" t="s">
        <v>166</v>
      </c>
      <c r="EX144" t="s">
        <v>166</v>
      </c>
      <c r="EY144" t="s">
        <v>166</v>
      </c>
      <c r="EZ144" t="s">
        <v>166</v>
      </c>
      <c r="FA144" s="157">
        <v>4.5</v>
      </c>
      <c r="FB144" t="s">
        <v>220</v>
      </c>
      <c r="FC144" s="157">
        <v>1</v>
      </c>
      <c r="FD144" s="157">
        <v>1</v>
      </c>
      <c r="FE144" s="179">
        <v>7.4719663565544598</v>
      </c>
      <c r="FF144" t="s">
        <v>221</v>
      </c>
      <c r="FG144" s="179">
        <v>4.5387608662780465E-2</v>
      </c>
      <c r="FH144" s="179">
        <v>4.9177129711980072E-2</v>
      </c>
      <c r="FI144" s="178">
        <v>2069.4257560546898</v>
      </c>
      <c r="FK144" t="s">
        <v>166</v>
      </c>
      <c r="FL144" s="144">
        <f t="shared" si="146"/>
        <v>2069.4257560546898</v>
      </c>
      <c r="FM144" s="178">
        <v>670.90475889164009</v>
      </c>
      <c r="FN144" s="178">
        <v>476.74956939044</v>
      </c>
      <c r="FO144" t="s">
        <v>222</v>
      </c>
      <c r="FP144" t="s">
        <v>223</v>
      </c>
      <c r="FQ144" s="144" t="s">
        <v>166</v>
      </c>
      <c r="FR144" s="144" t="s">
        <v>166</v>
      </c>
      <c r="FS144" s="144" t="s">
        <v>166</v>
      </c>
      <c r="FT144" s="144" t="s">
        <v>166</v>
      </c>
      <c r="FU144" s="144" t="s">
        <v>166</v>
      </c>
      <c r="FV144" s="144" t="s">
        <v>166</v>
      </c>
      <c r="FW144" s="144" t="s">
        <v>166</v>
      </c>
      <c r="FX144" s="144" t="s">
        <v>166</v>
      </c>
      <c r="FY144" s="144" t="s">
        <v>166</v>
      </c>
      <c r="FZ144" s="144" t="s">
        <v>166</v>
      </c>
      <c r="GA144" s="144" t="s">
        <v>166</v>
      </c>
      <c r="GB144" s="144" t="s">
        <v>166</v>
      </c>
      <c r="GC144" s="158" t="s">
        <v>362</v>
      </c>
    </row>
    <row r="145" spans="1:192" ht="16">
      <c r="A145" s="140" t="s">
        <v>162</v>
      </c>
      <c r="B145" s="143" t="s">
        <v>163</v>
      </c>
      <c r="C145" s="140" t="s">
        <v>164</v>
      </c>
      <c r="D145" s="140" t="s">
        <v>165</v>
      </c>
      <c r="E145" s="140">
        <v>2020</v>
      </c>
      <c r="F145" t="s">
        <v>184</v>
      </c>
      <c r="G145" s="139">
        <v>51658.061981201172</v>
      </c>
      <c r="H145" s="147">
        <f t="shared" ref="H145" si="149">0.0083*G145^(0.9482)</f>
        <v>244.38561974184125</v>
      </c>
      <c r="I145" s="147">
        <f t="shared" si="135"/>
        <v>244.38561974184125</v>
      </c>
      <c r="J145" s="144">
        <v>1407.6714184192199</v>
      </c>
      <c r="K145" s="144">
        <v>418.56852172320009</v>
      </c>
      <c r="L145" s="144">
        <v>322.5667670737098</v>
      </c>
      <c r="M145" t="b">
        <v>1</v>
      </c>
      <c r="N145">
        <v>3</v>
      </c>
      <c r="O145" s="140" t="s">
        <v>185</v>
      </c>
      <c r="P145" s="140" t="s">
        <v>166</v>
      </c>
      <c r="Q145" s="140" t="s">
        <v>166</v>
      </c>
      <c r="R145" s="140" t="s">
        <v>166</v>
      </c>
      <c r="S145" s="140" t="b">
        <v>1</v>
      </c>
      <c r="T145" s="140" t="b">
        <v>0</v>
      </c>
      <c r="U145" s="140" t="s">
        <v>166</v>
      </c>
      <c r="V145" s="140" t="b">
        <v>0</v>
      </c>
      <c r="W145" s="140" t="b">
        <v>0</v>
      </c>
      <c r="X145" s="140" t="s">
        <v>580</v>
      </c>
      <c r="Y145" s="148" t="s">
        <v>186</v>
      </c>
      <c r="Z145" t="s">
        <v>184</v>
      </c>
      <c r="AA145" s="149">
        <v>1409</v>
      </c>
      <c r="AB145" s="149" t="s">
        <v>250</v>
      </c>
      <c r="AC145" s="149">
        <v>17</v>
      </c>
      <c r="AD145" s="149">
        <v>3</v>
      </c>
      <c r="AE145" t="s">
        <v>166</v>
      </c>
      <c r="AF145" t="s">
        <v>166</v>
      </c>
      <c r="AG145" s="149">
        <v>135.41</v>
      </c>
      <c r="AH145" t="s">
        <v>166</v>
      </c>
      <c r="AI145" t="s">
        <v>166</v>
      </c>
      <c r="AJ145" t="s">
        <v>310</v>
      </c>
      <c r="AK145">
        <v>41.295653000000001</v>
      </c>
      <c r="AL145">
        <v>-49.233088000000002</v>
      </c>
      <c r="AM145">
        <v>30.975912094116211</v>
      </c>
      <c r="AN145" t="s">
        <v>166</v>
      </c>
      <c r="AO145">
        <v>-3500</v>
      </c>
      <c r="AP145">
        <v>-3050</v>
      </c>
      <c r="AQ145" t="s">
        <v>348</v>
      </c>
      <c r="AR145" t="s">
        <v>166</v>
      </c>
      <c r="AS145" s="164">
        <v>51.658061981201172</v>
      </c>
      <c r="AT145" t="s">
        <v>166</v>
      </c>
      <c r="AU145" t="s">
        <v>166</v>
      </c>
      <c r="AV145" t="s">
        <v>166</v>
      </c>
      <c r="AW145" t="s">
        <v>166</v>
      </c>
      <c r="AX145" t="s">
        <v>166</v>
      </c>
      <c r="AY145" t="s">
        <v>190</v>
      </c>
      <c r="AZ145" t="s">
        <v>166</v>
      </c>
      <c r="BA145" t="s">
        <v>166</v>
      </c>
      <c r="BB145" t="s">
        <v>166</v>
      </c>
      <c r="BC145" t="s">
        <v>166</v>
      </c>
      <c r="BD145" t="s">
        <v>166</v>
      </c>
      <c r="BE145" t="s">
        <v>166</v>
      </c>
      <c r="BF145" t="s">
        <v>166</v>
      </c>
      <c r="BG145" s="151" t="s">
        <v>296</v>
      </c>
      <c r="BH145" s="149" t="s">
        <v>342</v>
      </c>
      <c r="BI145" t="s">
        <v>166</v>
      </c>
      <c r="BJ145" s="152" t="s">
        <v>166</v>
      </c>
      <c r="BK145" t="s">
        <v>349</v>
      </c>
      <c r="BL145" t="s">
        <v>194</v>
      </c>
      <c r="BM145" t="s">
        <v>195</v>
      </c>
      <c r="BN145" t="s">
        <v>166</v>
      </c>
      <c r="BO145" t="s">
        <v>166</v>
      </c>
      <c r="BP145" t="s">
        <v>166</v>
      </c>
      <c r="BQ145" s="150">
        <v>13.901332066042176</v>
      </c>
      <c r="BR145" t="s">
        <v>196</v>
      </c>
      <c r="BS145" s="150">
        <v>0.2579586404194702</v>
      </c>
      <c r="BT145">
        <v>0.88</v>
      </c>
      <c r="BU145" t="s">
        <v>197</v>
      </c>
      <c r="BV145" t="s">
        <v>166</v>
      </c>
      <c r="BW145">
        <v>1.748</v>
      </c>
      <c r="BX145" t="s">
        <v>197</v>
      </c>
      <c r="BY145" t="s">
        <v>166</v>
      </c>
      <c r="BZ145" t="s">
        <v>432</v>
      </c>
      <c r="CA145" t="s">
        <v>360</v>
      </c>
      <c r="CB145" s="150">
        <f t="shared" si="145"/>
        <v>13.981172218117115</v>
      </c>
      <c r="CC145" t="s">
        <v>196</v>
      </c>
      <c r="CD145" s="150">
        <v>0.2579586404194702</v>
      </c>
      <c r="CE145" t="s">
        <v>199</v>
      </c>
      <c r="CF145" t="s">
        <v>166</v>
      </c>
      <c r="CG145" t="s">
        <v>200</v>
      </c>
      <c r="CH145" t="s">
        <v>166</v>
      </c>
      <c r="CI145" t="s">
        <v>166</v>
      </c>
      <c r="CJ145" s="139">
        <v>36.278639016579085</v>
      </c>
      <c r="CK145" t="s">
        <v>201</v>
      </c>
      <c r="CL145">
        <v>2</v>
      </c>
      <c r="CM145">
        <v>2</v>
      </c>
      <c r="CN145" t="s">
        <v>166</v>
      </c>
      <c r="CO145" s="139">
        <v>4.2035510043000253</v>
      </c>
      <c r="CP145" t="s">
        <v>166</v>
      </c>
      <c r="CQ145" t="s">
        <v>166</v>
      </c>
      <c r="CR145" t="s">
        <v>166</v>
      </c>
      <c r="CS145" s="153" t="s">
        <v>202</v>
      </c>
      <c r="CT145" t="s">
        <v>203</v>
      </c>
      <c r="CU145">
        <v>2.2000000000000002</v>
      </c>
      <c r="CV145" t="s">
        <v>204</v>
      </c>
      <c r="CW145" t="s">
        <v>166</v>
      </c>
      <c r="CX145" t="s">
        <v>166</v>
      </c>
      <c r="CY145" t="s">
        <v>166</v>
      </c>
      <c r="CZ145" t="s">
        <v>166</v>
      </c>
      <c r="DA145" s="154" t="s">
        <v>166</v>
      </c>
      <c r="DB145" t="s">
        <v>166</v>
      </c>
      <c r="DC145" t="s">
        <v>166</v>
      </c>
      <c r="DD145" t="s">
        <v>166</v>
      </c>
      <c r="DE145" t="s">
        <v>166</v>
      </c>
      <c r="DF145" t="s">
        <v>205</v>
      </c>
      <c r="DG145">
        <v>35</v>
      </c>
      <c r="DH145" t="s">
        <v>201</v>
      </c>
      <c r="DI145">
        <v>1</v>
      </c>
      <c r="DJ145" t="s">
        <v>206</v>
      </c>
      <c r="DK145">
        <v>17</v>
      </c>
      <c r="DL145" t="s">
        <v>166</v>
      </c>
      <c r="DM145" t="s">
        <v>166</v>
      </c>
      <c r="DN145" t="s">
        <v>207</v>
      </c>
      <c r="DO145">
        <v>38</v>
      </c>
      <c r="DP145" t="s">
        <v>208</v>
      </c>
      <c r="DQ145">
        <v>3</v>
      </c>
      <c r="DR145" t="s">
        <v>209</v>
      </c>
      <c r="DS145" t="s">
        <v>166</v>
      </c>
      <c r="DT145" t="s">
        <v>166</v>
      </c>
      <c r="DU145" t="s">
        <v>166</v>
      </c>
      <c r="DV145" t="s">
        <v>166</v>
      </c>
      <c r="DW145">
        <v>432.6</v>
      </c>
      <c r="DX145" t="s">
        <v>166</v>
      </c>
      <c r="DY145" t="s">
        <v>166</v>
      </c>
      <c r="DZ145" t="s">
        <v>210</v>
      </c>
      <c r="EA145" t="s">
        <v>361</v>
      </c>
      <c r="EB145" t="s">
        <v>212</v>
      </c>
      <c r="EC145" t="s">
        <v>166</v>
      </c>
      <c r="ED145" t="s">
        <v>213</v>
      </c>
      <c r="EE145" s="155" t="s">
        <v>214</v>
      </c>
      <c r="EF145" s="155" t="s">
        <v>214</v>
      </c>
      <c r="EG145">
        <v>1.0271999999999999</v>
      </c>
      <c r="EH145" t="s">
        <v>215</v>
      </c>
      <c r="EI145" t="s">
        <v>215</v>
      </c>
      <c r="EJ145" t="s">
        <v>216</v>
      </c>
      <c r="EK145" t="s">
        <v>215</v>
      </c>
      <c r="EL145" t="s">
        <v>215</v>
      </c>
      <c r="EM145" t="s">
        <v>217</v>
      </c>
      <c r="EN145" s="156" t="s">
        <v>214</v>
      </c>
      <c r="EO145" s="156" t="s">
        <v>214</v>
      </c>
      <c r="EP145" s="156" t="s">
        <v>214</v>
      </c>
      <c r="EQ145" s="156" t="s">
        <v>214</v>
      </c>
      <c r="ET145" t="s">
        <v>218</v>
      </c>
      <c r="EU145" t="s">
        <v>219</v>
      </c>
      <c r="EV145" t="s">
        <v>213</v>
      </c>
      <c r="EW145" t="s">
        <v>166</v>
      </c>
      <c r="EX145" t="s">
        <v>166</v>
      </c>
      <c r="EY145" t="s">
        <v>166</v>
      </c>
      <c r="EZ145" t="s">
        <v>166</v>
      </c>
      <c r="FA145" s="157">
        <v>4.5</v>
      </c>
      <c r="FB145" t="s">
        <v>220</v>
      </c>
      <c r="FC145" s="157">
        <v>1</v>
      </c>
      <c r="FD145" s="157">
        <v>1</v>
      </c>
      <c r="FE145" s="179">
        <v>7.4840353503216601</v>
      </c>
      <c r="FF145" t="s">
        <v>221</v>
      </c>
      <c r="FG145" s="179">
        <v>4.4414048673250051E-2</v>
      </c>
      <c r="FH145" s="179">
        <v>4.3854927442150249E-2</v>
      </c>
      <c r="FI145" s="178">
        <v>1922.2357289318102</v>
      </c>
      <c r="FK145" t="s">
        <v>166</v>
      </c>
      <c r="FL145" s="144">
        <f t="shared" si="146"/>
        <v>1922.2357289318102</v>
      </c>
      <c r="FM145" s="178">
        <v>557.89245376444978</v>
      </c>
      <c r="FN145" s="178">
        <v>457.51978902142014</v>
      </c>
      <c r="FO145" t="s">
        <v>222</v>
      </c>
      <c r="FP145" t="s">
        <v>223</v>
      </c>
      <c r="FQ145" s="144" t="s">
        <v>166</v>
      </c>
      <c r="FR145" s="144" t="s">
        <v>166</v>
      </c>
      <c r="FS145" s="144" t="s">
        <v>166</v>
      </c>
      <c r="FT145" s="144" t="s">
        <v>166</v>
      </c>
      <c r="FU145" s="144" t="s">
        <v>166</v>
      </c>
      <c r="FV145" s="144" t="s">
        <v>166</v>
      </c>
      <c r="FW145" s="144" t="s">
        <v>166</v>
      </c>
      <c r="FX145" s="144" t="s">
        <v>166</v>
      </c>
      <c r="FY145" s="144" t="s">
        <v>166</v>
      </c>
      <c r="FZ145" s="144" t="s">
        <v>166</v>
      </c>
      <c r="GA145" s="144" t="s">
        <v>166</v>
      </c>
      <c r="GB145" s="144" t="s">
        <v>166</v>
      </c>
      <c r="GC145" s="158" t="s">
        <v>362</v>
      </c>
    </row>
    <row r="146" spans="1:192" ht="16">
      <c r="A146" s="140" t="s">
        <v>162</v>
      </c>
      <c r="B146" s="143" t="s">
        <v>163</v>
      </c>
      <c r="C146" s="140" t="s">
        <v>164</v>
      </c>
      <c r="D146" s="140" t="s">
        <v>165</v>
      </c>
      <c r="E146" s="140">
        <v>2020</v>
      </c>
      <c r="F146" t="s">
        <v>184</v>
      </c>
      <c r="G146" s="139">
        <v>51711.231231689453</v>
      </c>
      <c r="H146" s="147">
        <f t="shared" ref="H146" si="150">0.0083*G146^(0.9482)</f>
        <v>244.62411868245198</v>
      </c>
      <c r="I146" s="147">
        <f t="shared" si="135"/>
        <v>244.62411868245198</v>
      </c>
      <c r="J146" s="144">
        <v>1911.9983488974401</v>
      </c>
      <c r="K146" s="144">
        <v>668.35590085940999</v>
      </c>
      <c r="L146" s="144">
        <v>490.95339336381994</v>
      </c>
      <c r="M146" t="b">
        <v>1</v>
      </c>
      <c r="N146">
        <v>3</v>
      </c>
      <c r="O146" s="140" t="s">
        <v>185</v>
      </c>
      <c r="P146" s="140" t="s">
        <v>166</v>
      </c>
      <c r="Q146" s="140" t="s">
        <v>166</v>
      </c>
      <c r="R146" s="140" t="s">
        <v>166</v>
      </c>
      <c r="S146" s="140" t="b">
        <v>1</v>
      </c>
      <c r="T146" s="140" t="b">
        <v>0</v>
      </c>
      <c r="U146" s="140" t="s">
        <v>166</v>
      </c>
      <c r="V146" s="140" t="b">
        <v>0</v>
      </c>
      <c r="W146" s="140" t="b">
        <v>0</v>
      </c>
      <c r="X146" s="140" t="s">
        <v>580</v>
      </c>
      <c r="Y146" s="148" t="s">
        <v>186</v>
      </c>
      <c r="Z146" t="s">
        <v>184</v>
      </c>
      <c r="AA146" s="149">
        <v>1409</v>
      </c>
      <c r="AB146" s="149" t="s">
        <v>250</v>
      </c>
      <c r="AC146" s="149">
        <v>17</v>
      </c>
      <c r="AD146" s="149">
        <v>3</v>
      </c>
      <c r="AE146" t="s">
        <v>166</v>
      </c>
      <c r="AF146" t="s">
        <v>166</v>
      </c>
      <c r="AG146" s="149">
        <v>136.01</v>
      </c>
      <c r="AH146" t="s">
        <v>166</v>
      </c>
      <c r="AI146" t="s">
        <v>166</v>
      </c>
      <c r="AJ146" t="s">
        <v>310</v>
      </c>
      <c r="AK146">
        <v>41.295653000000001</v>
      </c>
      <c r="AL146">
        <v>-49.233088000000002</v>
      </c>
      <c r="AM146">
        <v>30.977108001708984</v>
      </c>
      <c r="AN146" t="s">
        <v>166</v>
      </c>
      <c r="AO146">
        <v>-3500</v>
      </c>
      <c r="AP146">
        <v>-3050</v>
      </c>
      <c r="AQ146" t="s">
        <v>350</v>
      </c>
      <c r="AR146" t="s">
        <v>166</v>
      </c>
      <c r="AS146" s="164">
        <v>51.711231231689453</v>
      </c>
      <c r="AT146" t="s">
        <v>166</v>
      </c>
      <c r="AU146" t="s">
        <v>166</v>
      </c>
      <c r="AV146" t="s">
        <v>166</v>
      </c>
      <c r="AW146" t="s">
        <v>166</v>
      </c>
      <c r="AX146" t="s">
        <v>166</v>
      </c>
      <c r="AY146" t="s">
        <v>190</v>
      </c>
      <c r="AZ146" t="s">
        <v>166</v>
      </c>
      <c r="BA146" t="s">
        <v>166</v>
      </c>
      <c r="BB146" t="s">
        <v>166</v>
      </c>
      <c r="BC146" t="s">
        <v>166</v>
      </c>
      <c r="BD146" t="s">
        <v>166</v>
      </c>
      <c r="BE146" t="s">
        <v>166</v>
      </c>
      <c r="BF146" t="s">
        <v>166</v>
      </c>
      <c r="BG146" s="151" t="s">
        <v>337</v>
      </c>
      <c r="BH146" s="149" t="s">
        <v>192</v>
      </c>
      <c r="BI146" t="s">
        <v>166</v>
      </c>
      <c r="BJ146" s="152" t="s">
        <v>166</v>
      </c>
      <c r="BK146" t="s">
        <v>351</v>
      </c>
      <c r="BL146" t="s">
        <v>194</v>
      </c>
      <c r="BM146" t="s">
        <v>195</v>
      </c>
      <c r="BN146" t="s">
        <v>166</v>
      </c>
      <c r="BO146" t="s">
        <v>166</v>
      </c>
      <c r="BP146" t="s">
        <v>166</v>
      </c>
      <c r="BQ146" s="150">
        <v>13.51471842956231</v>
      </c>
      <c r="BR146" t="s">
        <v>196</v>
      </c>
      <c r="BS146" s="150">
        <v>0.28740126836272079</v>
      </c>
      <c r="BT146">
        <v>0.88</v>
      </c>
      <c r="BU146" t="s">
        <v>197</v>
      </c>
      <c r="BV146" t="s">
        <v>166</v>
      </c>
      <c r="BW146">
        <v>1.748</v>
      </c>
      <c r="BX146" t="s">
        <v>197</v>
      </c>
      <c r="BY146" t="s">
        <v>166</v>
      </c>
      <c r="BZ146" t="s">
        <v>433</v>
      </c>
      <c r="CA146" t="s">
        <v>360</v>
      </c>
      <c r="CB146" s="150">
        <f t="shared" si="145"/>
        <v>13.640952218014831</v>
      </c>
      <c r="CC146" t="s">
        <v>196</v>
      </c>
      <c r="CD146" s="150">
        <v>0.28740126836272079</v>
      </c>
      <c r="CE146" t="s">
        <v>199</v>
      </c>
      <c r="CF146" t="s">
        <v>166</v>
      </c>
      <c r="CG146" t="s">
        <v>200</v>
      </c>
      <c r="CH146" t="s">
        <v>166</v>
      </c>
      <c r="CI146" t="s">
        <v>166</v>
      </c>
      <c r="CJ146" s="139">
        <v>35.602657475815718</v>
      </c>
      <c r="CK146" t="s">
        <v>201</v>
      </c>
      <c r="CL146">
        <v>2</v>
      </c>
      <c r="CM146">
        <v>2</v>
      </c>
      <c r="CN146" t="s">
        <v>166</v>
      </c>
      <c r="CO146" s="139">
        <v>4.0464041467202092</v>
      </c>
      <c r="CP146" t="s">
        <v>166</v>
      </c>
      <c r="CQ146" t="s">
        <v>166</v>
      </c>
      <c r="CR146" t="s">
        <v>166</v>
      </c>
      <c r="CS146" s="153" t="s">
        <v>202</v>
      </c>
      <c r="CT146" t="s">
        <v>203</v>
      </c>
      <c r="CU146">
        <v>2.2000000000000002</v>
      </c>
      <c r="CV146" t="s">
        <v>204</v>
      </c>
      <c r="CW146" t="s">
        <v>166</v>
      </c>
      <c r="CX146" t="s">
        <v>166</v>
      </c>
      <c r="CY146" t="s">
        <v>166</v>
      </c>
      <c r="CZ146" t="s">
        <v>166</v>
      </c>
      <c r="DA146" s="154" t="s">
        <v>166</v>
      </c>
      <c r="DB146" t="s">
        <v>166</v>
      </c>
      <c r="DC146" t="s">
        <v>166</v>
      </c>
      <c r="DD146" t="s">
        <v>166</v>
      </c>
      <c r="DE146" t="s">
        <v>166</v>
      </c>
      <c r="DF146" t="s">
        <v>205</v>
      </c>
      <c r="DG146">
        <v>35</v>
      </c>
      <c r="DH146" t="s">
        <v>201</v>
      </c>
      <c r="DI146">
        <v>1</v>
      </c>
      <c r="DJ146" t="s">
        <v>206</v>
      </c>
      <c r="DK146">
        <v>17</v>
      </c>
      <c r="DL146" t="s">
        <v>166</v>
      </c>
      <c r="DM146" t="s">
        <v>166</v>
      </c>
      <c r="DN146" t="s">
        <v>207</v>
      </c>
      <c r="DO146">
        <v>38</v>
      </c>
      <c r="DP146" t="s">
        <v>208</v>
      </c>
      <c r="DQ146">
        <v>3</v>
      </c>
      <c r="DR146" t="s">
        <v>209</v>
      </c>
      <c r="DS146" t="s">
        <v>166</v>
      </c>
      <c r="DT146" t="s">
        <v>166</v>
      </c>
      <c r="DU146" t="s">
        <v>166</v>
      </c>
      <c r="DV146" t="s">
        <v>166</v>
      </c>
      <c r="DW146">
        <v>432.6</v>
      </c>
      <c r="DX146" t="s">
        <v>166</v>
      </c>
      <c r="DY146" t="s">
        <v>166</v>
      </c>
      <c r="DZ146" t="s">
        <v>210</v>
      </c>
      <c r="EA146" t="s">
        <v>361</v>
      </c>
      <c r="EB146" t="s">
        <v>212</v>
      </c>
      <c r="EC146" t="s">
        <v>166</v>
      </c>
      <c r="ED146" t="s">
        <v>213</v>
      </c>
      <c r="EE146" s="155" t="s">
        <v>214</v>
      </c>
      <c r="EF146" s="155" t="s">
        <v>214</v>
      </c>
      <c r="EG146">
        <v>1.0271999999999999</v>
      </c>
      <c r="EH146" t="s">
        <v>215</v>
      </c>
      <c r="EI146" t="s">
        <v>215</v>
      </c>
      <c r="EJ146" t="s">
        <v>216</v>
      </c>
      <c r="EK146" t="s">
        <v>215</v>
      </c>
      <c r="EL146" t="s">
        <v>215</v>
      </c>
      <c r="EM146" t="s">
        <v>217</v>
      </c>
      <c r="EN146" s="156" t="s">
        <v>214</v>
      </c>
      <c r="EO146" s="156" t="s">
        <v>214</v>
      </c>
      <c r="EP146" s="156" t="s">
        <v>214</v>
      </c>
      <c r="EQ146" s="156" t="s">
        <v>214</v>
      </c>
      <c r="ET146" t="s">
        <v>218</v>
      </c>
      <c r="EU146" t="s">
        <v>219</v>
      </c>
      <c r="EV146" t="s">
        <v>213</v>
      </c>
      <c r="EW146" t="s">
        <v>166</v>
      </c>
      <c r="EX146" t="s">
        <v>166</v>
      </c>
      <c r="EY146" t="s">
        <v>166</v>
      </c>
      <c r="EZ146" t="s">
        <v>166</v>
      </c>
      <c r="FA146" s="157">
        <v>4.5</v>
      </c>
      <c r="FB146" t="s">
        <v>220</v>
      </c>
      <c r="FC146" s="157">
        <v>1</v>
      </c>
      <c r="FD146" s="157">
        <v>1</v>
      </c>
      <c r="FE146" s="179">
        <v>7.4020094404486301</v>
      </c>
      <c r="FF146" t="s">
        <v>221</v>
      </c>
      <c r="FG146" s="179">
        <v>5.3981748737199631E-2</v>
      </c>
      <c r="FH146" s="179">
        <v>6.1254992457399737E-2</v>
      </c>
      <c r="FI146" s="178">
        <v>2893.46265358443</v>
      </c>
      <c r="FK146" t="s">
        <v>166</v>
      </c>
      <c r="FL146" s="144">
        <f t="shared" si="146"/>
        <v>2893.46265358443</v>
      </c>
      <c r="FM146" s="178">
        <v>1047.0875628209005</v>
      </c>
      <c r="FN146" s="178">
        <v>776.0192956113201</v>
      </c>
      <c r="FO146" t="s">
        <v>222</v>
      </c>
      <c r="FP146" t="s">
        <v>223</v>
      </c>
      <c r="FQ146" s="144" t="s">
        <v>166</v>
      </c>
      <c r="FR146" s="144" t="s">
        <v>166</v>
      </c>
      <c r="FS146" s="144" t="s">
        <v>166</v>
      </c>
      <c r="FT146" s="144" t="s">
        <v>166</v>
      </c>
      <c r="FU146" s="144" t="s">
        <v>166</v>
      </c>
      <c r="FV146" s="144" t="s">
        <v>166</v>
      </c>
      <c r="FW146" s="144" t="s">
        <v>166</v>
      </c>
      <c r="FX146" s="144" t="s">
        <v>166</v>
      </c>
      <c r="FY146" s="144" t="s">
        <v>166</v>
      </c>
      <c r="FZ146" s="144" t="s">
        <v>166</v>
      </c>
      <c r="GA146" s="144" t="s">
        <v>166</v>
      </c>
      <c r="GB146" s="144" t="s">
        <v>166</v>
      </c>
      <c r="GC146" s="158" t="s">
        <v>362</v>
      </c>
    </row>
    <row r="147" spans="1:192" ht="16">
      <c r="A147" s="140" t="s">
        <v>162</v>
      </c>
      <c r="B147" s="143" t="s">
        <v>163</v>
      </c>
      <c r="C147" s="140" t="s">
        <v>164</v>
      </c>
      <c r="D147" s="140" t="s">
        <v>165</v>
      </c>
      <c r="E147" s="140">
        <v>2020</v>
      </c>
      <c r="F147" t="s">
        <v>184</v>
      </c>
      <c r="G147" s="139">
        <v>52881.664276123047</v>
      </c>
      <c r="H147" s="147">
        <f t="shared" ref="H147" si="151">0.0083*G147^(0.9482)</f>
        <v>249.87108471056331</v>
      </c>
      <c r="I147" s="147">
        <f t="shared" si="135"/>
        <v>249.87108471056331</v>
      </c>
      <c r="J147" s="144">
        <v>1284.46894972566</v>
      </c>
      <c r="K147" s="144">
        <v>389.30056815297007</v>
      </c>
      <c r="L147" s="144">
        <v>284.37282116179983</v>
      </c>
      <c r="M147" t="b">
        <v>1</v>
      </c>
      <c r="N147">
        <v>3</v>
      </c>
      <c r="O147" s="140" t="s">
        <v>185</v>
      </c>
      <c r="P147" s="140" t="s">
        <v>166</v>
      </c>
      <c r="Q147" s="140" t="s">
        <v>166</v>
      </c>
      <c r="R147" s="140" t="s">
        <v>166</v>
      </c>
      <c r="S147" s="140" t="b">
        <v>1</v>
      </c>
      <c r="T147" s="140" t="b">
        <v>0</v>
      </c>
      <c r="U147" s="140" t="s">
        <v>166</v>
      </c>
      <c r="V147" s="140" t="b">
        <v>0</v>
      </c>
      <c r="W147" s="140" t="b">
        <v>0</v>
      </c>
      <c r="X147" s="140" t="s">
        <v>580</v>
      </c>
      <c r="Y147" s="148" t="s">
        <v>186</v>
      </c>
      <c r="Z147" t="s">
        <v>184</v>
      </c>
      <c r="AA147" s="149">
        <v>1409</v>
      </c>
      <c r="AB147" s="149" t="s">
        <v>352</v>
      </c>
      <c r="AC147" s="149">
        <v>17</v>
      </c>
      <c r="AD147" s="149">
        <v>2</v>
      </c>
      <c r="AE147" t="s">
        <v>166</v>
      </c>
      <c r="AF147" t="s">
        <v>166</v>
      </c>
      <c r="AG147" s="150">
        <v>143.63999999999999</v>
      </c>
      <c r="AH147" t="s">
        <v>166</v>
      </c>
      <c r="AI147" t="s">
        <v>166</v>
      </c>
      <c r="AJ147" t="s">
        <v>310</v>
      </c>
      <c r="AK147">
        <v>41.295822000000001</v>
      </c>
      <c r="AL147">
        <v>-49.233086999999998</v>
      </c>
      <c r="AM147">
        <v>31.00340461730957</v>
      </c>
      <c r="AN147" t="s">
        <v>166</v>
      </c>
      <c r="AO147">
        <v>-3500</v>
      </c>
      <c r="AP147">
        <v>-3050</v>
      </c>
      <c r="AQ147" t="s">
        <v>353</v>
      </c>
      <c r="AR147" t="s">
        <v>166</v>
      </c>
      <c r="AS147" s="150">
        <v>52.881664276123047</v>
      </c>
      <c r="AT147" t="s">
        <v>166</v>
      </c>
      <c r="AU147" t="s">
        <v>166</v>
      </c>
      <c r="AV147" t="s">
        <v>166</v>
      </c>
      <c r="AW147" t="s">
        <v>166</v>
      </c>
      <c r="AX147" t="s">
        <v>166</v>
      </c>
      <c r="AY147" t="s">
        <v>190</v>
      </c>
      <c r="AZ147" t="s">
        <v>166</v>
      </c>
      <c r="BA147" t="s">
        <v>166</v>
      </c>
      <c r="BB147" t="s">
        <v>166</v>
      </c>
      <c r="BC147" t="s">
        <v>166</v>
      </c>
      <c r="BD147" t="s">
        <v>166</v>
      </c>
      <c r="BE147" t="s">
        <v>166</v>
      </c>
      <c r="BF147" t="s">
        <v>166</v>
      </c>
      <c r="BG147" s="151" t="s">
        <v>248</v>
      </c>
      <c r="BH147" s="149" t="s">
        <v>263</v>
      </c>
      <c r="BI147" t="s">
        <v>166</v>
      </c>
      <c r="BJ147" s="152" t="s">
        <v>166</v>
      </c>
      <c r="BK147" t="s">
        <v>354</v>
      </c>
      <c r="BL147" t="s">
        <v>194</v>
      </c>
      <c r="BM147" t="s">
        <v>195</v>
      </c>
      <c r="BN147" t="s">
        <v>166</v>
      </c>
      <c r="BO147" t="s">
        <v>166</v>
      </c>
      <c r="BP147" t="s">
        <v>166</v>
      </c>
      <c r="BQ147" s="150">
        <v>13.933551566276659</v>
      </c>
      <c r="BR147" t="s">
        <v>196</v>
      </c>
      <c r="BS147" s="150">
        <v>0.24605181785747809</v>
      </c>
      <c r="BT147">
        <v>0.88</v>
      </c>
      <c r="BU147" t="s">
        <v>197</v>
      </c>
      <c r="BV147" t="s">
        <v>166</v>
      </c>
      <c r="BW147">
        <v>1.748</v>
      </c>
      <c r="BX147" t="s">
        <v>197</v>
      </c>
      <c r="BY147" t="s">
        <v>166</v>
      </c>
      <c r="BZ147" t="s">
        <v>434</v>
      </c>
      <c r="CA147" t="s">
        <v>360</v>
      </c>
      <c r="CB147" s="150">
        <f t="shared" si="145"/>
        <v>14.00952537832346</v>
      </c>
      <c r="CC147" t="s">
        <v>196</v>
      </c>
      <c r="CD147" s="150">
        <v>0.24605181785747809</v>
      </c>
      <c r="CE147" t="s">
        <v>199</v>
      </c>
      <c r="CF147" t="s">
        <v>166</v>
      </c>
      <c r="CG147" t="s">
        <v>200</v>
      </c>
      <c r="CH147" t="s">
        <v>166</v>
      </c>
      <c r="CI147" t="s">
        <v>166</v>
      </c>
      <c r="CJ147" s="139">
        <v>32.916872074222105</v>
      </c>
      <c r="CK147" t="s">
        <v>201</v>
      </c>
      <c r="CL147">
        <v>2</v>
      </c>
      <c r="CM147">
        <v>2</v>
      </c>
      <c r="CN147" t="s">
        <v>166</v>
      </c>
      <c r="CO147" s="139">
        <v>3.4779638200079339</v>
      </c>
      <c r="CP147" t="s">
        <v>166</v>
      </c>
      <c r="CQ147" t="s">
        <v>166</v>
      </c>
      <c r="CR147" t="s">
        <v>166</v>
      </c>
      <c r="CS147" s="153" t="s">
        <v>202</v>
      </c>
      <c r="CT147" t="s">
        <v>203</v>
      </c>
      <c r="CU147">
        <v>2.2000000000000002</v>
      </c>
      <c r="CV147" t="s">
        <v>204</v>
      </c>
      <c r="CW147" t="s">
        <v>166</v>
      </c>
      <c r="CX147" t="s">
        <v>166</v>
      </c>
      <c r="CY147" t="s">
        <v>166</v>
      </c>
      <c r="CZ147" t="s">
        <v>166</v>
      </c>
      <c r="DA147" s="154" t="s">
        <v>166</v>
      </c>
      <c r="DB147" t="s">
        <v>166</v>
      </c>
      <c r="DC147" t="s">
        <v>166</v>
      </c>
      <c r="DD147" t="s">
        <v>166</v>
      </c>
      <c r="DE147" t="s">
        <v>166</v>
      </c>
      <c r="DF147" t="s">
        <v>205</v>
      </c>
      <c r="DG147">
        <v>35</v>
      </c>
      <c r="DH147" t="s">
        <v>201</v>
      </c>
      <c r="DI147">
        <v>1</v>
      </c>
      <c r="DJ147" t="s">
        <v>206</v>
      </c>
      <c r="DK147">
        <v>17</v>
      </c>
      <c r="DL147" t="s">
        <v>166</v>
      </c>
      <c r="DM147" t="s">
        <v>166</v>
      </c>
      <c r="DN147" t="s">
        <v>207</v>
      </c>
      <c r="DO147">
        <v>38</v>
      </c>
      <c r="DP147" t="s">
        <v>208</v>
      </c>
      <c r="DQ147">
        <v>3</v>
      </c>
      <c r="DR147" t="s">
        <v>209</v>
      </c>
      <c r="DS147" t="s">
        <v>166</v>
      </c>
      <c r="DT147" t="s">
        <v>166</v>
      </c>
      <c r="DU147" t="s">
        <v>166</v>
      </c>
      <c r="DV147" t="s">
        <v>166</v>
      </c>
      <c r="DW147">
        <v>432.6</v>
      </c>
      <c r="DX147" t="s">
        <v>166</v>
      </c>
      <c r="DY147" t="s">
        <v>166</v>
      </c>
      <c r="DZ147" t="s">
        <v>210</v>
      </c>
      <c r="EA147" t="s">
        <v>361</v>
      </c>
      <c r="EB147" t="s">
        <v>212</v>
      </c>
      <c r="EC147" t="s">
        <v>166</v>
      </c>
      <c r="ED147" t="s">
        <v>213</v>
      </c>
      <c r="EE147" s="155" t="s">
        <v>214</v>
      </c>
      <c r="EF147" s="155" t="s">
        <v>214</v>
      </c>
      <c r="EG147">
        <v>1.0271999999999999</v>
      </c>
      <c r="EH147" t="s">
        <v>215</v>
      </c>
      <c r="EI147" t="s">
        <v>215</v>
      </c>
      <c r="EJ147" t="s">
        <v>216</v>
      </c>
      <c r="EK147" t="s">
        <v>215</v>
      </c>
      <c r="EL147" t="s">
        <v>215</v>
      </c>
      <c r="EM147" t="s">
        <v>217</v>
      </c>
      <c r="EN147" s="156" t="s">
        <v>214</v>
      </c>
      <c r="EO147" s="156" t="s">
        <v>214</v>
      </c>
      <c r="EP147" s="156" t="s">
        <v>214</v>
      </c>
      <c r="EQ147" s="156" t="s">
        <v>214</v>
      </c>
      <c r="ET147" t="s">
        <v>218</v>
      </c>
      <c r="EU147" t="s">
        <v>219</v>
      </c>
      <c r="EV147" t="s">
        <v>213</v>
      </c>
      <c r="EW147" t="s">
        <v>166</v>
      </c>
      <c r="EX147" t="s">
        <v>166</v>
      </c>
      <c r="EY147" t="s">
        <v>166</v>
      </c>
      <c r="EZ147" t="s">
        <v>166</v>
      </c>
      <c r="FA147" s="157">
        <v>4.5</v>
      </c>
      <c r="FB147" t="s">
        <v>220</v>
      </c>
      <c r="FC147" s="157">
        <v>1</v>
      </c>
      <c r="FD147" s="157">
        <v>1</v>
      </c>
      <c r="FE147" s="177">
        <v>7.5292473173148897</v>
      </c>
      <c r="FF147" t="s">
        <v>221</v>
      </c>
      <c r="FG147" s="177">
        <v>4.3738554388740525E-2</v>
      </c>
      <c r="FH147" s="177">
        <v>4.3819198383519442E-2</v>
      </c>
      <c r="FI147" s="178">
        <v>1738.2199834110602</v>
      </c>
      <c r="FK147" t="s">
        <v>166</v>
      </c>
      <c r="FL147" s="144">
        <f t="shared" si="146"/>
        <v>1738.2199834110602</v>
      </c>
      <c r="FM147" s="178">
        <v>494.68421441440978</v>
      </c>
      <c r="FN147" s="178">
        <v>417.14756752849007</v>
      </c>
      <c r="FO147" t="s">
        <v>222</v>
      </c>
      <c r="FP147" t="s">
        <v>223</v>
      </c>
      <c r="FQ147" s="144" t="s">
        <v>166</v>
      </c>
      <c r="FR147" s="144" t="s">
        <v>166</v>
      </c>
      <c r="FS147" s="144" t="s">
        <v>166</v>
      </c>
      <c r="FT147" s="144" t="s">
        <v>166</v>
      </c>
      <c r="FU147" s="144" t="s">
        <v>166</v>
      </c>
      <c r="FV147" s="144" t="s">
        <v>166</v>
      </c>
      <c r="FW147" s="144" t="s">
        <v>166</v>
      </c>
      <c r="FX147" s="144" t="s">
        <v>166</v>
      </c>
      <c r="FY147" s="144" t="s">
        <v>166</v>
      </c>
      <c r="FZ147" s="144" t="s">
        <v>166</v>
      </c>
      <c r="GA147" s="144" t="s">
        <v>166</v>
      </c>
      <c r="GB147" s="144" t="s">
        <v>166</v>
      </c>
      <c r="GC147" s="158" t="s">
        <v>362</v>
      </c>
    </row>
    <row r="148" spans="1:192" ht="16">
      <c r="A148" s="140" t="s">
        <v>162</v>
      </c>
      <c r="B148" s="143" t="s">
        <v>163</v>
      </c>
      <c r="C148" s="140" t="s">
        <v>164</v>
      </c>
      <c r="D148" s="140" t="s">
        <v>165</v>
      </c>
      <c r="E148" s="140">
        <v>2020</v>
      </c>
      <c r="F148" t="s">
        <v>184</v>
      </c>
      <c r="G148" s="139">
        <v>52881.664276123047</v>
      </c>
      <c r="H148" s="147">
        <f t="shared" ref="H148" si="152">0.0083*G148^(0.9482)</f>
        <v>249.87108471056331</v>
      </c>
      <c r="I148" s="147">
        <f t="shared" si="135"/>
        <v>249.87108471056331</v>
      </c>
      <c r="J148" s="144">
        <v>940.434592113897</v>
      </c>
      <c r="K148" s="144">
        <v>252.460005634053</v>
      </c>
      <c r="L148" s="144">
        <v>207.17970402549497</v>
      </c>
      <c r="M148" t="b">
        <v>1</v>
      </c>
      <c r="N148">
        <v>3</v>
      </c>
      <c r="O148" s="140" t="s">
        <v>185</v>
      </c>
      <c r="P148" s="140" t="s">
        <v>166</v>
      </c>
      <c r="Q148" s="140" t="s">
        <v>166</v>
      </c>
      <c r="R148" s="140" t="s">
        <v>166</v>
      </c>
      <c r="S148" s="140" t="b">
        <v>1</v>
      </c>
      <c r="T148" s="140" t="b">
        <v>0</v>
      </c>
      <c r="U148" s="140" t="s">
        <v>166</v>
      </c>
      <c r="V148" s="140" t="b">
        <v>0</v>
      </c>
      <c r="W148" s="140" t="b">
        <v>0</v>
      </c>
      <c r="X148" s="140" t="s">
        <v>580</v>
      </c>
      <c r="Y148" s="148" t="s">
        <v>186</v>
      </c>
      <c r="Z148" t="s">
        <v>184</v>
      </c>
      <c r="AA148" s="149">
        <v>1409</v>
      </c>
      <c r="AB148" s="149" t="s">
        <v>352</v>
      </c>
      <c r="AC148" s="149">
        <v>17</v>
      </c>
      <c r="AD148" s="149">
        <v>2</v>
      </c>
      <c r="AE148" t="s">
        <v>166</v>
      </c>
      <c r="AF148" t="s">
        <v>166</v>
      </c>
      <c r="AG148" s="150">
        <v>143.63999999999999</v>
      </c>
      <c r="AH148" t="s">
        <v>166</v>
      </c>
      <c r="AI148" t="s">
        <v>166</v>
      </c>
      <c r="AJ148" t="s">
        <v>310</v>
      </c>
      <c r="AK148">
        <v>41.295822000000001</v>
      </c>
      <c r="AL148">
        <v>-49.233086999999998</v>
      </c>
      <c r="AM148">
        <v>31.00340461730957</v>
      </c>
      <c r="AN148" t="s">
        <v>166</v>
      </c>
      <c r="AO148">
        <v>-3500</v>
      </c>
      <c r="AP148">
        <v>-3050</v>
      </c>
      <c r="AQ148" t="s">
        <v>355</v>
      </c>
      <c r="AR148" t="s">
        <v>166</v>
      </c>
      <c r="AS148" s="150">
        <v>52.881664276123047</v>
      </c>
      <c r="AT148" t="s">
        <v>166</v>
      </c>
      <c r="AU148" t="s">
        <v>166</v>
      </c>
      <c r="AV148" t="s">
        <v>166</v>
      </c>
      <c r="AW148" t="s">
        <v>166</v>
      </c>
      <c r="AX148" t="s">
        <v>166</v>
      </c>
      <c r="AY148" t="s">
        <v>190</v>
      </c>
      <c r="AZ148" t="s">
        <v>166</v>
      </c>
      <c r="BA148" t="s">
        <v>166</v>
      </c>
      <c r="BB148" t="s">
        <v>166</v>
      </c>
      <c r="BC148" t="s">
        <v>166</v>
      </c>
      <c r="BD148" t="s">
        <v>166</v>
      </c>
      <c r="BE148" t="s">
        <v>166</v>
      </c>
      <c r="BF148" t="s">
        <v>166</v>
      </c>
      <c r="BG148" s="151" t="s">
        <v>238</v>
      </c>
      <c r="BH148" s="149" t="s">
        <v>263</v>
      </c>
      <c r="BI148" t="s">
        <v>166</v>
      </c>
      <c r="BJ148" s="152" t="s">
        <v>166</v>
      </c>
      <c r="BK148" t="s">
        <v>356</v>
      </c>
      <c r="BL148" t="s">
        <v>194</v>
      </c>
      <c r="BM148" t="s">
        <v>195</v>
      </c>
      <c r="BN148" t="s">
        <v>166</v>
      </c>
      <c r="BO148" t="s">
        <v>166</v>
      </c>
      <c r="BP148" t="s">
        <v>166</v>
      </c>
      <c r="BQ148" s="150">
        <v>14.385071766187867</v>
      </c>
      <c r="BR148" t="s">
        <v>196</v>
      </c>
      <c r="BS148" s="150">
        <v>0.25321267993790397</v>
      </c>
      <c r="BT148">
        <v>0.88</v>
      </c>
      <c r="BU148" t="s">
        <v>197</v>
      </c>
      <c r="BV148" t="s">
        <v>166</v>
      </c>
      <c r="BW148">
        <v>1.748</v>
      </c>
      <c r="BX148" t="s">
        <v>197</v>
      </c>
      <c r="BY148" t="s">
        <v>166</v>
      </c>
      <c r="BZ148" t="s">
        <v>435</v>
      </c>
      <c r="CA148" t="s">
        <v>360</v>
      </c>
      <c r="CB148" s="150">
        <f t="shared" si="145"/>
        <v>14.406863154245322</v>
      </c>
      <c r="CC148" t="s">
        <v>196</v>
      </c>
      <c r="CD148" s="150">
        <v>0.25321267993790397</v>
      </c>
      <c r="CE148" t="s">
        <v>199</v>
      </c>
      <c r="CF148" t="s">
        <v>166</v>
      </c>
      <c r="CG148" t="s">
        <v>200</v>
      </c>
      <c r="CH148" t="s">
        <v>166</v>
      </c>
      <c r="CI148" t="s">
        <v>166</v>
      </c>
      <c r="CJ148" s="139">
        <v>33.053101055642259</v>
      </c>
      <c r="CK148" t="s">
        <v>201</v>
      </c>
      <c r="CL148">
        <v>2</v>
      </c>
      <c r="CM148">
        <v>2</v>
      </c>
      <c r="CN148" t="s">
        <v>166</v>
      </c>
      <c r="CO148" s="139">
        <v>3.5047718430450976</v>
      </c>
      <c r="CP148" t="s">
        <v>166</v>
      </c>
      <c r="CQ148" t="s">
        <v>166</v>
      </c>
      <c r="CR148" t="s">
        <v>166</v>
      </c>
      <c r="CS148" s="153" t="s">
        <v>202</v>
      </c>
      <c r="CT148" t="s">
        <v>203</v>
      </c>
      <c r="CU148">
        <v>2.2000000000000002</v>
      </c>
      <c r="CV148" t="s">
        <v>204</v>
      </c>
      <c r="CW148" t="s">
        <v>166</v>
      </c>
      <c r="CX148" t="s">
        <v>166</v>
      </c>
      <c r="CY148" t="s">
        <v>166</v>
      </c>
      <c r="CZ148" t="s">
        <v>166</v>
      </c>
      <c r="DA148" s="154" t="s">
        <v>166</v>
      </c>
      <c r="DB148" t="s">
        <v>166</v>
      </c>
      <c r="DC148" t="s">
        <v>166</v>
      </c>
      <c r="DD148" t="s">
        <v>166</v>
      </c>
      <c r="DE148" t="s">
        <v>166</v>
      </c>
      <c r="DF148" t="s">
        <v>205</v>
      </c>
      <c r="DG148">
        <v>35</v>
      </c>
      <c r="DH148" t="s">
        <v>201</v>
      </c>
      <c r="DI148">
        <v>1</v>
      </c>
      <c r="DJ148" t="s">
        <v>206</v>
      </c>
      <c r="DK148">
        <v>17</v>
      </c>
      <c r="DL148" t="s">
        <v>166</v>
      </c>
      <c r="DM148" t="s">
        <v>166</v>
      </c>
      <c r="DN148" t="s">
        <v>207</v>
      </c>
      <c r="DO148">
        <v>38</v>
      </c>
      <c r="DP148" t="s">
        <v>208</v>
      </c>
      <c r="DQ148">
        <v>3</v>
      </c>
      <c r="DR148" t="s">
        <v>209</v>
      </c>
      <c r="DS148" t="s">
        <v>166</v>
      </c>
      <c r="DT148" t="s">
        <v>166</v>
      </c>
      <c r="DU148" t="s">
        <v>166</v>
      </c>
      <c r="DV148" t="s">
        <v>166</v>
      </c>
      <c r="DW148">
        <v>432.6</v>
      </c>
      <c r="DX148" t="s">
        <v>166</v>
      </c>
      <c r="DY148" t="s">
        <v>166</v>
      </c>
      <c r="DZ148" t="s">
        <v>210</v>
      </c>
      <c r="EA148" t="s">
        <v>361</v>
      </c>
      <c r="EB148" t="s">
        <v>212</v>
      </c>
      <c r="EC148" t="s">
        <v>166</v>
      </c>
      <c r="ED148" t="s">
        <v>213</v>
      </c>
      <c r="EE148" s="155" t="s">
        <v>214</v>
      </c>
      <c r="EF148" s="155" t="s">
        <v>214</v>
      </c>
      <c r="EG148">
        <v>1.0271999999999999</v>
      </c>
      <c r="EH148" t="s">
        <v>215</v>
      </c>
      <c r="EI148" t="s">
        <v>215</v>
      </c>
      <c r="EJ148" t="s">
        <v>216</v>
      </c>
      <c r="EK148" t="s">
        <v>215</v>
      </c>
      <c r="EL148" t="s">
        <v>215</v>
      </c>
      <c r="EM148" t="s">
        <v>217</v>
      </c>
      <c r="EN148" s="156" t="s">
        <v>214</v>
      </c>
      <c r="EO148" s="156" t="s">
        <v>214</v>
      </c>
      <c r="EP148" s="156" t="s">
        <v>214</v>
      </c>
      <c r="EQ148" s="156" t="s">
        <v>214</v>
      </c>
      <c r="ET148" t="s">
        <v>218</v>
      </c>
      <c r="EU148" t="s">
        <v>219</v>
      </c>
      <c r="EV148" t="s">
        <v>213</v>
      </c>
      <c r="EW148" t="s">
        <v>166</v>
      </c>
      <c r="EX148" t="s">
        <v>166</v>
      </c>
      <c r="EY148" t="s">
        <v>166</v>
      </c>
      <c r="EZ148" t="s">
        <v>166</v>
      </c>
      <c r="FA148" s="157">
        <v>4.5</v>
      </c>
      <c r="FB148" t="s">
        <v>220</v>
      </c>
      <c r="FC148" s="157">
        <v>1</v>
      </c>
      <c r="FD148" s="157">
        <v>1</v>
      </c>
      <c r="FE148" s="177">
        <v>7.6146989383174599</v>
      </c>
      <c r="FF148" t="s">
        <v>221</v>
      </c>
      <c r="FG148" s="177">
        <v>3.8915665209169781E-2</v>
      </c>
      <c r="FH148" s="177">
        <v>4.0419491319739542E-2</v>
      </c>
      <c r="FI148" s="178">
        <v>1166.7196154322901</v>
      </c>
      <c r="FK148" t="s">
        <v>166</v>
      </c>
      <c r="FL148" s="144">
        <f t="shared" si="146"/>
        <v>1166.7196154322901</v>
      </c>
      <c r="FM148" s="178">
        <v>313.53163843263997</v>
      </c>
      <c r="FN148" s="178">
        <v>269.10665175701308</v>
      </c>
      <c r="FO148" t="s">
        <v>222</v>
      </c>
      <c r="FP148" t="s">
        <v>223</v>
      </c>
      <c r="FQ148" s="144" t="s">
        <v>166</v>
      </c>
      <c r="FR148" s="144" t="s">
        <v>166</v>
      </c>
      <c r="FS148" s="144" t="s">
        <v>166</v>
      </c>
      <c r="FT148" s="144" t="s">
        <v>166</v>
      </c>
      <c r="FU148" s="144" t="s">
        <v>166</v>
      </c>
      <c r="FV148" s="144" t="s">
        <v>166</v>
      </c>
      <c r="FW148" s="144" t="s">
        <v>166</v>
      </c>
      <c r="FX148" s="144" t="s">
        <v>166</v>
      </c>
      <c r="FY148" s="144" t="s">
        <v>166</v>
      </c>
      <c r="FZ148" s="144" t="s">
        <v>166</v>
      </c>
      <c r="GA148" s="144" t="s">
        <v>166</v>
      </c>
      <c r="GB148" s="144" t="s">
        <v>166</v>
      </c>
      <c r="GC148" s="158" t="s">
        <v>362</v>
      </c>
    </row>
    <row r="149" spans="1:192" ht="16">
      <c r="A149" s="140" t="s">
        <v>162</v>
      </c>
      <c r="B149" s="143" t="s">
        <v>163</v>
      </c>
      <c r="C149" s="140" t="s">
        <v>164</v>
      </c>
      <c r="D149" s="140" t="s">
        <v>165</v>
      </c>
      <c r="E149" s="140">
        <v>2020</v>
      </c>
      <c r="F149" t="s">
        <v>184</v>
      </c>
      <c r="G149" s="139">
        <v>53871.471405029297</v>
      </c>
      <c r="H149" s="147">
        <f t="shared" ref="H149" si="153">0.0083*G149^(0.9482)</f>
        <v>254.30361994390523</v>
      </c>
      <c r="I149" s="147">
        <f t="shared" si="135"/>
        <v>254.30361994390523</v>
      </c>
      <c r="J149" s="144">
        <v>869.39693620267803</v>
      </c>
      <c r="K149" s="144">
        <v>228.19276892532184</v>
      </c>
      <c r="L149" s="144">
        <v>196.85038232290299</v>
      </c>
      <c r="M149" t="b">
        <v>1</v>
      </c>
      <c r="N149">
        <v>3</v>
      </c>
      <c r="O149" s="140" t="s">
        <v>185</v>
      </c>
      <c r="P149" s="140" t="s">
        <v>166</v>
      </c>
      <c r="Q149" s="140" t="s">
        <v>166</v>
      </c>
      <c r="R149" s="140" t="s">
        <v>166</v>
      </c>
      <c r="S149" s="140" t="b">
        <v>1</v>
      </c>
      <c r="T149" s="140" t="b">
        <v>0</v>
      </c>
      <c r="U149" s="140" t="s">
        <v>166</v>
      </c>
      <c r="V149" s="140" t="b">
        <v>0</v>
      </c>
      <c r="W149" s="140" t="b">
        <v>0</v>
      </c>
      <c r="X149" s="140" t="s">
        <v>580</v>
      </c>
      <c r="Y149" s="55" t="s">
        <v>186</v>
      </c>
      <c r="Z149" s="165" t="s">
        <v>184</v>
      </c>
      <c r="AA149" s="166">
        <v>1409</v>
      </c>
      <c r="AB149" s="166" t="s">
        <v>352</v>
      </c>
      <c r="AC149" s="166">
        <v>18</v>
      </c>
      <c r="AD149" s="166">
        <v>2</v>
      </c>
      <c r="AE149" s="165" t="s">
        <v>166</v>
      </c>
      <c r="AF149" s="165" t="s">
        <v>166</v>
      </c>
      <c r="AG149" s="167">
        <v>153.13</v>
      </c>
      <c r="AH149" s="165" t="s">
        <v>166</v>
      </c>
      <c r="AI149" s="165" t="s">
        <v>166</v>
      </c>
      <c r="AJ149" s="165" t="s">
        <v>310</v>
      </c>
      <c r="AK149" s="165">
        <v>41.295822000000001</v>
      </c>
      <c r="AL149" s="165">
        <v>-49.233086999999998</v>
      </c>
      <c r="AM149" s="165">
        <v>31.025642395019531</v>
      </c>
      <c r="AN149" s="165" t="s">
        <v>166</v>
      </c>
      <c r="AO149" s="165">
        <v>-3500</v>
      </c>
      <c r="AP149" s="165">
        <v>-3050</v>
      </c>
      <c r="AQ149" s="165" t="s">
        <v>357</v>
      </c>
      <c r="AR149" s="165" t="s">
        <v>166</v>
      </c>
      <c r="AS149" s="167">
        <v>53.871471405029297</v>
      </c>
      <c r="AT149" s="165" t="s">
        <v>166</v>
      </c>
      <c r="AU149" s="165" t="s">
        <v>166</v>
      </c>
      <c r="AV149" s="165" t="s">
        <v>166</v>
      </c>
      <c r="AW149" s="165" t="s">
        <v>166</v>
      </c>
      <c r="AX149" s="165" t="s">
        <v>166</v>
      </c>
      <c r="AY149" s="165" t="s">
        <v>190</v>
      </c>
      <c r="AZ149" s="165" t="s">
        <v>166</v>
      </c>
      <c r="BA149" s="165" t="s">
        <v>166</v>
      </c>
      <c r="BB149" s="165" t="s">
        <v>166</v>
      </c>
      <c r="BC149" s="165" t="s">
        <v>166</v>
      </c>
      <c r="BD149" s="165" t="s">
        <v>166</v>
      </c>
      <c r="BE149" s="165" t="s">
        <v>166</v>
      </c>
      <c r="BF149" s="165" t="s">
        <v>166</v>
      </c>
      <c r="BG149" s="168" t="s">
        <v>248</v>
      </c>
      <c r="BH149" s="166" t="s">
        <v>263</v>
      </c>
      <c r="BI149" s="165" t="s">
        <v>166</v>
      </c>
      <c r="BJ149" s="169" t="s">
        <v>166</v>
      </c>
      <c r="BK149" s="165" t="s">
        <v>358</v>
      </c>
      <c r="BL149" s="165" t="s">
        <v>194</v>
      </c>
      <c r="BM149" s="165" t="s">
        <v>195</v>
      </c>
      <c r="BN149" s="165" t="s">
        <v>166</v>
      </c>
      <c r="BO149" s="165" t="s">
        <v>166</v>
      </c>
      <c r="BP149" s="165" t="s">
        <v>166</v>
      </c>
      <c r="BQ149" s="167">
        <v>14.495731910397987</v>
      </c>
      <c r="BR149" s="165" t="s">
        <v>196</v>
      </c>
      <c r="BS149" s="167">
        <v>0.25253924454345827</v>
      </c>
      <c r="BT149" s="165">
        <v>0.88</v>
      </c>
      <c r="BU149" s="165" t="s">
        <v>197</v>
      </c>
      <c r="BV149" s="165" t="s">
        <v>166</v>
      </c>
      <c r="BW149" s="165">
        <v>1.748</v>
      </c>
      <c r="BX149" s="165" t="s">
        <v>197</v>
      </c>
      <c r="BY149" s="165" t="s">
        <v>166</v>
      </c>
      <c r="BZ149" s="165" t="s">
        <v>436</v>
      </c>
      <c r="CA149" s="165" t="s">
        <v>360</v>
      </c>
      <c r="CB149" s="167">
        <f t="shared" si="145"/>
        <v>14.504244081150228</v>
      </c>
      <c r="CC149" s="165" t="s">
        <v>196</v>
      </c>
      <c r="CD149" s="167">
        <v>0.25253924454345827</v>
      </c>
      <c r="CE149" s="165" t="s">
        <v>199</v>
      </c>
      <c r="CF149" s="165" t="s">
        <v>166</v>
      </c>
      <c r="CG149" s="165" t="s">
        <v>200</v>
      </c>
      <c r="CH149" s="165" t="s">
        <v>166</v>
      </c>
      <c r="CI149" s="165" t="s">
        <v>166</v>
      </c>
      <c r="CJ149" s="170">
        <v>32.707009763059304</v>
      </c>
      <c r="CK149" s="165" t="s">
        <v>201</v>
      </c>
      <c r="CL149" s="165">
        <v>2</v>
      </c>
      <c r="CM149" s="165">
        <v>2</v>
      </c>
      <c r="CN149" s="165" t="s">
        <v>166</v>
      </c>
      <c r="CO149" s="170">
        <v>3.4370664590794395</v>
      </c>
      <c r="CP149" s="165" t="s">
        <v>166</v>
      </c>
      <c r="CQ149" s="165" t="s">
        <v>166</v>
      </c>
      <c r="CR149" s="165" t="s">
        <v>166</v>
      </c>
      <c r="CS149" s="171" t="s">
        <v>202</v>
      </c>
      <c r="CT149" s="165" t="s">
        <v>203</v>
      </c>
      <c r="CU149" s="165">
        <v>2.2000000000000002</v>
      </c>
      <c r="CV149" s="165" t="s">
        <v>204</v>
      </c>
      <c r="CW149" s="165" t="s">
        <v>166</v>
      </c>
      <c r="CX149" s="165" t="s">
        <v>166</v>
      </c>
      <c r="CY149" s="165" t="s">
        <v>166</v>
      </c>
      <c r="CZ149" s="165" t="s">
        <v>166</v>
      </c>
      <c r="DA149" s="172" t="s">
        <v>166</v>
      </c>
      <c r="DB149" s="165" t="s">
        <v>166</v>
      </c>
      <c r="DC149" s="165" t="s">
        <v>166</v>
      </c>
      <c r="DD149" s="165" t="s">
        <v>166</v>
      </c>
      <c r="DE149" s="165" t="s">
        <v>166</v>
      </c>
      <c r="DF149" s="165" t="s">
        <v>205</v>
      </c>
      <c r="DG149" s="165">
        <v>35</v>
      </c>
      <c r="DH149" s="165" t="s">
        <v>201</v>
      </c>
      <c r="DI149" s="165">
        <v>1</v>
      </c>
      <c r="DJ149" s="165" t="s">
        <v>206</v>
      </c>
      <c r="DK149" s="165">
        <v>17</v>
      </c>
      <c r="DL149" s="165" t="s">
        <v>166</v>
      </c>
      <c r="DM149" s="165" t="s">
        <v>166</v>
      </c>
      <c r="DN149" s="165" t="s">
        <v>207</v>
      </c>
      <c r="DO149" s="165">
        <v>38</v>
      </c>
      <c r="DP149" s="165" t="s">
        <v>208</v>
      </c>
      <c r="DQ149" s="165">
        <v>3</v>
      </c>
      <c r="DR149" s="165" t="s">
        <v>209</v>
      </c>
      <c r="DS149" s="165" t="s">
        <v>166</v>
      </c>
      <c r="DT149" s="165" t="s">
        <v>166</v>
      </c>
      <c r="DU149" s="165" t="s">
        <v>166</v>
      </c>
      <c r="DV149" s="165" t="s">
        <v>166</v>
      </c>
      <c r="DW149" s="165">
        <v>432.6</v>
      </c>
      <c r="DX149" s="165" t="s">
        <v>166</v>
      </c>
      <c r="DY149" s="165" t="s">
        <v>166</v>
      </c>
      <c r="DZ149" s="165" t="s">
        <v>210</v>
      </c>
      <c r="EA149" s="165" t="s">
        <v>361</v>
      </c>
      <c r="EB149" s="165" t="s">
        <v>212</v>
      </c>
      <c r="EC149" s="165" t="s">
        <v>166</v>
      </c>
      <c r="ED149" s="165" t="s">
        <v>213</v>
      </c>
      <c r="EE149" s="173" t="s">
        <v>214</v>
      </c>
      <c r="EF149" s="173" t="s">
        <v>214</v>
      </c>
      <c r="EG149" s="165">
        <v>1.0271999999999999</v>
      </c>
      <c r="EH149" s="165" t="s">
        <v>215</v>
      </c>
      <c r="EI149" s="165" t="s">
        <v>215</v>
      </c>
      <c r="EJ149" s="165" t="s">
        <v>216</v>
      </c>
      <c r="EK149" s="165" t="s">
        <v>215</v>
      </c>
      <c r="EL149" s="165" t="s">
        <v>215</v>
      </c>
      <c r="EM149" s="165" t="s">
        <v>217</v>
      </c>
      <c r="EN149" s="2" t="s">
        <v>214</v>
      </c>
      <c r="EO149" s="2" t="s">
        <v>214</v>
      </c>
      <c r="EP149" s="2" t="s">
        <v>214</v>
      </c>
      <c r="EQ149" s="2" t="s">
        <v>214</v>
      </c>
      <c r="ER149" s="165"/>
      <c r="ES149" s="165"/>
      <c r="ET149" s="165" t="s">
        <v>218</v>
      </c>
      <c r="EU149" s="165" t="s">
        <v>219</v>
      </c>
      <c r="EV149" s="165" t="s">
        <v>213</v>
      </c>
      <c r="EW149" s="165" t="s">
        <v>166</v>
      </c>
      <c r="EX149" s="165" t="s">
        <v>166</v>
      </c>
      <c r="EY149" s="165" t="s">
        <v>166</v>
      </c>
      <c r="EZ149" s="165" t="s">
        <v>166</v>
      </c>
      <c r="FA149" s="174">
        <v>4.5</v>
      </c>
      <c r="FB149" s="165" t="s">
        <v>220</v>
      </c>
      <c r="FC149" s="174">
        <v>1</v>
      </c>
      <c r="FD149" s="174">
        <v>1</v>
      </c>
      <c r="FE149" s="180">
        <v>7.6387178783497598</v>
      </c>
      <c r="FF149" s="165" t="s">
        <v>221</v>
      </c>
      <c r="FG149" s="180">
        <v>3.6434840721939921E-2</v>
      </c>
      <c r="FH149" s="180">
        <v>4.1180847649089358E-2</v>
      </c>
      <c r="FI149" s="181">
        <v>1057.56385668859</v>
      </c>
      <c r="FJ149" s="165"/>
      <c r="FK149" s="165" t="s">
        <v>166</v>
      </c>
      <c r="FL149" s="175">
        <f t="shared" si="146"/>
        <v>1057.56385668859</v>
      </c>
      <c r="FM149" s="181">
        <v>281.98536661794992</v>
      </c>
      <c r="FN149" s="181">
        <v>240.88661390454104</v>
      </c>
      <c r="FO149" s="165" t="s">
        <v>222</v>
      </c>
      <c r="FP149" s="165" t="s">
        <v>223</v>
      </c>
      <c r="FQ149" s="175" t="s">
        <v>166</v>
      </c>
      <c r="FR149" s="175" t="s">
        <v>166</v>
      </c>
      <c r="FS149" s="175" t="s">
        <v>166</v>
      </c>
      <c r="FT149" s="175" t="s">
        <v>166</v>
      </c>
      <c r="FU149" s="175" t="s">
        <v>166</v>
      </c>
      <c r="FV149" s="175" t="s">
        <v>166</v>
      </c>
      <c r="FW149" s="175" t="s">
        <v>166</v>
      </c>
      <c r="FX149" s="175" t="s">
        <v>166</v>
      </c>
      <c r="FY149" s="175" t="s">
        <v>166</v>
      </c>
      <c r="FZ149" s="175" t="s">
        <v>166</v>
      </c>
      <c r="GA149" s="175" t="s">
        <v>166</v>
      </c>
      <c r="GB149" s="175" t="s">
        <v>166</v>
      </c>
      <c r="GC149" s="176" t="s">
        <v>362</v>
      </c>
      <c r="GD149" s="165"/>
      <c r="GE149" s="165"/>
      <c r="GF149" s="165"/>
      <c r="GG149" s="165"/>
      <c r="GH149" s="165"/>
      <c r="GI149" s="165"/>
      <c r="GJ149" s="165"/>
    </row>
    <row r="150" spans="1:192" ht="17">
      <c r="A150" s="140" t="s">
        <v>162</v>
      </c>
      <c r="B150" s="143" t="s">
        <v>163</v>
      </c>
      <c r="C150" s="140" t="s">
        <v>164</v>
      </c>
      <c r="D150" s="140" t="s">
        <v>165</v>
      </c>
      <c r="E150" s="140">
        <v>2020</v>
      </c>
      <c r="F150" t="s">
        <v>184</v>
      </c>
      <c r="G150" s="145">
        <v>32980</v>
      </c>
      <c r="H150" s="147">
        <f t="shared" ref="H150" si="154">0.0083*G150^(0.9482)</f>
        <v>159.69207349270397</v>
      </c>
      <c r="I150" s="147">
        <f t="shared" si="135"/>
        <v>159.69207349270397</v>
      </c>
      <c r="J150" s="146">
        <v>573.28179238461803</v>
      </c>
      <c r="K150" s="146">
        <v>118.58513179487193</v>
      </c>
      <c r="L150" s="146">
        <v>93.224072665648009</v>
      </c>
      <c r="M150" s="140" t="b">
        <v>1</v>
      </c>
      <c r="N150" s="140">
        <v>1</v>
      </c>
      <c r="O150" s="302" t="s">
        <v>581</v>
      </c>
      <c r="P150" s="140" t="s">
        <v>166</v>
      </c>
      <c r="Q150" s="140" t="s">
        <v>166</v>
      </c>
      <c r="R150" s="140" t="s">
        <v>166</v>
      </c>
      <c r="S150" s="140" t="b">
        <v>1</v>
      </c>
      <c r="T150" s="140" t="b">
        <v>0</v>
      </c>
      <c r="U150" s="140" t="s">
        <v>166</v>
      </c>
      <c r="V150" s="140" t="b">
        <v>0</v>
      </c>
      <c r="W150" s="140" t="b">
        <v>0</v>
      </c>
      <c r="X150" s="140" t="s">
        <v>580</v>
      </c>
      <c r="Y150" s="148" t="s">
        <v>186</v>
      </c>
      <c r="Z150" t="s">
        <v>184</v>
      </c>
      <c r="AA150" t="s">
        <v>437</v>
      </c>
      <c r="AB150" t="s">
        <v>166</v>
      </c>
      <c r="AC150">
        <v>13</v>
      </c>
      <c r="AD150">
        <v>2</v>
      </c>
      <c r="AE150">
        <v>0</v>
      </c>
      <c r="AF150">
        <v>50</v>
      </c>
      <c r="AG150" t="s">
        <v>166</v>
      </c>
      <c r="AH150" s="182">
        <v>42.7</v>
      </c>
      <c r="AI150" t="s">
        <v>166</v>
      </c>
      <c r="AJ150" t="s">
        <v>438</v>
      </c>
      <c r="AK150" s="159">
        <v>-9.1863888899999999</v>
      </c>
      <c r="AL150" s="159">
        <v>39.551111110000001</v>
      </c>
      <c r="AM150">
        <v>-19</v>
      </c>
      <c r="AN150" t="s">
        <v>166</v>
      </c>
      <c r="AO150" t="s">
        <v>166</v>
      </c>
      <c r="AP150" s="183" t="s">
        <v>439</v>
      </c>
      <c r="AQ150" t="s">
        <v>440</v>
      </c>
      <c r="AR150" t="s">
        <v>166</v>
      </c>
      <c r="AS150" s="145">
        <v>32.979999999999997</v>
      </c>
      <c r="AT150" t="s">
        <v>166</v>
      </c>
      <c r="AU150" t="s">
        <v>166</v>
      </c>
      <c r="AV150" t="s">
        <v>166</v>
      </c>
      <c r="AW150" t="s">
        <v>441</v>
      </c>
      <c r="AX150" t="s">
        <v>256</v>
      </c>
      <c r="AY150" t="s">
        <v>442</v>
      </c>
      <c r="AZ150" t="s">
        <v>166</v>
      </c>
      <c r="BA150" t="s">
        <v>166</v>
      </c>
      <c r="BB150" t="s">
        <v>166</v>
      </c>
      <c r="BC150" t="s">
        <v>166</v>
      </c>
      <c r="BD150" t="s">
        <v>166</v>
      </c>
      <c r="BE150" t="s">
        <v>166</v>
      </c>
      <c r="BF150" t="s">
        <v>166</v>
      </c>
      <c r="BG150" s="184" t="s">
        <v>443</v>
      </c>
      <c r="BH150" s="150" t="s">
        <v>328</v>
      </c>
      <c r="BI150" s="150" t="s">
        <v>444</v>
      </c>
      <c r="BJ150" t="s">
        <v>166</v>
      </c>
      <c r="BK150" t="s">
        <v>193</v>
      </c>
      <c r="BL150" t="s">
        <v>194</v>
      </c>
      <c r="BM150" t="s">
        <v>195</v>
      </c>
      <c r="BN150" t="s">
        <v>445</v>
      </c>
      <c r="BO150">
        <v>2</v>
      </c>
      <c r="BP150">
        <v>3.0000000000001133E-2</v>
      </c>
      <c r="BQ150" s="150">
        <v>15.758716915017333</v>
      </c>
      <c r="BR150" t="s">
        <v>196</v>
      </c>
      <c r="BS150" s="150">
        <v>0.26727070847108353</v>
      </c>
      <c r="BT150">
        <v>1</v>
      </c>
      <c r="BU150" t="s">
        <v>197</v>
      </c>
      <c r="BV150" t="s">
        <v>166</v>
      </c>
      <c r="BW150">
        <v>0</v>
      </c>
      <c r="BX150" t="s">
        <v>197</v>
      </c>
      <c r="BY150" t="s">
        <v>166</v>
      </c>
      <c r="BZ150" t="s">
        <v>197</v>
      </c>
      <c r="CA150" t="s">
        <v>166</v>
      </c>
      <c r="CB150" s="150">
        <f t="shared" si="145"/>
        <v>15.758716915017333</v>
      </c>
      <c r="CC150" t="s">
        <v>196</v>
      </c>
      <c r="CD150" s="150">
        <f>BS150</f>
        <v>0.26727070847108353</v>
      </c>
      <c r="CE150" t="s">
        <v>199</v>
      </c>
      <c r="CF150" t="s">
        <v>166</v>
      </c>
      <c r="CG150" t="s">
        <v>446</v>
      </c>
      <c r="CH150" t="s">
        <v>166</v>
      </c>
      <c r="CI150" t="s">
        <v>166</v>
      </c>
      <c r="CJ150" s="185">
        <v>29.925315699999999</v>
      </c>
      <c r="CK150" t="s">
        <v>201</v>
      </c>
      <c r="CL150">
        <v>2</v>
      </c>
      <c r="CM150">
        <v>2</v>
      </c>
      <c r="CO150" s="186">
        <v>4.1329370403052499</v>
      </c>
      <c r="CP150" t="s">
        <v>166</v>
      </c>
      <c r="CQ150" t="s">
        <v>166</v>
      </c>
      <c r="CR150" t="s">
        <v>166</v>
      </c>
      <c r="CS150" s="153" t="s">
        <v>166</v>
      </c>
      <c r="CT150" t="s">
        <v>447</v>
      </c>
      <c r="CU150">
        <v>4.3</v>
      </c>
      <c r="CV150" t="s">
        <v>166</v>
      </c>
      <c r="CW150" t="s">
        <v>166</v>
      </c>
      <c r="CX150" t="s">
        <v>166</v>
      </c>
      <c r="CY150" t="s">
        <v>166</v>
      </c>
      <c r="CZ150" t="s">
        <v>166</v>
      </c>
      <c r="DA150" t="s">
        <v>166</v>
      </c>
      <c r="DB150" t="s">
        <v>166</v>
      </c>
      <c r="DC150" t="s">
        <v>166</v>
      </c>
      <c r="DD150" t="s">
        <v>166</v>
      </c>
      <c r="DE150" t="s">
        <v>166</v>
      </c>
      <c r="DF150" t="s">
        <v>205</v>
      </c>
      <c r="DG150">
        <v>35</v>
      </c>
      <c r="DH150" t="s">
        <v>201</v>
      </c>
      <c r="DI150">
        <v>1</v>
      </c>
      <c r="DJ150" t="s">
        <v>206</v>
      </c>
      <c r="DK150">
        <v>17</v>
      </c>
      <c r="DL150" t="s">
        <v>166</v>
      </c>
      <c r="DM150" t="s">
        <v>166</v>
      </c>
      <c r="DN150" t="s">
        <v>207</v>
      </c>
      <c r="DO150">
        <v>38</v>
      </c>
      <c r="DP150" t="s">
        <v>208</v>
      </c>
      <c r="DQ150">
        <v>3</v>
      </c>
      <c r="DR150" t="s">
        <v>209</v>
      </c>
      <c r="DS150" t="s">
        <v>166</v>
      </c>
      <c r="DT150" t="s">
        <v>166</v>
      </c>
      <c r="DU150" t="s">
        <v>166</v>
      </c>
      <c r="DV150" t="s">
        <v>166</v>
      </c>
      <c r="DW150">
        <v>432.6</v>
      </c>
      <c r="DX150" t="s">
        <v>166</v>
      </c>
      <c r="DY150" t="s">
        <v>166</v>
      </c>
      <c r="DZ150" t="s">
        <v>210</v>
      </c>
      <c r="EA150" t="s">
        <v>211</v>
      </c>
      <c r="EB150" t="s">
        <v>212</v>
      </c>
      <c r="EC150" t="s">
        <v>166</v>
      </c>
      <c r="ED150" t="s">
        <v>213</v>
      </c>
      <c r="EE150" s="155" t="s">
        <v>214</v>
      </c>
      <c r="EF150" s="155" t="s">
        <v>214</v>
      </c>
      <c r="EG150">
        <v>1.0271999999999999</v>
      </c>
      <c r="EH150" t="s">
        <v>215</v>
      </c>
      <c r="EI150" t="s">
        <v>215</v>
      </c>
      <c r="EJ150" t="s">
        <v>216</v>
      </c>
      <c r="EK150" t="s">
        <v>215</v>
      </c>
      <c r="EL150" t="s">
        <v>215</v>
      </c>
      <c r="EM150" t="s">
        <v>217</v>
      </c>
      <c r="EN150" s="156" t="s">
        <v>214</v>
      </c>
      <c r="EO150" s="156" t="s">
        <v>214</v>
      </c>
      <c r="EP150" s="156" t="s">
        <v>214</v>
      </c>
      <c r="EQ150" s="156" t="s">
        <v>214</v>
      </c>
      <c r="ER150" s="156"/>
      <c r="ES150" s="156"/>
      <c r="ET150" t="s">
        <v>218</v>
      </c>
      <c r="EU150" t="s">
        <v>219</v>
      </c>
      <c r="EV150" t="s">
        <v>213</v>
      </c>
      <c r="EW150" t="s">
        <v>166</v>
      </c>
      <c r="EX150" t="s">
        <v>166</v>
      </c>
      <c r="EY150" t="s">
        <v>166</v>
      </c>
      <c r="EZ150" t="s">
        <v>166</v>
      </c>
      <c r="FA150" s="157">
        <v>6.5</v>
      </c>
      <c r="FB150" t="s">
        <v>220</v>
      </c>
      <c r="FC150" s="157">
        <v>1</v>
      </c>
      <c r="FD150" s="157">
        <v>1</v>
      </c>
      <c r="FE150" s="187">
        <v>7.8690411343837496</v>
      </c>
      <c r="FF150" t="s">
        <v>221</v>
      </c>
      <c r="FG150" s="188">
        <v>3.3705467732250582E-2</v>
      </c>
      <c r="FH150" s="188">
        <v>3.192717383620991E-2</v>
      </c>
      <c r="FI150" s="146">
        <v>573.28179238461803</v>
      </c>
      <c r="FK150" t="s">
        <v>166</v>
      </c>
      <c r="FL150" s="144">
        <f>FI150</f>
        <v>573.28179238461803</v>
      </c>
      <c r="FM150" s="146">
        <v>118.58513179487193</v>
      </c>
      <c r="FN150" s="146">
        <v>93.224072665648009</v>
      </c>
      <c r="FO150" t="s">
        <v>222</v>
      </c>
      <c r="FP150" t="s">
        <v>223</v>
      </c>
      <c r="FQ150" s="144" t="s">
        <v>166</v>
      </c>
      <c r="FR150" s="144" t="s">
        <v>166</v>
      </c>
      <c r="FS150" s="144" t="s">
        <v>166</v>
      </c>
      <c r="FT150" s="144" t="s">
        <v>166</v>
      </c>
      <c r="FU150" s="144" t="s">
        <v>166</v>
      </c>
      <c r="FV150" s="144" t="s">
        <v>166</v>
      </c>
      <c r="FW150" s="144" t="s">
        <v>166</v>
      </c>
      <c r="FX150" s="144" t="s">
        <v>166</v>
      </c>
      <c r="FY150" s="144" t="s">
        <v>166</v>
      </c>
      <c r="FZ150" s="144" t="s">
        <v>166</v>
      </c>
      <c r="GA150" s="144" t="s">
        <v>166</v>
      </c>
      <c r="GB150" s="144" t="s">
        <v>166</v>
      </c>
      <c r="GC150" s="148" t="s">
        <v>448</v>
      </c>
    </row>
    <row r="151" spans="1:192" ht="17">
      <c r="A151" s="140" t="s">
        <v>162</v>
      </c>
      <c r="B151" s="143" t="s">
        <v>163</v>
      </c>
      <c r="C151" s="140" t="s">
        <v>164</v>
      </c>
      <c r="D151" s="140" t="s">
        <v>165</v>
      </c>
      <c r="E151" s="140">
        <v>2020</v>
      </c>
      <c r="F151" t="s">
        <v>184</v>
      </c>
      <c r="G151" s="145">
        <v>33170</v>
      </c>
      <c r="H151" s="147">
        <f t="shared" ref="H151" si="155">0.0083*G151^(0.9482)</f>
        <v>160.56428454278463</v>
      </c>
      <c r="I151" s="147">
        <f t="shared" si="135"/>
        <v>160.56428454278463</v>
      </c>
      <c r="J151" s="146">
        <v>734.17211009026698</v>
      </c>
      <c r="K151" s="146">
        <v>155.36259343900599</v>
      </c>
      <c r="L151" s="146">
        <v>116.502189791967</v>
      </c>
      <c r="M151" s="140" t="b">
        <v>1</v>
      </c>
      <c r="N151" s="140">
        <v>1</v>
      </c>
      <c r="O151" s="302" t="s">
        <v>581</v>
      </c>
      <c r="P151" s="140" t="s">
        <v>166</v>
      </c>
      <c r="Q151" s="140" t="s">
        <v>166</v>
      </c>
      <c r="R151" s="140" t="s">
        <v>166</v>
      </c>
      <c r="S151" s="140" t="b">
        <v>1</v>
      </c>
      <c r="T151" s="140" t="b">
        <v>0</v>
      </c>
      <c r="U151" s="140" t="s">
        <v>166</v>
      </c>
      <c r="V151" s="140" t="b">
        <v>0</v>
      </c>
      <c r="W151" s="140" t="b">
        <v>0</v>
      </c>
      <c r="X151" s="140" t="s">
        <v>580</v>
      </c>
      <c r="Y151" s="148" t="s">
        <v>186</v>
      </c>
      <c r="Z151" t="s">
        <v>184</v>
      </c>
      <c r="AA151" t="s">
        <v>437</v>
      </c>
      <c r="AB151" t="s">
        <v>166</v>
      </c>
      <c r="AC151">
        <v>19</v>
      </c>
      <c r="AD151">
        <v>1</v>
      </c>
      <c r="AE151">
        <v>0</v>
      </c>
      <c r="AF151">
        <v>50</v>
      </c>
      <c r="AG151" t="s">
        <v>166</v>
      </c>
      <c r="AH151" s="182">
        <v>59.7</v>
      </c>
      <c r="AI151" t="s">
        <v>166</v>
      </c>
      <c r="AJ151" t="s">
        <v>438</v>
      </c>
      <c r="AK151" s="159">
        <v>-9.1863888899999999</v>
      </c>
      <c r="AL151" s="159">
        <v>39.551111110000001</v>
      </c>
      <c r="AM151">
        <v>-19</v>
      </c>
      <c r="AN151" t="s">
        <v>166</v>
      </c>
      <c r="AO151" t="s">
        <v>166</v>
      </c>
      <c r="AP151" s="183" t="s">
        <v>439</v>
      </c>
      <c r="AQ151" t="s">
        <v>440</v>
      </c>
      <c r="AR151" t="s">
        <v>166</v>
      </c>
      <c r="AS151" s="145">
        <v>33.17</v>
      </c>
      <c r="AT151" t="s">
        <v>166</v>
      </c>
      <c r="AU151" t="s">
        <v>166</v>
      </c>
      <c r="AV151" t="s">
        <v>166</v>
      </c>
      <c r="AW151" t="s">
        <v>441</v>
      </c>
      <c r="AX151" t="s">
        <v>256</v>
      </c>
      <c r="AY151" t="s">
        <v>442</v>
      </c>
      <c r="AZ151" t="s">
        <v>166</v>
      </c>
      <c r="BA151" t="s">
        <v>166</v>
      </c>
      <c r="BB151" t="s">
        <v>166</v>
      </c>
      <c r="BC151" t="s">
        <v>166</v>
      </c>
      <c r="BD151" t="s">
        <v>166</v>
      </c>
      <c r="BE151" t="s">
        <v>166</v>
      </c>
      <c r="BF151" t="s">
        <v>166</v>
      </c>
      <c r="BG151" s="184" t="s">
        <v>443</v>
      </c>
      <c r="BH151" s="150" t="s">
        <v>328</v>
      </c>
      <c r="BI151" s="150" t="s">
        <v>444</v>
      </c>
      <c r="BJ151" t="s">
        <v>166</v>
      </c>
      <c r="BK151" t="s">
        <v>193</v>
      </c>
      <c r="BL151" t="s">
        <v>194</v>
      </c>
      <c r="BM151" t="s">
        <v>195</v>
      </c>
      <c r="BN151" t="s">
        <v>449</v>
      </c>
      <c r="BO151">
        <v>2</v>
      </c>
      <c r="BP151">
        <v>0.38000000000000073</v>
      </c>
      <c r="BQ151" s="150">
        <v>15.31090196348655</v>
      </c>
      <c r="BR151" t="s">
        <v>196</v>
      </c>
      <c r="BS151" s="150">
        <v>0.26793015211683424</v>
      </c>
      <c r="BT151">
        <v>1</v>
      </c>
      <c r="BU151" t="s">
        <v>197</v>
      </c>
      <c r="BV151" t="s">
        <v>166</v>
      </c>
      <c r="BW151">
        <v>0</v>
      </c>
      <c r="BX151" t="s">
        <v>197</v>
      </c>
      <c r="BY151" t="s">
        <v>166</v>
      </c>
      <c r="BZ151" t="s">
        <v>197</v>
      </c>
      <c r="CA151" t="s">
        <v>166</v>
      </c>
      <c r="CB151" s="150">
        <f t="shared" si="145"/>
        <v>15.31090196348655</v>
      </c>
      <c r="CC151" t="s">
        <v>196</v>
      </c>
      <c r="CD151" s="150">
        <f t="shared" ref="CD151:CD158" si="156">BS151</f>
        <v>0.26793015211683424</v>
      </c>
      <c r="CE151" t="s">
        <v>199</v>
      </c>
      <c r="CF151" t="s">
        <v>166</v>
      </c>
      <c r="CG151" t="s">
        <v>446</v>
      </c>
      <c r="CH151" t="s">
        <v>166</v>
      </c>
      <c r="CI151" t="s">
        <v>166</v>
      </c>
      <c r="CJ151" s="185">
        <v>30.450562399999999</v>
      </c>
      <c r="CK151" t="s">
        <v>201</v>
      </c>
      <c r="CL151">
        <v>2</v>
      </c>
      <c r="CM151">
        <v>2</v>
      </c>
      <c r="CO151" s="186">
        <v>4.1877376849825874</v>
      </c>
      <c r="CP151" t="s">
        <v>166</v>
      </c>
      <c r="CQ151" t="s">
        <v>166</v>
      </c>
      <c r="CR151" t="s">
        <v>166</v>
      </c>
      <c r="CS151" s="153" t="s">
        <v>166</v>
      </c>
      <c r="CT151" t="s">
        <v>447</v>
      </c>
      <c r="CU151">
        <v>4.3</v>
      </c>
      <c r="CV151" t="s">
        <v>166</v>
      </c>
      <c r="CW151" t="s">
        <v>166</v>
      </c>
      <c r="CX151" t="s">
        <v>166</v>
      </c>
      <c r="CY151" t="s">
        <v>166</v>
      </c>
      <c r="CZ151" t="s">
        <v>166</v>
      </c>
      <c r="DA151" t="s">
        <v>166</v>
      </c>
      <c r="DB151" t="s">
        <v>166</v>
      </c>
      <c r="DC151" t="s">
        <v>166</v>
      </c>
      <c r="DD151" t="s">
        <v>166</v>
      </c>
      <c r="DE151" t="s">
        <v>166</v>
      </c>
      <c r="DF151" t="s">
        <v>205</v>
      </c>
      <c r="DG151">
        <v>35</v>
      </c>
      <c r="DH151" t="s">
        <v>201</v>
      </c>
      <c r="DI151">
        <v>1</v>
      </c>
      <c r="DJ151" t="s">
        <v>206</v>
      </c>
      <c r="DK151">
        <v>17</v>
      </c>
      <c r="DL151" t="s">
        <v>166</v>
      </c>
      <c r="DM151" t="s">
        <v>166</v>
      </c>
      <c r="DN151" t="s">
        <v>207</v>
      </c>
      <c r="DO151">
        <v>38</v>
      </c>
      <c r="DP151" t="s">
        <v>208</v>
      </c>
      <c r="DQ151">
        <v>3</v>
      </c>
      <c r="DR151" t="s">
        <v>209</v>
      </c>
      <c r="DS151" t="s">
        <v>166</v>
      </c>
      <c r="DT151" t="s">
        <v>166</v>
      </c>
      <c r="DU151" t="s">
        <v>166</v>
      </c>
      <c r="DV151" t="s">
        <v>166</v>
      </c>
      <c r="DW151">
        <v>432.6</v>
      </c>
      <c r="DX151" t="s">
        <v>166</v>
      </c>
      <c r="DY151" t="s">
        <v>166</v>
      </c>
      <c r="DZ151" t="s">
        <v>210</v>
      </c>
      <c r="EA151" t="s">
        <v>211</v>
      </c>
      <c r="EB151" t="s">
        <v>212</v>
      </c>
      <c r="EC151" t="s">
        <v>166</v>
      </c>
      <c r="ED151" t="s">
        <v>213</v>
      </c>
      <c r="EE151" s="155" t="s">
        <v>214</v>
      </c>
      <c r="EF151" s="155" t="s">
        <v>214</v>
      </c>
      <c r="EG151">
        <v>1.0271999999999999</v>
      </c>
      <c r="EH151" t="s">
        <v>215</v>
      </c>
      <c r="EI151" t="s">
        <v>215</v>
      </c>
      <c r="EJ151" t="s">
        <v>216</v>
      </c>
      <c r="EK151" t="s">
        <v>215</v>
      </c>
      <c r="EL151" t="s">
        <v>215</v>
      </c>
      <c r="EM151" t="s">
        <v>217</v>
      </c>
      <c r="EN151" s="156" t="s">
        <v>214</v>
      </c>
      <c r="EO151" s="156" t="s">
        <v>214</v>
      </c>
      <c r="EP151" s="156" t="s">
        <v>214</v>
      </c>
      <c r="EQ151" s="156" t="s">
        <v>214</v>
      </c>
      <c r="ER151" s="156"/>
      <c r="ES151" s="156"/>
      <c r="ET151" t="s">
        <v>218</v>
      </c>
      <c r="EU151" t="s">
        <v>219</v>
      </c>
      <c r="EV151" t="s">
        <v>213</v>
      </c>
      <c r="EW151" t="s">
        <v>166</v>
      </c>
      <c r="EX151" t="s">
        <v>166</v>
      </c>
      <c r="EY151" t="s">
        <v>166</v>
      </c>
      <c r="EZ151" t="s">
        <v>166</v>
      </c>
      <c r="FA151" s="157">
        <v>6.5</v>
      </c>
      <c r="FB151" t="s">
        <v>220</v>
      </c>
      <c r="FC151" s="157">
        <v>1</v>
      </c>
      <c r="FD151" s="157">
        <v>1</v>
      </c>
      <c r="FE151" s="187">
        <v>7.8127967129879599</v>
      </c>
      <c r="FF151" t="s">
        <v>221</v>
      </c>
      <c r="FG151" s="188">
        <v>3.429956202459028E-2</v>
      </c>
      <c r="FH151" s="188">
        <v>3.7504459959359693E-2</v>
      </c>
      <c r="FI151" s="146">
        <v>734.17211009026698</v>
      </c>
      <c r="FK151" t="s">
        <v>166</v>
      </c>
      <c r="FL151" s="144">
        <f t="shared" ref="FL151:FL214" si="157">FI151</f>
        <v>734.17211009026698</v>
      </c>
      <c r="FM151" s="146">
        <v>155.36259343900599</v>
      </c>
      <c r="FN151" s="146">
        <v>116.502189791967</v>
      </c>
      <c r="FO151" t="s">
        <v>222</v>
      </c>
      <c r="FP151" t="s">
        <v>223</v>
      </c>
      <c r="FQ151" s="144" t="s">
        <v>166</v>
      </c>
      <c r="FR151" s="144" t="s">
        <v>166</v>
      </c>
      <c r="FS151" s="144" t="s">
        <v>166</v>
      </c>
      <c r="FT151" s="144" t="s">
        <v>166</v>
      </c>
      <c r="FU151" s="144" t="s">
        <v>166</v>
      </c>
      <c r="FV151" s="144" t="s">
        <v>166</v>
      </c>
      <c r="FW151" s="144" t="s">
        <v>166</v>
      </c>
      <c r="FX151" s="144" t="s">
        <v>166</v>
      </c>
      <c r="FY151" s="144" t="s">
        <v>166</v>
      </c>
      <c r="FZ151" s="144" t="s">
        <v>166</v>
      </c>
      <c r="GA151" s="144" t="s">
        <v>166</v>
      </c>
      <c r="GB151" s="144" t="s">
        <v>166</v>
      </c>
      <c r="GC151" s="148" t="s">
        <v>448</v>
      </c>
    </row>
    <row r="152" spans="1:192" ht="17">
      <c r="A152" s="140" t="s">
        <v>162</v>
      </c>
      <c r="B152" s="143" t="s">
        <v>163</v>
      </c>
      <c r="C152" s="140" t="s">
        <v>164</v>
      </c>
      <c r="D152" s="140" t="s">
        <v>165</v>
      </c>
      <c r="E152" s="140">
        <v>2020</v>
      </c>
      <c r="F152" t="s">
        <v>184</v>
      </c>
      <c r="G152" s="145">
        <v>33330</v>
      </c>
      <c r="H152" s="147">
        <f t="shared" ref="H152" si="158">0.0083*G152^(0.9482)</f>
        <v>161.29857729472397</v>
      </c>
      <c r="I152" s="147">
        <f t="shared" si="135"/>
        <v>161.29857729472397</v>
      </c>
      <c r="J152" s="146">
        <v>931.03723324817497</v>
      </c>
      <c r="K152" s="146">
        <v>187.53315367889491</v>
      </c>
      <c r="L152" s="146">
        <v>164.72082913836402</v>
      </c>
      <c r="M152" s="140" t="b">
        <v>1</v>
      </c>
      <c r="N152" s="140">
        <v>1</v>
      </c>
      <c r="O152" s="302" t="s">
        <v>581</v>
      </c>
      <c r="P152" s="140" t="s">
        <v>166</v>
      </c>
      <c r="Q152" s="140" t="s">
        <v>166</v>
      </c>
      <c r="R152" s="140" t="s">
        <v>166</v>
      </c>
      <c r="S152" s="140" t="b">
        <v>1</v>
      </c>
      <c r="T152" s="140" t="b">
        <v>0</v>
      </c>
      <c r="U152" s="140" t="s">
        <v>166</v>
      </c>
      <c r="V152" s="140" t="b">
        <v>0</v>
      </c>
      <c r="W152" s="140" t="b">
        <v>0</v>
      </c>
      <c r="X152" s="140" t="s">
        <v>580</v>
      </c>
      <c r="Y152" s="148" t="s">
        <v>186</v>
      </c>
      <c r="Z152" t="s">
        <v>184</v>
      </c>
      <c r="AA152" t="s">
        <v>437</v>
      </c>
      <c r="AB152" t="s">
        <v>166</v>
      </c>
      <c r="AC152">
        <v>26</v>
      </c>
      <c r="AD152">
        <v>1</v>
      </c>
      <c r="AE152">
        <v>40</v>
      </c>
      <c r="AF152">
        <v>90</v>
      </c>
      <c r="AG152" t="s">
        <v>166</v>
      </c>
      <c r="AH152" s="182">
        <v>75.45</v>
      </c>
      <c r="AI152" t="s">
        <v>166</v>
      </c>
      <c r="AJ152" t="s">
        <v>438</v>
      </c>
      <c r="AK152" s="159">
        <v>-9.1863888899999999</v>
      </c>
      <c r="AL152" s="159">
        <v>39.551111110000001</v>
      </c>
      <c r="AM152">
        <v>-19</v>
      </c>
      <c r="AN152" t="s">
        <v>166</v>
      </c>
      <c r="AO152" t="s">
        <v>166</v>
      </c>
      <c r="AP152" s="183" t="s">
        <v>439</v>
      </c>
      <c r="AQ152" t="s">
        <v>440</v>
      </c>
      <c r="AR152" t="s">
        <v>166</v>
      </c>
      <c r="AS152" s="145">
        <v>33.33</v>
      </c>
      <c r="AT152" t="s">
        <v>166</v>
      </c>
      <c r="AU152" t="s">
        <v>166</v>
      </c>
      <c r="AV152" t="s">
        <v>166</v>
      </c>
      <c r="AW152" t="s">
        <v>441</v>
      </c>
      <c r="AX152" t="s">
        <v>256</v>
      </c>
      <c r="AY152" t="s">
        <v>442</v>
      </c>
      <c r="AZ152" t="s">
        <v>166</v>
      </c>
      <c r="BA152" t="s">
        <v>166</v>
      </c>
      <c r="BB152" t="s">
        <v>166</v>
      </c>
      <c r="BC152" t="s">
        <v>166</v>
      </c>
      <c r="BD152" t="s">
        <v>166</v>
      </c>
      <c r="BE152" t="s">
        <v>166</v>
      </c>
      <c r="BF152" t="s">
        <v>166</v>
      </c>
      <c r="BG152" s="184" t="s">
        <v>443</v>
      </c>
      <c r="BH152" s="150" t="s">
        <v>328</v>
      </c>
      <c r="BI152" s="150" t="s">
        <v>444</v>
      </c>
      <c r="BJ152" t="s">
        <v>166</v>
      </c>
      <c r="BK152" t="s">
        <v>193</v>
      </c>
      <c r="BL152" t="s">
        <v>194</v>
      </c>
      <c r="BM152" t="s">
        <v>195</v>
      </c>
      <c r="BN152" t="s">
        <v>450</v>
      </c>
      <c r="BO152">
        <v>2</v>
      </c>
      <c r="BP152">
        <v>8.0000000000000071E-2</v>
      </c>
      <c r="BQ152" s="150">
        <v>14.928367132844311</v>
      </c>
      <c r="BR152" t="s">
        <v>196</v>
      </c>
      <c r="BS152" s="150">
        <v>0.26091628653420895</v>
      </c>
      <c r="BT152">
        <v>1</v>
      </c>
      <c r="BU152" t="s">
        <v>197</v>
      </c>
      <c r="BV152" t="s">
        <v>166</v>
      </c>
      <c r="BW152">
        <v>0</v>
      </c>
      <c r="BX152" t="s">
        <v>197</v>
      </c>
      <c r="BY152" t="s">
        <v>166</v>
      </c>
      <c r="BZ152" t="s">
        <v>197</v>
      </c>
      <c r="CA152" t="s">
        <v>166</v>
      </c>
      <c r="CB152" s="150">
        <f t="shared" si="145"/>
        <v>14.928367132844311</v>
      </c>
      <c r="CC152" t="s">
        <v>196</v>
      </c>
      <c r="CD152" s="150">
        <f t="shared" si="156"/>
        <v>0.26091628653420895</v>
      </c>
      <c r="CE152" t="s">
        <v>199</v>
      </c>
      <c r="CF152" t="s">
        <v>166</v>
      </c>
      <c r="CG152" t="s">
        <v>446</v>
      </c>
      <c r="CH152" t="s">
        <v>166</v>
      </c>
      <c r="CI152" t="s">
        <v>166</v>
      </c>
      <c r="CJ152" s="185">
        <v>31.037153199999999</v>
      </c>
      <c r="CK152" t="s">
        <v>201</v>
      </c>
      <c r="CL152">
        <v>2</v>
      </c>
      <c r="CM152">
        <v>2</v>
      </c>
      <c r="CO152" s="186">
        <v>4.6603652712700114</v>
      </c>
      <c r="CP152" t="s">
        <v>166</v>
      </c>
      <c r="CQ152" t="s">
        <v>166</v>
      </c>
      <c r="CR152" t="s">
        <v>166</v>
      </c>
      <c r="CS152" s="153" t="s">
        <v>166</v>
      </c>
      <c r="CT152" t="s">
        <v>447</v>
      </c>
      <c r="CU152">
        <v>4.3</v>
      </c>
      <c r="CV152" t="s">
        <v>166</v>
      </c>
      <c r="CW152" t="s">
        <v>166</v>
      </c>
      <c r="CX152" t="s">
        <v>166</v>
      </c>
      <c r="CY152" t="s">
        <v>166</v>
      </c>
      <c r="CZ152" t="s">
        <v>166</v>
      </c>
      <c r="DA152" t="s">
        <v>166</v>
      </c>
      <c r="DB152" t="s">
        <v>166</v>
      </c>
      <c r="DC152" t="s">
        <v>166</v>
      </c>
      <c r="DD152" t="s">
        <v>166</v>
      </c>
      <c r="DE152" t="s">
        <v>166</v>
      </c>
      <c r="DF152" t="s">
        <v>205</v>
      </c>
      <c r="DG152">
        <v>35</v>
      </c>
      <c r="DH152" t="s">
        <v>201</v>
      </c>
      <c r="DI152">
        <v>1</v>
      </c>
      <c r="DJ152" t="s">
        <v>206</v>
      </c>
      <c r="DK152">
        <v>17</v>
      </c>
      <c r="DL152" t="s">
        <v>166</v>
      </c>
      <c r="DM152" t="s">
        <v>166</v>
      </c>
      <c r="DN152" t="s">
        <v>207</v>
      </c>
      <c r="DO152">
        <v>38</v>
      </c>
      <c r="DP152" t="s">
        <v>208</v>
      </c>
      <c r="DQ152">
        <v>3</v>
      </c>
      <c r="DR152" t="s">
        <v>209</v>
      </c>
      <c r="DS152" t="s">
        <v>166</v>
      </c>
      <c r="DT152" t="s">
        <v>166</v>
      </c>
      <c r="DU152" t="s">
        <v>166</v>
      </c>
      <c r="DV152" t="s">
        <v>166</v>
      </c>
      <c r="DW152">
        <v>432.6</v>
      </c>
      <c r="DX152" t="s">
        <v>166</v>
      </c>
      <c r="DY152" t="s">
        <v>166</v>
      </c>
      <c r="DZ152" t="s">
        <v>210</v>
      </c>
      <c r="EA152" t="s">
        <v>211</v>
      </c>
      <c r="EB152" t="s">
        <v>212</v>
      </c>
      <c r="EC152" t="s">
        <v>166</v>
      </c>
      <c r="ED152" t="s">
        <v>213</v>
      </c>
      <c r="EE152" s="155" t="s">
        <v>214</v>
      </c>
      <c r="EF152" s="155" t="s">
        <v>214</v>
      </c>
      <c r="EG152">
        <v>1.0271999999999999</v>
      </c>
      <c r="EH152" t="s">
        <v>215</v>
      </c>
      <c r="EI152" t="s">
        <v>215</v>
      </c>
      <c r="EJ152" t="s">
        <v>216</v>
      </c>
      <c r="EK152" t="s">
        <v>215</v>
      </c>
      <c r="EL152" t="s">
        <v>215</v>
      </c>
      <c r="EM152" t="s">
        <v>217</v>
      </c>
      <c r="EN152" s="156" t="s">
        <v>214</v>
      </c>
      <c r="EO152" s="156" t="s">
        <v>214</v>
      </c>
      <c r="EP152" s="156" t="s">
        <v>214</v>
      </c>
      <c r="EQ152" s="156" t="s">
        <v>214</v>
      </c>
      <c r="ER152" s="156"/>
      <c r="ES152" s="156"/>
      <c r="ET152" t="s">
        <v>218</v>
      </c>
      <c r="EU152" t="s">
        <v>219</v>
      </c>
      <c r="EV152" t="s">
        <v>213</v>
      </c>
      <c r="EW152" t="s">
        <v>166</v>
      </c>
      <c r="EX152" t="s">
        <v>166</v>
      </c>
      <c r="EY152" t="s">
        <v>166</v>
      </c>
      <c r="EZ152" t="s">
        <v>166</v>
      </c>
      <c r="FA152" s="157">
        <v>6.5</v>
      </c>
      <c r="FB152" t="s">
        <v>220</v>
      </c>
      <c r="FC152" s="157">
        <v>1</v>
      </c>
      <c r="FD152" s="157">
        <v>1</v>
      </c>
      <c r="FE152" s="187">
        <v>7.7586128795749696</v>
      </c>
      <c r="FF152" t="s">
        <v>221</v>
      </c>
      <c r="FG152" s="188">
        <v>3.4931171421260565E-2</v>
      </c>
      <c r="FH152" s="188">
        <v>3.5843715026059542E-2</v>
      </c>
      <c r="FI152" s="146">
        <v>931.03723324817497</v>
      </c>
      <c r="FK152" t="s">
        <v>166</v>
      </c>
      <c r="FL152" s="144">
        <f t="shared" si="157"/>
        <v>931.03723324817497</v>
      </c>
      <c r="FM152" s="146">
        <v>187.53315367889491</v>
      </c>
      <c r="FN152" s="146">
        <v>164.72082913836402</v>
      </c>
      <c r="FO152" t="s">
        <v>222</v>
      </c>
      <c r="FP152" t="s">
        <v>223</v>
      </c>
      <c r="FQ152" s="144" t="s">
        <v>166</v>
      </c>
      <c r="FR152" s="144" t="s">
        <v>166</v>
      </c>
      <c r="FS152" s="144" t="s">
        <v>166</v>
      </c>
      <c r="FT152" s="144" t="s">
        <v>166</v>
      </c>
      <c r="FU152" s="144" t="s">
        <v>166</v>
      </c>
      <c r="FV152" s="144" t="s">
        <v>166</v>
      </c>
      <c r="FW152" s="144" t="s">
        <v>166</v>
      </c>
      <c r="FX152" s="144" t="s">
        <v>166</v>
      </c>
      <c r="FY152" s="144" t="s">
        <v>166</v>
      </c>
      <c r="FZ152" s="144" t="s">
        <v>166</v>
      </c>
      <c r="GA152" s="144" t="s">
        <v>166</v>
      </c>
      <c r="GB152" s="144" t="s">
        <v>166</v>
      </c>
      <c r="GC152" s="148" t="s">
        <v>448</v>
      </c>
    </row>
    <row r="153" spans="1:192" ht="17">
      <c r="A153" s="140" t="s">
        <v>162</v>
      </c>
      <c r="B153" s="143" t="s">
        <v>163</v>
      </c>
      <c r="C153" s="140" t="s">
        <v>164</v>
      </c>
      <c r="D153" s="140" t="s">
        <v>165</v>
      </c>
      <c r="E153" s="140">
        <v>2020</v>
      </c>
      <c r="F153" t="s">
        <v>184</v>
      </c>
      <c r="G153" s="145">
        <v>33380</v>
      </c>
      <c r="H153" s="147">
        <f t="shared" ref="H153" si="159">0.0083*G153^(0.9482)</f>
        <v>161.52800629513231</v>
      </c>
      <c r="I153" s="147">
        <f t="shared" si="135"/>
        <v>161.52800629513231</v>
      </c>
      <c r="J153" s="146">
        <v>964.47147446284396</v>
      </c>
      <c r="K153" s="146">
        <v>226.87255663686608</v>
      </c>
      <c r="L153" s="146">
        <v>166.69696747820797</v>
      </c>
      <c r="M153" s="140" t="b">
        <v>1</v>
      </c>
      <c r="N153" s="140">
        <v>1</v>
      </c>
      <c r="O153" s="302" t="s">
        <v>581</v>
      </c>
      <c r="P153" s="140" t="s">
        <v>166</v>
      </c>
      <c r="Q153" s="140" t="s">
        <v>166</v>
      </c>
      <c r="R153" s="140" t="s">
        <v>166</v>
      </c>
      <c r="S153" s="140" t="b">
        <v>1</v>
      </c>
      <c r="T153" s="140" t="b">
        <v>0</v>
      </c>
      <c r="U153" s="140" t="s">
        <v>166</v>
      </c>
      <c r="V153" s="140" t="b">
        <v>0</v>
      </c>
      <c r="W153" s="140" t="b">
        <v>0</v>
      </c>
      <c r="X153" s="140" t="s">
        <v>580</v>
      </c>
      <c r="Y153" s="148" t="s">
        <v>186</v>
      </c>
      <c r="Z153" t="s">
        <v>184</v>
      </c>
      <c r="AA153" t="s">
        <v>451</v>
      </c>
      <c r="AB153" t="s">
        <v>166</v>
      </c>
      <c r="AC153">
        <v>11</v>
      </c>
      <c r="AD153">
        <v>2</v>
      </c>
      <c r="AE153">
        <v>0</v>
      </c>
      <c r="AF153">
        <v>50</v>
      </c>
      <c r="AG153" t="s">
        <v>166</v>
      </c>
      <c r="AH153" s="182">
        <v>94.25</v>
      </c>
      <c r="AI153" t="s">
        <v>166</v>
      </c>
      <c r="AJ153" t="s">
        <v>438</v>
      </c>
      <c r="AK153" s="159">
        <v>-9.2152777799999992</v>
      </c>
      <c r="AL153" s="159">
        <v>39.548333329999998</v>
      </c>
      <c r="AM153">
        <v>-19</v>
      </c>
      <c r="AN153" t="s">
        <v>166</v>
      </c>
      <c r="AO153" t="s">
        <v>166</v>
      </c>
      <c r="AP153" s="183" t="s">
        <v>439</v>
      </c>
      <c r="AQ153" t="s">
        <v>440</v>
      </c>
      <c r="AR153" t="s">
        <v>166</v>
      </c>
      <c r="AS153" s="145">
        <v>33.380000000000003</v>
      </c>
      <c r="AT153" t="s">
        <v>166</v>
      </c>
      <c r="AU153" t="s">
        <v>166</v>
      </c>
      <c r="AV153" t="s">
        <v>166</v>
      </c>
      <c r="AW153" t="s">
        <v>441</v>
      </c>
      <c r="AX153" t="s">
        <v>256</v>
      </c>
      <c r="AY153" t="s">
        <v>442</v>
      </c>
      <c r="AZ153" t="s">
        <v>166</v>
      </c>
      <c r="BA153" t="s">
        <v>166</v>
      </c>
      <c r="BB153" t="s">
        <v>166</v>
      </c>
      <c r="BC153" t="s">
        <v>166</v>
      </c>
      <c r="BD153" t="s">
        <v>166</v>
      </c>
      <c r="BE153" t="s">
        <v>166</v>
      </c>
      <c r="BF153" t="s">
        <v>166</v>
      </c>
      <c r="BG153" s="184" t="s">
        <v>443</v>
      </c>
      <c r="BH153" s="150" t="s">
        <v>328</v>
      </c>
      <c r="BI153" s="150" t="s">
        <v>444</v>
      </c>
      <c r="BJ153" t="s">
        <v>166</v>
      </c>
      <c r="BK153" t="s">
        <v>193</v>
      </c>
      <c r="BL153" t="s">
        <v>194</v>
      </c>
      <c r="BM153" t="s">
        <v>195</v>
      </c>
      <c r="BN153" t="s">
        <v>452</v>
      </c>
      <c r="BO153">
        <v>2</v>
      </c>
      <c r="BP153">
        <v>0</v>
      </c>
      <c r="BQ153" s="150">
        <v>14.8078066504938</v>
      </c>
      <c r="BR153" t="s">
        <v>196</v>
      </c>
      <c r="BS153" s="150">
        <v>0.26471819330941693</v>
      </c>
      <c r="BT153">
        <v>1</v>
      </c>
      <c r="BU153" t="s">
        <v>197</v>
      </c>
      <c r="BV153" t="s">
        <v>166</v>
      </c>
      <c r="BW153">
        <v>0</v>
      </c>
      <c r="BX153" t="s">
        <v>197</v>
      </c>
      <c r="BY153" t="s">
        <v>166</v>
      </c>
      <c r="BZ153" t="s">
        <v>197</v>
      </c>
      <c r="CA153" t="s">
        <v>166</v>
      </c>
      <c r="CB153" s="150">
        <f t="shared" si="145"/>
        <v>14.8078066504938</v>
      </c>
      <c r="CC153" t="s">
        <v>196</v>
      </c>
      <c r="CD153" s="150">
        <f t="shared" si="156"/>
        <v>0.26471819330941693</v>
      </c>
      <c r="CE153" t="s">
        <v>199</v>
      </c>
      <c r="CF153" t="s">
        <v>166</v>
      </c>
      <c r="CG153" t="s">
        <v>446</v>
      </c>
      <c r="CH153" t="s">
        <v>166</v>
      </c>
      <c r="CI153" t="s">
        <v>166</v>
      </c>
      <c r="CJ153" s="185">
        <v>29.5058522</v>
      </c>
      <c r="CK153" t="s">
        <v>201</v>
      </c>
      <c r="CL153">
        <v>2</v>
      </c>
      <c r="CM153">
        <v>2</v>
      </c>
      <c r="CO153" s="186">
        <v>4.0266311512116291</v>
      </c>
      <c r="CP153" t="s">
        <v>166</v>
      </c>
      <c r="CQ153" t="s">
        <v>166</v>
      </c>
      <c r="CR153" t="s">
        <v>166</v>
      </c>
      <c r="CS153" s="153" t="s">
        <v>166</v>
      </c>
      <c r="CT153" t="s">
        <v>447</v>
      </c>
      <c r="CU153">
        <v>4.3</v>
      </c>
      <c r="CV153" t="s">
        <v>166</v>
      </c>
      <c r="CW153" t="s">
        <v>166</v>
      </c>
      <c r="CX153" t="s">
        <v>166</v>
      </c>
      <c r="CY153" t="s">
        <v>166</v>
      </c>
      <c r="CZ153" t="s">
        <v>166</v>
      </c>
      <c r="DA153" t="s">
        <v>166</v>
      </c>
      <c r="DB153" t="s">
        <v>166</v>
      </c>
      <c r="DC153" t="s">
        <v>166</v>
      </c>
      <c r="DD153" t="s">
        <v>166</v>
      </c>
      <c r="DE153" t="s">
        <v>166</v>
      </c>
      <c r="DF153" t="s">
        <v>205</v>
      </c>
      <c r="DG153">
        <v>35</v>
      </c>
      <c r="DH153" t="s">
        <v>201</v>
      </c>
      <c r="DI153">
        <v>1</v>
      </c>
      <c r="DJ153" t="s">
        <v>206</v>
      </c>
      <c r="DK153">
        <v>17</v>
      </c>
      <c r="DL153" t="s">
        <v>166</v>
      </c>
      <c r="DM153" t="s">
        <v>166</v>
      </c>
      <c r="DN153" t="s">
        <v>207</v>
      </c>
      <c r="DO153">
        <v>38</v>
      </c>
      <c r="DP153" t="s">
        <v>208</v>
      </c>
      <c r="DQ153">
        <v>3</v>
      </c>
      <c r="DR153" t="s">
        <v>209</v>
      </c>
      <c r="DS153" t="s">
        <v>166</v>
      </c>
      <c r="DT153" t="s">
        <v>166</v>
      </c>
      <c r="DU153" t="s">
        <v>166</v>
      </c>
      <c r="DV153" t="s">
        <v>166</v>
      </c>
      <c r="DW153">
        <v>432.6</v>
      </c>
      <c r="DX153" t="s">
        <v>166</v>
      </c>
      <c r="DY153" t="s">
        <v>166</v>
      </c>
      <c r="DZ153" t="s">
        <v>210</v>
      </c>
      <c r="EA153" t="s">
        <v>211</v>
      </c>
      <c r="EB153" t="s">
        <v>212</v>
      </c>
      <c r="EC153" t="s">
        <v>166</v>
      </c>
      <c r="ED153" t="s">
        <v>213</v>
      </c>
      <c r="EE153" s="155" t="s">
        <v>214</v>
      </c>
      <c r="EF153" s="155" t="s">
        <v>214</v>
      </c>
      <c r="EG153">
        <v>1.0271999999999999</v>
      </c>
      <c r="EH153" t="s">
        <v>215</v>
      </c>
      <c r="EI153" t="s">
        <v>215</v>
      </c>
      <c r="EJ153" t="s">
        <v>216</v>
      </c>
      <c r="EK153" t="s">
        <v>215</v>
      </c>
      <c r="EL153" t="s">
        <v>215</v>
      </c>
      <c r="EM153" t="s">
        <v>217</v>
      </c>
      <c r="EN153" s="156" t="s">
        <v>214</v>
      </c>
      <c r="EO153" s="156" t="s">
        <v>214</v>
      </c>
      <c r="EP153" s="156" t="s">
        <v>214</v>
      </c>
      <c r="EQ153" s="156" t="s">
        <v>214</v>
      </c>
      <c r="ER153" s="156"/>
      <c r="ES153" s="156"/>
      <c r="ET153" t="s">
        <v>218</v>
      </c>
      <c r="EU153" t="s">
        <v>219</v>
      </c>
      <c r="EV153" t="s">
        <v>213</v>
      </c>
      <c r="EW153" t="s">
        <v>166</v>
      </c>
      <c r="EX153" t="s">
        <v>166</v>
      </c>
      <c r="EY153" t="s">
        <v>166</v>
      </c>
      <c r="EZ153" t="s">
        <v>166</v>
      </c>
      <c r="FA153" s="157">
        <v>6.5</v>
      </c>
      <c r="FB153" t="s">
        <v>220</v>
      </c>
      <c r="FC153" s="157">
        <v>1</v>
      </c>
      <c r="FD153" s="157">
        <v>1</v>
      </c>
      <c r="FE153" s="187">
        <v>7.7604439609405604</v>
      </c>
      <c r="FF153" t="s">
        <v>221</v>
      </c>
      <c r="FG153" s="188">
        <v>3.6121006010539247E-2</v>
      </c>
      <c r="FH153" s="188">
        <v>4.0563568079060808E-2</v>
      </c>
      <c r="FI153" s="146">
        <v>964.47147446284396</v>
      </c>
      <c r="FK153" t="s">
        <v>166</v>
      </c>
      <c r="FL153" s="144">
        <f t="shared" si="157"/>
        <v>964.47147446284396</v>
      </c>
      <c r="FM153" s="146">
        <v>226.87255663686608</v>
      </c>
      <c r="FN153" s="146">
        <v>166.69696747820797</v>
      </c>
      <c r="FO153" t="s">
        <v>222</v>
      </c>
      <c r="FP153" t="s">
        <v>223</v>
      </c>
      <c r="FQ153" s="144" t="s">
        <v>166</v>
      </c>
      <c r="FR153" s="144" t="s">
        <v>166</v>
      </c>
      <c r="FS153" s="144" t="s">
        <v>166</v>
      </c>
      <c r="FT153" s="144" t="s">
        <v>166</v>
      </c>
      <c r="FU153" s="144" t="s">
        <v>166</v>
      </c>
      <c r="FV153" s="144" t="s">
        <v>166</v>
      </c>
      <c r="FW153" s="144" t="s">
        <v>166</v>
      </c>
      <c r="FX153" s="144" t="s">
        <v>166</v>
      </c>
      <c r="FY153" s="144" t="s">
        <v>166</v>
      </c>
      <c r="FZ153" s="144" t="s">
        <v>166</v>
      </c>
      <c r="GA153" s="144" t="s">
        <v>166</v>
      </c>
      <c r="GB153" s="144" t="s">
        <v>166</v>
      </c>
      <c r="GC153" s="148" t="s">
        <v>448</v>
      </c>
    </row>
    <row r="154" spans="1:192" ht="17">
      <c r="A154" s="140" t="s">
        <v>162</v>
      </c>
      <c r="B154" s="143" t="s">
        <v>163</v>
      </c>
      <c r="C154" s="140" t="s">
        <v>164</v>
      </c>
      <c r="D154" s="140" t="s">
        <v>165</v>
      </c>
      <c r="E154" s="140">
        <v>2020</v>
      </c>
      <c r="F154" t="s">
        <v>184</v>
      </c>
      <c r="G154" s="145">
        <v>33590</v>
      </c>
      <c r="H154" s="147">
        <f t="shared" ref="H154" si="160">0.0083*G154^(0.9482)</f>
        <v>162.49141403525249</v>
      </c>
      <c r="I154" s="147">
        <f t="shared" si="135"/>
        <v>162.49141403525249</v>
      </c>
      <c r="J154" s="146">
        <v>722.47237610190905</v>
      </c>
      <c r="K154" s="146">
        <v>131.73181724547396</v>
      </c>
      <c r="L154" s="146">
        <v>119.59754153636004</v>
      </c>
      <c r="M154" s="140" t="b">
        <v>1</v>
      </c>
      <c r="N154" s="140">
        <v>1</v>
      </c>
      <c r="O154" s="302" t="s">
        <v>581</v>
      </c>
      <c r="P154" s="140" t="s">
        <v>166</v>
      </c>
      <c r="Q154" s="140" t="s">
        <v>166</v>
      </c>
      <c r="R154" s="140" t="s">
        <v>166</v>
      </c>
      <c r="S154" s="140" t="b">
        <v>1</v>
      </c>
      <c r="T154" s="140" t="b">
        <v>0</v>
      </c>
      <c r="U154" s="140" t="s">
        <v>166</v>
      </c>
      <c r="V154" s="140" t="b">
        <v>0</v>
      </c>
      <c r="W154" s="140" t="b">
        <v>0</v>
      </c>
      <c r="X154" s="140" t="s">
        <v>580</v>
      </c>
      <c r="Y154" s="148" t="s">
        <v>186</v>
      </c>
      <c r="Z154" t="s">
        <v>184</v>
      </c>
      <c r="AA154" t="s">
        <v>437</v>
      </c>
      <c r="AB154" t="s">
        <v>166</v>
      </c>
      <c r="AC154">
        <v>34</v>
      </c>
      <c r="AD154">
        <v>2</v>
      </c>
      <c r="AE154">
        <v>0</v>
      </c>
      <c r="AF154">
        <v>50</v>
      </c>
      <c r="AG154" t="s">
        <v>166</v>
      </c>
      <c r="AH154" s="182">
        <v>99.15</v>
      </c>
      <c r="AI154" t="s">
        <v>166</v>
      </c>
      <c r="AJ154" t="s">
        <v>438</v>
      </c>
      <c r="AK154" s="159">
        <v>-9.1863888899999999</v>
      </c>
      <c r="AL154" s="159">
        <v>39.551111110000001</v>
      </c>
      <c r="AM154">
        <v>-19</v>
      </c>
      <c r="AN154" t="s">
        <v>166</v>
      </c>
      <c r="AO154" t="s">
        <v>166</v>
      </c>
      <c r="AP154" s="183" t="s">
        <v>439</v>
      </c>
      <c r="AQ154" t="s">
        <v>440</v>
      </c>
      <c r="AR154" t="s">
        <v>166</v>
      </c>
      <c r="AS154" s="145">
        <v>33.590000000000003</v>
      </c>
      <c r="AT154" t="s">
        <v>166</v>
      </c>
      <c r="AU154" t="s">
        <v>166</v>
      </c>
      <c r="AV154" t="s">
        <v>166</v>
      </c>
      <c r="AW154" t="s">
        <v>441</v>
      </c>
      <c r="AX154" t="s">
        <v>256</v>
      </c>
      <c r="AY154" t="s">
        <v>442</v>
      </c>
      <c r="AZ154" t="s">
        <v>166</v>
      </c>
      <c r="BA154" t="s">
        <v>166</v>
      </c>
      <c r="BB154" t="s">
        <v>166</v>
      </c>
      <c r="BC154" t="s">
        <v>166</v>
      </c>
      <c r="BD154" t="s">
        <v>166</v>
      </c>
      <c r="BE154" t="s">
        <v>166</v>
      </c>
      <c r="BF154" t="s">
        <v>166</v>
      </c>
      <c r="BG154" s="184" t="s">
        <v>443</v>
      </c>
      <c r="BH154" s="150" t="s">
        <v>328</v>
      </c>
      <c r="BI154" s="150" t="s">
        <v>453</v>
      </c>
      <c r="BJ154" t="s">
        <v>166</v>
      </c>
      <c r="BK154" t="s">
        <v>193</v>
      </c>
      <c r="BL154" t="s">
        <v>194</v>
      </c>
      <c r="BM154" t="s">
        <v>195</v>
      </c>
      <c r="BN154" t="s">
        <v>454</v>
      </c>
      <c r="BO154">
        <v>2</v>
      </c>
      <c r="BP154">
        <v>1.9999999999999574E-2</v>
      </c>
      <c r="BQ154" s="150">
        <v>15.340449235763177</v>
      </c>
      <c r="BR154" t="s">
        <v>196</v>
      </c>
      <c r="BS154" s="150">
        <v>0.26286998285863372</v>
      </c>
      <c r="BT154">
        <v>1</v>
      </c>
      <c r="BU154" t="s">
        <v>197</v>
      </c>
      <c r="BV154" t="s">
        <v>166</v>
      </c>
      <c r="BW154">
        <v>0</v>
      </c>
      <c r="BX154" t="s">
        <v>197</v>
      </c>
      <c r="BY154" t="s">
        <v>166</v>
      </c>
      <c r="BZ154" t="s">
        <v>197</v>
      </c>
      <c r="CA154" t="s">
        <v>166</v>
      </c>
      <c r="CB154" s="150">
        <f t="shared" si="145"/>
        <v>15.340449235763177</v>
      </c>
      <c r="CC154" t="s">
        <v>196</v>
      </c>
      <c r="CD154" s="150">
        <f t="shared" si="156"/>
        <v>0.26286998285863372</v>
      </c>
      <c r="CE154" t="s">
        <v>199</v>
      </c>
      <c r="CF154" t="s">
        <v>166</v>
      </c>
      <c r="CG154" t="s">
        <v>446</v>
      </c>
      <c r="CH154" t="s">
        <v>166</v>
      </c>
      <c r="CI154" t="s">
        <v>166</v>
      </c>
      <c r="CJ154" s="185">
        <v>29.915637400000001</v>
      </c>
      <c r="CK154" t="s">
        <v>201</v>
      </c>
      <c r="CL154">
        <v>2</v>
      </c>
      <c r="CM154">
        <v>2</v>
      </c>
      <c r="CO154" s="186">
        <v>4.2866574869922482</v>
      </c>
      <c r="CP154" t="s">
        <v>166</v>
      </c>
      <c r="CQ154" t="s">
        <v>166</v>
      </c>
      <c r="CR154" t="s">
        <v>166</v>
      </c>
      <c r="CS154" s="153" t="s">
        <v>166</v>
      </c>
      <c r="CT154" t="s">
        <v>447</v>
      </c>
      <c r="CU154">
        <v>4.3</v>
      </c>
      <c r="CV154" t="s">
        <v>166</v>
      </c>
      <c r="CW154" t="s">
        <v>166</v>
      </c>
      <c r="CX154" t="s">
        <v>166</v>
      </c>
      <c r="CY154" t="s">
        <v>166</v>
      </c>
      <c r="CZ154" t="s">
        <v>166</v>
      </c>
      <c r="DA154" t="s">
        <v>166</v>
      </c>
      <c r="DB154" t="s">
        <v>166</v>
      </c>
      <c r="DC154" t="s">
        <v>166</v>
      </c>
      <c r="DD154" t="s">
        <v>166</v>
      </c>
      <c r="DE154" t="s">
        <v>166</v>
      </c>
      <c r="DF154" t="s">
        <v>205</v>
      </c>
      <c r="DG154">
        <v>35</v>
      </c>
      <c r="DH154" t="s">
        <v>201</v>
      </c>
      <c r="DI154">
        <v>1</v>
      </c>
      <c r="DJ154" t="s">
        <v>206</v>
      </c>
      <c r="DK154">
        <v>17</v>
      </c>
      <c r="DL154" t="s">
        <v>166</v>
      </c>
      <c r="DM154" t="s">
        <v>166</v>
      </c>
      <c r="DN154" t="s">
        <v>207</v>
      </c>
      <c r="DO154">
        <v>38</v>
      </c>
      <c r="DP154" t="s">
        <v>208</v>
      </c>
      <c r="DQ154">
        <v>3</v>
      </c>
      <c r="DR154" t="s">
        <v>209</v>
      </c>
      <c r="DS154" t="s">
        <v>166</v>
      </c>
      <c r="DT154" t="s">
        <v>166</v>
      </c>
      <c r="DU154" t="s">
        <v>166</v>
      </c>
      <c r="DV154" t="s">
        <v>166</v>
      </c>
      <c r="DW154">
        <v>432.6</v>
      </c>
      <c r="DX154" t="s">
        <v>166</v>
      </c>
      <c r="DY154" t="s">
        <v>166</v>
      </c>
      <c r="DZ154" t="s">
        <v>210</v>
      </c>
      <c r="EA154" t="s">
        <v>211</v>
      </c>
      <c r="EB154" t="s">
        <v>212</v>
      </c>
      <c r="EC154" t="s">
        <v>166</v>
      </c>
      <c r="ED154" t="s">
        <v>213</v>
      </c>
      <c r="EE154" s="155" t="s">
        <v>214</v>
      </c>
      <c r="EF154" s="155" t="s">
        <v>214</v>
      </c>
      <c r="EG154">
        <v>1.0271999999999999</v>
      </c>
      <c r="EH154" t="s">
        <v>215</v>
      </c>
      <c r="EI154" t="s">
        <v>215</v>
      </c>
      <c r="EJ154" t="s">
        <v>216</v>
      </c>
      <c r="EK154" t="s">
        <v>215</v>
      </c>
      <c r="EL154" t="s">
        <v>215</v>
      </c>
      <c r="EM154" t="s">
        <v>217</v>
      </c>
      <c r="EN154" s="156" t="s">
        <v>214</v>
      </c>
      <c r="EO154" s="156" t="s">
        <v>214</v>
      </c>
      <c r="EP154" s="156" t="s">
        <v>214</v>
      </c>
      <c r="EQ154" s="156" t="s">
        <v>214</v>
      </c>
      <c r="ER154" s="156"/>
      <c r="ES154" s="156"/>
      <c r="ET154" t="s">
        <v>218</v>
      </c>
      <c r="EU154" t="s">
        <v>219</v>
      </c>
      <c r="EV154" t="s">
        <v>213</v>
      </c>
      <c r="EW154" t="s">
        <v>166</v>
      </c>
      <c r="EX154" t="s">
        <v>166</v>
      </c>
      <c r="EY154" t="s">
        <v>166</v>
      </c>
      <c r="EZ154" t="s">
        <v>166</v>
      </c>
      <c r="FA154" s="157">
        <v>6.5</v>
      </c>
      <c r="FB154" t="s">
        <v>220</v>
      </c>
      <c r="FC154" s="157">
        <v>1</v>
      </c>
      <c r="FD154" s="157">
        <v>1</v>
      </c>
      <c r="FE154" s="187">
        <v>7.8226339429168501</v>
      </c>
      <c r="FF154" t="s">
        <v>221</v>
      </c>
      <c r="FG154" s="188">
        <v>2.9893791678209602E-2</v>
      </c>
      <c r="FH154" s="188">
        <v>3.5461963371609784E-2</v>
      </c>
      <c r="FI154" s="146">
        <v>722.47237610190905</v>
      </c>
      <c r="FK154" t="s">
        <v>166</v>
      </c>
      <c r="FL154" s="144">
        <f t="shared" si="157"/>
        <v>722.47237610190905</v>
      </c>
      <c r="FM154" s="146">
        <v>131.73181724547396</v>
      </c>
      <c r="FN154" s="146">
        <v>119.59754153636004</v>
      </c>
      <c r="FO154" t="s">
        <v>222</v>
      </c>
      <c r="FP154" t="s">
        <v>223</v>
      </c>
      <c r="FQ154" s="144" t="s">
        <v>166</v>
      </c>
      <c r="FR154" s="144" t="s">
        <v>166</v>
      </c>
      <c r="FS154" s="144" t="s">
        <v>166</v>
      </c>
      <c r="FT154" s="144" t="s">
        <v>166</v>
      </c>
      <c r="FU154" s="144" t="s">
        <v>166</v>
      </c>
      <c r="FV154" s="144" t="s">
        <v>166</v>
      </c>
      <c r="FW154" s="144" t="s">
        <v>166</v>
      </c>
      <c r="FX154" s="144" t="s">
        <v>166</v>
      </c>
      <c r="FY154" s="144" t="s">
        <v>166</v>
      </c>
      <c r="FZ154" s="144" t="s">
        <v>166</v>
      </c>
      <c r="GA154" s="144" t="s">
        <v>166</v>
      </c>
      <c r="GB154" s="144" t="s">
        <v>166</v>
      </c>
      <c r="GC154" s="148" t="s">
        <v>448</v>
      </c>
    </row>
    <row r="155" spans="1:192" ht="17">
      <c r="A155" s="140" t="s">
        <v>162</v>
      </c>
      <c r="B155" s="143" t="s">
        <v>163</v>
      </c>
      <c r="C155" s="140" t="s">
        <v>164</v>
      </c>
      <c r="D155" s="140" t="s">
        <v>165</v>
      </c>
      <c r="E155" s="140">
        <v>2020</v>
      </c>
      <c r="F155" t="s">
        <v>184</v>
      </c>
      <c r="G155" s="145">
        <v>33960</v>
      </c>
      <c r="H155" s="147">
        <f t="shared" ref="H155" si="161">0.0083*G155^(0.9482)</f>
        <v>164.18808897871091</v>
      </c>
      <c r="I155" s="147">
        <f t="shared" si="135"/>
        <v>164.18808897871091</v>
      </c>
      <c r="J155" s="146">
        <v>952.24550038964901</v>
      </c>
      <c r="K155" s="146">
        <v>192.67988823247094</v>
      </c>
      <c r="L155" s="146">
        <v>175.13179721567906</v>
      </c>
      <c r="M155" s="140" t="b">
        <v>1</v>
      </c>
      <c r="N155" s="140">
        <v>1</v>
      </c>
      <c r="O155" s="302" t="s">
        <v>581</v>
      </c>
      <c r="P155" s="140" t="s">
        <v>166</v>
      </c>
      <c r="Q155" s="140" t="s">
        <v>166</v>
      </c>
      <c r="R155" s="140" t="s">
        <v>166</v>
      </c>
      <c r="S155" s="140" t="b">
        <v>1</v>
      </c>
      <c r="T155" s="140" t="b">
        <v>0</v>
      </c>
      <c r="U155" s="140" t="s">
        <v>166</v>
      </c>
      <c r="V155" s="140" t="b">
        <v>0</v>
      </c>
      <c r="W155" s="140" t="b">
        <v>0</v>
      </c>
      <c r="X155" s="140" t="s">
        <v>580</v>
      </c>
      <c r="Y155" s="148" t="s">
        <v>186</v>
      </c>
      <c r="Z155" t="s">
        <v>184</v>
      </c>
      <c r="AA155" t="s">
        <v>451</v>
      </c>
      <c r="AB155" t="s">
        <v>166</v>
      </c>
      <c r="AC155">
        <v>21</v>
      </c>
      <c r="AD155">
        <v>3</v>
      </c>
      <c r="AE155">
        <v>20</v>
      </c>
      <c r="AF155">
        <v>50</v>
      </c>
      <c r="AG155" t="s">
        <v>166</v>
      </c>
      <c r="AH155" s="182">
        <v>125.4</v>
      </c>
      <c r="AI155" t="s">
        <v>166</v>
      </c>
      <c r="AJ155" t="s">
        <v>438</v>
      </c>
      <c r="AK155" s="159">
        <v>-9.2152777799999992</v>
      </c>
      <c r="AL155" s="159">
        <v>39.548333329999998</v>
      </c>
      <c r="AM155">
        <v>-19</v>
      </c>
      <c r="AN155" t="s">
        <v>166</v>
      </c>
      <c r="AO155" t="s">
        <v>166</v>
      </c>
      <c r="AP155" s="183" t="s">
        <v>439</v>
      </c>
      <c r="AQ155" t="s">
        <v>440</v>
      </c>
      <c r="AR155" t="s">
        <v>166</v>
      </c>
      <c r="AS155" s="145">
        <v>33.96</v>
      </c>
      <c r="AT155" t="s">
        <v>166</v>
      </c>
      <c r="AU155" t="s">
        <v>166</v>
      </c>
      <c r="AV155" t="s">
        <v>166</v>
      </c>
      <c r="AW155" t="s">
        <v>441</v>
      </c>
      <c r="AX155" t="s">
        <v>256</v>
      </c>
      <c r="AY155" t="s">
        <v>442</v>
      </c>
      <c r="AZ155" t="s">
        <v>166</v>
      </c>
      <c r="BA155" t="s">
        <v>166</v>
      </c>
      <c r="BB155" t="s">
        <v>166</v>
      </c>
      <c r="BC155" t="s">
        <v>166</v>
      </c>
      <c r="BD155" t="s">
        <v>166</v>
      </c>
      <c r="BE155" t="s">
        <v>166</v>
      </c>
      <c r="BF155" t="s">
        <v>166</v>
      </c>
      <c r="BG155" s="184" t="s">
        <v>443</v>
      </c>
      <c r="BH155" s="150" t="s">
        <v>328</v>
      </c>
      <c r="BI155" s="150" t="s">
        <v>453</v>
      </c>
      <c r="BJ155" t="s">
        <v>166</v>
      </c>
      <c r="BK155" t="s">
        <v>193</v>
      </c>
      <c r="BL155" t="s">
        <v>194</v>
      </c>
      <c r="BM155" t="s">
        <v>195</v>
      </c>
      <c r="BN155" t="s">
        <v>455</v>
      </c>
      <c r="BO155">
        <v>2</v>
      </c>
      <c r="BP155">
        <v>0.29999999999999893</v>
      </c>
      <c r="BQ155" s="150">
        <v>14.925336183078613</v>
      </c>
      <c r="BR155" t="s">
        <v>196</v>
      </c>
      <c r="BS155" s="150">
        <v>0.27021214397028526</v>
      </c>
      <c r="BT155">
        <v>1</v>
      </c>
      <c r="BU155" t="s">
        <v>197</v>
      </c>
      <c r="BV155" t="s">
        <v>166</v>
      </c>
      <c r="BW155">
        <v>0</v>
      </c>
      <c r="BX155" t="s">
        <v>197</v>
      </c>
      <c r="BY155" t="s">
        <v>166</v>
      </c>
      <c r="BZ155" t="s">
        <v>197</v>
      </c>
      <c r="CA155" t="s">
        <v>166</v>
      </c>
      <c r="CB155" s="150">
        <f t="shared" si="145"/>
        <v>14.925336183078613</v>
      </c>
      <c r="CC155" t="s">
        <v>196</v>
      </c>
      <c r="CD155" s="150">
        <f t="shared" si="156"/>
        <v>0.27021214397028526</v>
      </c>
      <c r="CE155" t="s">
        <v>199</v>
      </c>
      <c r="CF155" t="s">
        <v>166</v>
      </c>
      <c r="CG155" t="s">
        <v>446</v>
      </c>
      <c r="CH155" t="s">
        <v>166</v>
      </c>
      <c r="CI155" t="s">
        <v>166</v>
      </c>
      <c r="CJ155" s="185">
        <v>31.7589498</v>
      </c>
      <c r="CK155" t="s">
        <v>201</v>
      </c>
      <c r="CL155">
        <v>2</v>
      </c>
      <c r="CM155">
        <v>2</v>
      </c>
      <c r="CO155" s="186">
        <v>4.7396422174020643</v>
      </c>
      <c r="CP155" t="s">
        <v>166</v>
      </c>
      <c r="CQ155" t="s">
        <v>166</v>
      </c>
      <c r="CR155" t="s">
        <v>166</v>
      </c>
      <c r="CS155" s="153" t="s">
        <v>166</v>
      </c>
      <c r="CT155" t="s">
        <v>447</v>
      </c>
      <c r="CU155">
        <v>4.3</v>
      </c>
      <c r="CV155" t="s">
        <v>166</v>
      </c>
      <c r="CW155" t="s">
        <v>166</v>
      </c>
      <c r="CX155" t="s">
        <v>166</v>
      </c>
      <c r="CY155" t="s">
        <v>166</v>
      </c>
      <c r="CZ155" t="s">
        <v>166</v>
      </c>
      <c r="DA155" t="s">
        <v>166</v>
      </c>
      <c r="DB155" t="s">
        <v>166</v>
      </c>
      <c r="DC155" t="s">
        <v>166</v>
      </c>
      <c r="DD155" t="s">
        <v>166</v>
      </c>
      <c r="DE155" t="s">
        <v>166</v>
      </c>
      <c r="DF155" t="s">
        <v>205</v>
      </c>
      <c r="DG155">
        <v>35</v>
      </c>
      <c r="DH155" t="s">
        <v>201</v>
      </c>
      <c r="DI155">
        <v>1</v>
      </c>
      <c r="DJ155" t="s">
        <v>206</v>
      </c>
      <c r="DK155">
        <v>17</v>
      </c>
      <c r="DL155" t="s">
        <v>166</v>
      </c>
      <c r="DM155" t="s">
        <v>166</v>
      </c>
      <c r="DN155" t="s">
        <v>207</v>
      </c>
      <c r="DO155">
        <v>38</v>
      </c>
      <c r="DP155" t="s">
        <v>208</v>
      </c>
      <c r="DQ155">
        <v>3</v>
      </c>
      <c r="DR155" t="s">
        <v>209</v>
      </c>
      <c r="DS155" t="s">
        <v>166</v>
      </c>
      <c r="DT155" t="s">
        <v>166</v>
      </c>
      <c r="DU155" t="s">
        <v>166</v>
      </c>
      <c r="DV155" t="s">
        <v>166</v>
      </c>
      <c r="DW155">
        <v>432.6</v>
      </c>
      <c r="DX155" t="s">
        <v>166</v>
      </c>
      <c r="DY155" t="s">
        <v>166</v>
      </c>
      <c r="DZ155" t="s">
        <v>210</v>
      </c>
      <c r="EA155" t="s">
        <v>211</v>
      </c>
      <c r="EB155" t="s">
        <v>212</v>
      </c>
      <c r="EC155" t="s">
        <v>166</v>
      </c>
      <c r="ED155" t="s">
        <v>213</v>
      </c>
      <c r="EE155" s="155" t="s">
        <v>214</v>
      </c>
      <c r="EF155" s="155" t="s">
        <v>214</v>
      </c>
      <c r="EG155">
        <v>1.0271999999999999</v>
      </c>
      <c r="EH155" t="s">
        <v>215</v>
      </c>
      <c r="EI155" t="s">
        <v>215</v>
      </c>
      <c r="EJ155" t="s">
        <v>216</v>
      </c>
      <c r="EK155" t="s">
        <v>215</v>
      </c>
      <c r="EL155" t="s">
        <v>215</v>
      </c>
      <c r="EM155" t="s">
        <v>217</v>
      </c>
      <c r="EN155" s="156" t="s">
        <v>214</v>
      </c>
      <c r="EO155" s="156" t="s">
        <v>214</v>
      </c>
      <c r="EP155" s="156" t="s">
        <v>214</v>
      </c>
      <c r="EQ155" s="156" t="s">
        <v>214</v>
      </c>
      <c r="ER155" s="156"/>
      <c r="ES155" s="156"/>
      <c r="ET155" t="s">
        <v>218</v>
      </c>
      <c r="EU155" t="s">
        <v>219</v>
      </c>
      <c r="EV155" t="s">
        <v>213</v>
      </c>
      <c r="EW155" t="s">
        <v>166</v>
      </c>
      <c r="EX155" t="s">
        <v>166</v>
      </c>
      <c r="EY155" t="s">
        <v>166</v>
      </c>
      <c r="EZ155" t="s">
        <v>166</v>
      </c>
      <c r="FA155" s="157">
        <v>6.5</v>
      </c>
      <c r="FB155" t="s">
        <v>220</v>
      </c>
      <c r="FC155" s="157">
        <v>1</v>
      </c>
      <c r="FD155" s="157">
        <v>1</v>
      </c>
      <c r="FE155" s="187">
        <v>7.7484419564419298</v>
      </c>
      <c r="FF155" t="s">
        <v>221</v>
      </c>
      <c r="FG155" s="188">
        <v>3.8019277551009978E-2</v>
      </c>
      <c r="FH155" s="188">
        <v>3.7095875888329743E-2</v>
      </c>
      <c r="FI155" s="146">
        <v>952.24550038964901</v>
      </c>
      <c r="FK155" t="s">
        <v>166</v>
      </c>
      <c r="FL155" s="144">
        <f t="shared" si="157"/>
        <v>952.24550038964901</v>
      </c>
      <c r="FM155" s="146">
        <v>192.67988823247094</v>
      </c>
      <c r="FN155" s="146">
        <v>175.13179721567906</v>
      </c>
      <c r="FO155" t="s">
        <v>222</v>
      </c>
      <c r="FP155" t="s">
        <v>223</v>
      </c>
      <c r="FQ155" s="144" t="s">
        <v>166</v>
      </c>
      <c r="FR155" s="144" t="s">
        <v>166</v>
      </c>
      <c r="FS155" s="144" t="s">
        <v>166</v>
      </c>
      <c r="FT155" s="144" t="s">
        <v>166</v>
      </c>
      <c r="FU155" s="144" t="s">
        <v>166</v>
      </c>
      <c r="FV155" s="144" t="s">
        <v>166</v>
      </c>
      <c r="FW155" s="144" t="s">
        <v>166</v>
      </c>
      <c r="FX155" s="144" t="s">
        <v>166</v>
      </c>
      <c r="FY155" s="144" t="s">
        <v>166</v>
      </c>
      <c r="FZ155" s="144" t="s">
        <v>166</v>
      </c>
      <c r="GA155" s="144" t="s">
        <v>166</v>
      </c>
      <c r="GB155" s="144" t="s">
        <v>166</v>
      </c>
      <c r="GC155" s="148" t="s">
        <v>448</v>
      </c>
    </row>
    <row r="156" spans="1:192" ht="17">
      <c r="A156" s="140" t="s">
        <v>162</v>
      </c>
      <c r="B156" s="143" t="s">
        <v>163</v>
      </c>
      <c r="C156" s="140" t="s">
        <v>164</v>
      </c>
      <c r="D156" s="140" t="s">
        <v>165</v>
      </c>
      <c r="E156" s="140">
        <v>2020</v>
      </c>
      <c r="F156" t="s">
        <v>184</v>
      </c>
      <c r="G156" s="145">
        <v>34210</v>
      </c>
      <c r="H156" s="147">
        <f t="shared" ref="H156" si="162">0.0083*G156^(0.9482)</f>
        <v>165.33394836394834</v>
      </c>
      <c r="I156" s="147">
        <f t="shared" si="135"/>
        <v>165.33394836394834</v>
      </c>
      <c r="J156" s="146">
        <v>1007.8548212353799</v>
      </c>
      <c r="K156" s="146">
        <v>220.19871100143018</v>
      </c>
      <c r="L156" s="146">
        <v>171.03297577281194</v>
      </c>
      <c r="M156" s="140" t="b">
        <v>1</v>
      </c>
      <c r="N156" s="140">
        <v>1</v>
      </c>
      <c r="O156" s="302" t="s">
        <v>581</v>
      </c>
      <c r="P156" s="140" t="s">
        <v>166</v>
      </c>
      <c r="Q156" s="140" t="s">
        <v>166</v>
      </c>
      <c r="R156" s="140" t="s">
        <v>166</v>
      </c>
      <c r="S156" s="140" t="b">
        <v>1</v>
      </c>
      <c r="T156" s="140" t="b">
        <v>0</v>
      </c>
      <c r="U156" s="140" t="s">
        <v>166</v>
      </c>
      <c r="V156" s="140" t="b">
        <v>0</v>
      </c>
      <c r="W156" s="140" t="b">
        <v>0</v>
      </c>
      <c r="X156" s="140" t="s">
        <v>580</v>
      </c>
      <c r="Y156" s="148" t="s">
        <v>186</v>
      </c>
      <c r="Z156" t="s">
        <v>184</v>
      </c>
      <c r="AA156" t="s">
        <v>451</v>
      </c>
      <c r="AB156" t="s">
        <v>166</v>
      </c>
      <c r="AC156">
        <v>32</v>
      </c>
      <c r="AD156">
        <v>1</v>
      </c>
      <c r="AE156">
        <v>0</v>
      </c>
      <c r="AF156">
        <v>50</v>
      </c>
      <c r="AG156" t="s">
        <v>166</v>
      </c>
      <c r="AH156" s="182">
        <v>154.69999999999999</v>
      </c>
      <c r="AI156" t="s">
        <v>166</v>
      </c>
      <c r="AJ156" t="s">
        <v>438</v>
      </c>
      <c r="AK156" s="159">
        <v>-9.2152777799999992</v>
      </c>
      <c r="AL156" s="159">
        <v>39.548333329999998</v>
      </c>
      <c r="AM156">
        <v>-19</v>
      </c>
      <c r="AN156" t="s">
        <v>166</v>
      </c>
      <c r="AO156" t="s">
        <v>166</v>
      </c>
      <c r="AP156" s="183" t="s">
        <v>439</v>
      </c>
      <c r="AQ156" t="s">
        <v>440</v>
      </c>
      <c r="AR156" t="s">
        <v>166</v>
      </c>
      <c r="AS156" s="145">
        <v>34.21</v>
      </c>
      <c r="AT156" t="s">
        <v>166</v>
      </c>
      <c r="AU156" t="s">
        <v>166</v>
      </c>
      <c r="AV156" t="s">
        <v>166</v>
      </c>
      <c r="AW156" t="s">
        <v>441</v>
      </c>
      <c r="AX156" t="s">
        <v>256</v>
      </c>
      <c r="AY156" t="s">
        <v>442</v>
      </c>
      <c r="AZ156" t="s">
        <v>166</v>
      </c>
      <c r="BA156" t="s">
        <v>166</v>
      </c>
      <c r="BB156" t="s">
        <v>166</v>
      </c>
      <c r="BC156" t="s">
        <v>166</v>
      </c>
      <c r="BD156" t="s">
        <v>166</v>
      </c>
      <c r="BE156" t="s">
        <v>166</v>
      </c>
      <c r="BF156" t="s">
        <v>166</v>
      </c>
      <c r="BG156" s="184" t="s">
        <v>443</v>
      </c>
      <c r="BH156" s="150" t="s">
        <v>328</v>
      </c>
      <c r="BI156" s="150" t="s">
        <v>453</v>
      </c>
      <c r="BJ156" t="s">
        <v>166</v>
      </c>
      <c r="BK156" t="s">
        <v>193</v>
      </c>
      <c r="BL156" t="s">
        <v>194</v>
      </c>
      <c r="BM156" t="s">
        <v>195</v>
      </c>
      <c r="BN156" t="s">
        <v>456</v>
      </c>
      <c r="BO156">
        <v>2</v>
      </c>
      <c r="BP156">
        <v>0.14000000000000054</v>
      </c>
      <c r="BQ156" s="150">
        <v>14.812571373081299</v>
      </c>
      <c r="BR156" t="s">
        <v>196</v>
      </c>
      <c r="BS156" s="150">
        <v>0.27180134397961231</v>
      </c>
      <c r="BT156">
        <v>1</v>
      </c>
      <c r="BU156" t="s">
        <v>197</v>
      </c>
      <c r="BV156" t="s">
        <v>166</v>
      </c>
      <c r="BW156">
        <v>0</v>
      </c>
      <c r="BX156" t="s">
        <v>197</v>
      </c>
      <c r="BY156" t="s">
        <v>166</v>
      </c>
      <c r="BZ156" t="s">
        <v>197</v>
      </c>
      <c r="CA156" t="s">
        <v>166</v>
      </c>
      <c r="CB156" s="150">
        <f t="shared" si="145"/>
        <v>14.812571373081299</v>
      </c>
      <c r="CC156" t="s">
        <v>196</v>
      </c>
      <c r="CD156" s="150">
        <f t="shared" si="156"/>
        <v>0.27180134397961231</v>
      </c>
      <c r="CE156" t="s">
        <v>199</v>
      </c>
      <c r="CF156" t="s">
        <v>166</v>
      </c>
      <c r="CG156" t="s">
        <v>446</v>
      </c>
      <c r="CH156" t="s">
        <v>166</v>
      </c>
      <c r="CI156" t="s">
        <v>166</v>
      </c>
      <c r="CJ156" s="185">
        <v>31.717710199999999</v>
      </c>
      <c r="CK156" t="s">
        <v>201</v>
      </c>
      <c r="CL156">
        <v>2</v>
      </c>
      <c r="CM156">
        <v>2</v>
      </c>
      <c r="CO156" s="186">
        <v>4.6966318901264659</v>
      </c>
      <c r="CP156" t="s">
        <v>166</v>
      </c>
      <c r="CQ156" t="s">
        <v>166</v>
      </c>
      <c r="CR156" t="s">
        <v>166</v>
      </c>
      <c r="CS156" s="153" t="s">
        <v>166</v>
      </c>
      <c r="CT156" t="s">
        <v>447</v>
      </c>
      <c r="CU156">
        <v>4.3</v>
      </c>
      <c r="CV156" t="s">
        <v>166</v>
      </c>
      <c r="CW156" t="s">
        <v>166</v>
      </c>
      <c r="CX156" t="s">
        <v>166</v>
      </c>
      <c r="CY156" t="s">
        <v>166</v>
      </c>
      <c r="CZ156" t="s">
        <v>166</v>
      </c>
      <c r="DA156" t="s">
        <v>166</v>
      </c>
      <c r="DB156" t="s">
        <v>166</v>
      </c>
      <c r="DC156" t="s">
        <v>166</v>
      </c>
      <c r="DD156" t="s">
        <v>166</v>
      </c>
      <c r="DE156" t="s">
        <v>166</v>
      </c>
      <c r="DF156" t="s">
        <v>205</v>
      </c>
      <c r="DG156">
        <v>35</v>
      </c>
      <c r="DH156" t="s">
        <v>201</v>
      </c>
      <c r="DI156">
        <v>1</v>
      </c>
      <c r="DJ156" t="s">
        <v>206</v>
      </c>
      <c r="DK156">
        <v>17</v>
      </c>
      <c r="DL156" t="s">
        <v>166</v>
      </c>
      <c r="DM156" t="s">
        <v>166</v>
      </c>
      <c r="DN156" t="s">
        <v>207</v>
      </c>
      <c r="DO156">
        <v>38</v>
      </c>
      <c r="DP156" t="s">
        <v>208</v>
      </c>
      <c r="DQ156">
        <v>3</v>
      </c>
      <c r="DR156" t="s">
        <v>209</v>
      </c>
      <c r="DS156" t="s">
        <v>166</v>
      </c>
      <c r="DT156" t="s">
        <v>166</v>
      </c>
      <c r="DU156" t="s">
        <v>166</v>
      </c>
      <c r="DV156" t="s">
        <v>166</v>
      </c>
      <c r="DW156">
        <v>432.6</v>
      </c>
      <c r="DX156" t="s">
        <v>166</v>
      </c>
      <c r="DY156" t="s">
        <v>166</v>
      </c>
      <c r="DZ156" t="s">
        <v>210</v>
      </c>
      <c r="EA156" t="s">
        <v>211</v>
      </c>
      <c r="EB156" t="s">
        <v>212</v>
      </c>
      <c r="EC156" t="s">
        <v>166</v>
      </c>
      <c r="ED156" t="s">
        <v>213</v>
      </c>
      <c r="EE156" s="155" t="s">
        <v>214</v>
      </c>
      <c r="EF156" s="155" t="s">
        <v>214</v>
      </c>
      <c r="EG156">
        <v>1.0271999999999999</v>
      </c>
      <c r="EH156" t="s">
        <v>215</v>
      </c>
      <c r="EI156" t="s">
        <v>215</v>
      </c>
      <c r="EJ156" t="s">
        <v>216</v>
      </c>
      <c r="EK156" t="s">
        <v>215</v>
      </c>
      <c r="EL156" t="s">
        <v>215</v>
      </c>
      <c r="EM156" t="s">
        <v>217</v>
      </c>
      <c r="EN156" s="156" t="s">
        <v>214</v>
      </c>
      <c r="EO156" s="156" t="s">
        <v>214</v>
      </c>
      <c r="EP156" s="156" t="s">
        <v>214</v>
      </c>
      <c r="EQ156" s="156" t="s">
        <v>214</v>
      </c>
      <c r="ER156" s="156"/>
      <c r="ES156" s="156"/>
      <c r="ET156" t="s">
        <v>218</v>
      </c>
      <c r="EU156" t="s">
        <v>219</v>
      </c>
      <c r="EV156" t="s">
        <v>213</v>
      </c>
      <c r="EW156" t="s">
        <v>166</v>
      </c>
      <c r="EX156" t="s">
        <v>166</v>
      </c>
      <c r="EY156" t="s">
        <v>166</v>
      </c>
      <c r="EZ156" t="s">
        <v>166</v>
      </c>
      <c r="FA156" s="157">
        <v>6.5</v>
      </c>
      <c r="FB156" t="s">
        <v>220</v>
      </c>
      <c r="FC156" s="157">
        <v>1</v>
      </c>
      <c r="FD156" s="157">
        <v>1</v>
      </c>
      <c r="FE156" s="187">
        <v>7.7353187124579001</v>
      </c>
      <c r="FF156" t="s">
        <v>221</v>
      </c>
      <c r="FG156" s="188">
        <v>3.8399128019229956E-2</v>
      </c>
      <c r="FH156" s="188">
        <v>3.9896917077649974E-2</v>
      </c>
      <c r="FI156" s="146">
        <v>1007.8548212353799</v>
      </c>
      <c r="FK156" t="s">
        <v>166</v>
      </c>
      <c r="FL156" s="144">
        <f t="shared" si="157"/>
        <v>1007.8548212353799</v>
      </c>
      <c r="FM156" s="146">
        <v>220.19871100143018</v>
      </c>
      <c r="FN156" s="146">
        <v>171.03297577281194</v>
      </c>
      <c r="FO156" t="s">
        <v>222</v>
      </c>
      <c r="FP156" t="s">
        <v>223</v>
      </c>
      <c r="FQ156" s="144" t="s">
        <v>166</v>
      </c>
      <c r="FR156" s="144" t="s">
        <v>166</v>
      </c>
      <c r="FS156" s="144" t="s">
        <v>166</v>
      </c>
      <c r="FT156" s="144" t="s">
        <v>166</v>
      </c>
      <c r="FU156" s="144" t="s">
        <v>166</v>
      </c>
      <c r="FV156" s="144" t="s">
        <v>166</v>
      </c>
      <c r="FW156" s="144" t="s">
        <v>166</v>
      </c>
      <c r="FX156" s="144" t="s">
        <v>166</v>
      </c>
      <c r="FY156" s="144" t="s">
        <v>166</v>
      </c>
      <c r="FZ156" s="144" t="s">
        <v>166</v>
      </c>
      <c r="GA156" s="144" t="s">
        <v>166</v>
      </c>
      <c r="GB156" s="144" t="s">
        <v>166</v>
      </c>
      <c r="GC156" s="148" t="s">
        <v>448</v>
      </c>
    </row>
    <row r="157" spans="1:192" ht="17">
      <c r="A157" s="140" t="s">
        <v>162</v>
      </c>
      <c r="B157" s="143" t="s">
        <v>163</v>
      </c>
      <c r="C157" s="140" t="s">
        <v>164</v>
      </c>
      <c r="D157" s="140" t="s">
        <v>165</v>
      </c>
      <c r="E157" s="140">
        <v>2020</v>
      </c>
      <c r="F157" t="s">
        <v>184</v>
      </c>
      <c r="G157" s="145">
        <v>34420</v>
      </c>
      <c r="H157" s="147">
        <f t="shared" ref="H157" si="163">0.0083*G157^(0.9482)</f>
        <v>166.29613496237994</v>
      </c>
      <c r="I157" s="147">
        <f t="shared" si="135"/>
        <v>166.29613496237994</v>
      </c>
      <c r="J157" s="146">
        <v>989.6238469090689</v>
      </c>
      <c r="K157" s="146">
        <v>273.98254174188116</v>
      </c>
      <c r="L157" s="146">
        <v>204.62580818290496</v>
      </c>
      <c r="M157" s="140" t="b">
        <v>1</v>
      </c>
      <c r="N157" s="140">
        <v>1</v>
      </c>
      <c r="O157" s="302" t="s">
        <v>581</v>
      </c>
      <c r="P157" s="140" t="s">
        <v>166</v>
      </c>
      <c r="Q157" s="140" t="s">
        <v>166</v>
      </c>
      <c r="R157" s="140" t="s">
        <v>166</v>
      </c>
      <c r="S157" s="140" t="b">
        <v>1</v>
      </c>
      <c r="T157" s="140" t="b">
        <v>0</v>
      </c>
      <c r="U157" s="140" t="s">
        <v>166</v>
      </c>
      <c r="V157" s="140" t="b">
        <v>0</v>
      </c>
      <c r="W157" s="140" t="b">
        <v>0</v>
      </c>
      <c r="X157" s="140" t="s">
        <v>580</v>
      </c>
      <c r="Y157" s="148" t="s">
        <v>186</v>
      </c>
      <c r="Z157" t="s">
        <v>184</v>
      </c>
      <c r="AA157" t="s">
        <v>451</v>
      </c>
      <c r="AB157" t="s">
        <v>166</v>
      </c>
      <c r="AC157">
        <v>40</v>
      </c>
      <c r="AD157">
        <v>3</v>
      </c>
      <c r="AE157">
        <v>0</v>
      </c>
      <c r="AF157">
        <v>50</v>
      </c>
      <c r="AG157" t="s">
        <v>166</v>
      </c>
      <c r="AH157" s="182">
        <v>179.5</v>
      </c>
      <c r="AI157" t="s">
        <v>166</v>
      </c>
      <c r="AJ157" t="s">
        <v>438</v>
      </c>
      <c r="AK157" s="159">
        <v>-9.2152777799999992</v>
      </c>
      <c r="AL157" s="159">
        <v>39.548333329999998</v>
      </c>
      <c r="AM157">
        <v>-19</v>
      </c>
      <c r="AN157" t="s">
        <v>166</v>
      </c>
      <c r="AO157" t="s">
        <v>166</v>
      </c>
      <c r="AP157" s="183" t="s">
        <v>439</v>
      </c>
      <c r="AQ157" t="s">
        <v>440</v>
      </c>
      <c r="AR157" t="s">
        <v>166</v>
      </c>
      <c r="AS157" s="145">
        <v>34.42</v>
      </c>
      <c r="AT157" t="s">
        <v>166</v>
      </c>
      <c r="AU157" t="s">
        <v>166</v>
      </c>
      <c r="AV157" t="s">
        <v>166</v>
      </c>
      <c r="AW157" t="s">
        <v>441</v>
      </c>
      <c r="AX157" t="s">
        <v>256</v>
      </c>
      <c r="AY157" t="s">
        <v>442</v>
      </c>
      <c r="AZ157" t="s">
        <v>166</v>
      </c>
      <c r="BA157" t="s">
        <v>166</v>
      </c>
      <c r="BB157" t="s">
        <v>166</v>
      </c>
      <c r="BC157" t="s">
        <v>166</v>
      </c>
      <c r="BD157" t="s">
        <v>166</v>
      </c>
      <c r="BE157" t="s">
        <v>166</v>
      </c>
      <c r="BF157" t="s">
        <v>166</v>
      </c>
      <c r="BG157" s="184" t="s">
        <v>443</v>
      </c>
      <c r="BH157" s="150" t="s">
        <v>328</v>
      </c>
      <c r="BI157" s="150" t="s">
        <v>453</v>
      </c>
      <c r="BJ157" t="s">
        <v>166</v>
      </c>
      <c r="BK157" t="s">
        <v>193</v>
      </c>
      <c r="BL157" t="s">
        <v>194</v>
      </c>
      <c r="BM157" t="s">
        <v>195</v>
      </c>
      <c r="BN157" t="s">
        <v>457</v>
      </c>
      <c r="BO157">
        <v>2</v>
      </c>
      <c r="BP157">
        <v>0.35999999999999943</v>
      </c>
      <c r="BQ157" s="150">
        <v>14.864717039831351</v>
      </c>
      <c r="BR157" t="s">
        <v>196</v>
      </c>
      <c r="BS157" s="150">
        <v>0.38405724771970828</v>
      </c>
      <c r="BT157">
        <v>1</v>
      </c>
      <c r="BU157" t="s">
        <v>197</v>
      </c>
      <c r="BV157" t="s">
        <v>166</v>
      </c>
      <c r="BW157">
        <v>0</v>
      </c>
      <c r="BX157" t="s">
        <v>197</v>
      </c>
      <c r="BY157" t="s">
        <v>166</v>
      </c>
      <c r="BZ157" t="s">
        <v>197</v>
      </c>
      <c r="CA157" t="s">
        <v>166</v>
      </c>
      <c r="CB157" s="150">
        <f t="shared" si="145"/>
        <v>14.864717039831351</v>
      </c>
      <c r="CC157" t="s">
        <v>196</v>
      </c>
      <c r="CD157" s="150">
        <f t="shared" si="156"/>
        <v>0.38405724771970828</v>
      </c>
      <c r="CE157" t="s">
        <v>199</v>
      </c>
      <c r="CF157" t="s">
        <v>166</v>
      </c>
      <c r="CG157" t="s">
        <v>446</v>
      </c>
      <c r="CH157" t="s">
        <v>166</v>
      </c>
      <c r="CI157" t="s">
        <v>166</v>
      </c>
      <c r="CJ157" s="185">
        <v>32.1256044</v>
      </c>
      <c r="CK157" t="s">
        <v>201</v>
      </c>
      <c r="CL157">
        <v>2</v>
      </c>
      <c r="CM157">
        <v>2</v>
      </c>
      <c r="CO157" s="186">
        <v>4.8631536575199501</v>
      </c>
      <c r="CP157" t="s">
        <v>166</v>
      </c>
      <c r="CQ157" t="s">
        <v>166</v>
      </c>
      <c r="CR157" t="s">
        <v>166</v>
      </c>
      <c r="CS157" s="153" t="s">
        <v>166</v>
      </c>
      <c r="CT157" t="s">
        <v>447</v>
      </c>
      <c r="CU157">
        <v>4.3</v>
      </c>
      <c r="CV157" t="s">
        <v>166</v>
      </c>
      <c r="CW157" t="s">
        <v>166</v>
      </c>
      <c r="CX157" t="s">
        <v>166</v>
      </c>
      <c r="CY157" t="s">
        <v>166</v>
      </c>
      <c r="CZ157" t="s">
        <v>166</v>
      </c>
      <c r="DA157" t="s">
        <v>166</v>
      </c>
      <c r="DB157" t="s">
        <v>166</v>
      </c>
      <c r="DC157" t="s">
        <v>166</v>
      </c>
      <c r="DD157" t="s">
        <v>166</v>
      </c>
      <c r="DE157" t="s">
        <v>166</v>
      </c>
      <c r="DF157" t="s">
        <v>205</v>
      </c>
      <c r="DG157">
        <v>35</v>
      </c>
      <c r="DH157" t="s">
        <v>201</v>
      </c>
      <c r="DI157">
        <v>1</v>
      </c>
      <c r="DJ157" t="s">
        <v>206</v>
      </c>
      <c r="DK157">
        <v>17</v>
      </c>
      <c r="DL157" t="s">
        <v>166</v>
      </c>
      <c r="DM157" t="s">
        <v>166</v>
      </c>
      <c r="DN157" t="s">
        <v>207</v>
      </c>
      <c r="DO157">
        <v>38</v>
      </c>
      <c r="DP157" t="s">
        <v>208</v>
      </c>
      <c r="DQ157">
        <v>3</v>
      </c>
      <c r="DR157" t="s">
        <v>209</v>
      </c>
      <c r="DS157" t="s">
        <v>166</v>
      </c>
      <c r="DT157" t="s">
        <v>166</v>
      </c>
      <c r="DU157" t="s">
        <v>166</v>
      </c>
      <c r="DV157" t="s">
        <v>166</v>
      </c>
      <c r="DW157">
        <v>432.6</v>
      </c>
      <c r="DX157" t="s">
        <v>166</v>
      </c>
      <c r="DY157" t="s">
        <v>166</v>
      </c>
      <c r="DZ157" t="s">
        <v>210</v>
      </c>
      <c r="EA157" t="s">
        <v>211</v>
      </c>
      <c r="EB157" t="s">
        <v>212</v>
      </c>
      <c r="EC157" t="s">
        <v>166</v>
      </c>
      <c r="ED157" t="s">
        <v>213</v>
      </c>
      <c r="EE157" s="155" t="s">
        <v>214</v>
      </c>
      <c r="EF157" s="155" t="s">
        <v>214</v>
      </c>
      <c r="EG157">
        <v>1.0271999999999999</v>
      </c>
      <c r="EH157" t="s">
        <v>215</v>
      </c>
      <c r="EI157" t="s">
        <v>215</v>
      </c>
      <c r="EJ157" t="s">
        <v>216</v>
      </c>
      <c r="EK157" t="s">
        <v>215</v>
      </c>
      <c r="EL157" t="s">
        <v>215</v>
      </c>
      <c r="EM157" t="s">
        <v>217</v>
      </c>
      <c r="EN157" s="156" t="s">
        <v>214</v>
      </c>
      <c r="EO157" s="156" t="s">
        <v>214</v>
      </c>
      <c r="EP157" s="156" t="s">
        <v>214</v>
      </c>
      <c r="EQ157" s="156" t="s">
        <v>214</v>
      </c>
      <c r="ER157" s="156"/>
      <c r="ES157" s="156"/>
      <c r="ET157" t="s">
        <v>218</v>
      </c>
      <c r="EU157" t="s">
        <v>219</v>
      </c>
      <c r="EV157" t="s">
        <v>213</v>
      </c>
      <c r="EW157" t="s">
        <v>166</v>
      </c>
      <c r="EX157" t="s">
        <v>166</v>
      </c>
      <c r="EY157" t="s">
        <v>166</v>
      </c>
      <c r="EZ157" t="s">
        <v>166</v>
      </c>
      <c r="FA157" s="157">
        <v>6.5</v>
      </c>
      <c r="FB157" t="s">
        <v>220</v>
      </c>
      <c r="FC157" s="157">
        <v>1</v>
      </c>
      <c r="FD157" s="157">
        <v>1</v>
      </c>
      <c r="FE157" s="187">
        <v>7.7369269499655298</v>
      </c>
      <c r="FF157" t="s">
        <v>221</v>
      </c>
      <c r="FG157" s="188">
        <v>4.5646631195260134E-2</v>
      </c>
      <c r="FH157" s="188">
        <v>5.061304082012974E-2</v>
      </c>
      <c r="FI157" s="146">
        <v>989.6238469090689</v>
      </c>
      <c r="FK157" t="s">
        <v>166</v>
      </c>
      <c r="FL157" s="144">
        <f t="shared" si="157"/>
        <v>989.6238469090689</v>
      </c>
      <c r="FM157" s="146">
        <v>273.98254174188116</v>
      </c>
      <c r="FN157" s="146">
        <v>204.62580818290496</v>
      </c>
      <c r="FO157" t="s">
        <v>222</v>
      </c>
      <c r="FP157" t="s">
        <v>223</v>
      </c>
      <c r="FQ157" s="144" t="s">
        <v>166</v>
      </c>
      <c r="FR157" s="144" t="s">
        <v>166</v>
      </c>
      <c r="FS157" s="144" t="s">
        <v>166</v>
      </c>
      <c r="FT157" s="144" t="s">
        <v>166</v>
      </c>
      <c r="FU157" s="144" t="s">
        <v>166</v>
      </c>
      <c r="FV157" s="144" t="s">
        <v>166</v>
      </c>
      <c r="FW157" s="144" t="s">
        <v>166</v>
      </c>
      <c r="FX157" s="144" t="s">
        <v>166</v>
      </c>
      <c r="FY157" s="144" t="s">
        <v>166</v>
      </c>
      <c r="FZ157" s="144" t="s">
        <v>166</v>
      </c>
      <c r="GA157" s="144" t="s">
        <v>166</v>
      </c>
      <c r="GB157" s="144" t="s">
        <v>166</v>
      </c>
      <c r="GC157" s="148" t="s">
        <v>448</v>
      </c>
    </row>
    <row r="158" spans="1:192" ht="17">
      <c r="A158" s="140" t="s">
        <v>162</v>
      </c>
      <c r="B158" s="143" t="s">
        <v>163</v>
      </c>
      <c r="C158" s="140" t="s">
        <v>164</v>
      </c>
      <c r="D158" s="140" t="s">
        <v>165</v>
      </c>
      <c r="E158" s="140">
        <v>2020</v>
      </c>
      <c r="F158" t="s">
        <v>184</v>
      </c>
      <c r="G158" s="145">
        <v>34630</v>
      </c>
      <c r="H158" s="147">
        <f t="shared" ref="H158" si="164">0.0083*G158^(0.9482)</f>
        <v>167.25801752017631</v>
      </c>
      <c r="I158" s="147">
        <f t="shared" si="135"/>
        <v>167.25801752017631</v>
      </c>
      <c r="J158" s="146">
        <v>837.45270392310897</v>
      </c>
      <c r="K158" s="146">
        <v>239.31855288315103</v>
      </c>
      <c r="L158" s="146">
        <v>176.48111006796591</v>
      </c>
      <c r="M158" s="140" t="b">
        <v>1</v>
      </c>
      <c r="N158" s="140">
        <v>1</v>
      </c>
      <c r="O158" s="302" t="s">
        <v>581</v>
      </c>
      <c r="P158" s="140" t="s">
        <v>166</v>
      </c>
      <c r="Q158" s="140" t="s">
        <v>166</v>
      </c>
      <c r="R158" s="140" t="s">
        <v>166</v>
      </c>
      <c r="S158" s="140" t="b">
        <v>1</v>
      </c>
      <c r="T158" s="140" t="b">
        <v>0</v>
      </c>
      <c r="U158" s="140" t="s">
        <v>166</v>
      </c>
      <c r="V158" s="140" t="b">
        <v>0</v>
      </c>
      <c r="W158" s="140" t="b">
        <v>0</v>
      </c>
      <c r="X158" s="140" t="s">
        <v>580</v>
      </c>
      <c r="Y158" s="55" t="s">
        <v>186</v>
      </c>
      <c r="Z158" s="165" t="s">
        <v>184</v>
      </c>
      <c r="AA158" s="165" t="s">
        <v>451</v>
      </c>
      <c r="AB158" s="165" t="s">
        <v>166</v>
      </c>
      <c r="AC158" s="165">
        <v>47</v>
      </c>
      <c r="AD158" s="165">
        <v>3</v>
      </c>
      <c r="AE158" s="165">
        <v>0</v>
      </c>
      <c r="AF158" s="165">
        <v>50</v>
      </c>
      <c r="AG158" s="165" t="s">
        <v>166</v>
      </c>
      <c r="AH158" s="189">
        <v>204.7</v>
      </c>
      <c r="AI158" s="165" t="s">
        <v>166</v>
      </c>
      <c r="AJ158" s="165" t="s">
        <v>438</v>
      </c>
      <c r="AK158" s="190">
        <v>-9.2152777799999992</v>
      </c>
      <c r="AL158" s="190">
        <v>39.548333329999998</v>
      </c>
      <c r="AM158" s="165">
        <v>-19</v>
      </c>
      <c r="AN158" s="165" t="s">
        <v>166</v>
      </c>
      <c r="AO158" s="165" t="s">
        <v>166</v>
      </c>
      <c r="AP158" s="191" t="s">
        <v>439</v>
      </c>
      <c r="AQ158" s="165" t="s">
        <v>440</v>
      </c>
      <c r="AR158" s="165" t="s">
        <v>166</v>
      </c>
      <c r="AS158" s="192">
        <v>34.630000000000003</v>
      </c>
      <c r="AT158" s="165" t="s">
        <v>166</v>
      </c>
      <c r="AU158" s="165" t="s">
        <v>166</v>
      </c>
      <c r="AV158" s="165" t="s">
        <v>166</v>
      </c>
      <c r="AW158" s="165" t="s">
        <v>441</v>
      </c>
      <c r="AX158" s="165" t="s">
        <v>256</v>
      </c>
      <c r="AY158" s="165" t="s">
        <v>442</v>
      </c>
      <c r="AZ158" s="165" t="s">
        <v>166</v>
      </c>
      <c r="BA158" s="165" t="s">
        <v>166</v>
      </c>
      <c r="BB158" s="165" t="s">
        <v>166</v>
      </c>
      <c r="BC158" s="165" t="s">
        <v>166</v>
      </c>
      <c r="BD158" s="165" t="s">
        <v>166</v>
      </c>
      <c r="BE158" s="165" t="s">
        <v>166</v>
      </c>
      <c r="BF158" s="165" t="s">
        <v>166</v>
      </c>
      <c r="BG158" s="193" t="s">
        <v>443</v>
      </c>
      <c r="BH158" s="167" t="s">
        <v>328</v>
      </c>
      <c r="BI158" s="167" t="s">
        <v>453</v>
      </c>
      <c r="BJ158" s="165" t="s">
        <v>166</v>
      </c>
      <c r="BK158" s="165" t="s">
        <v>193</v>
      </c>
      <c r="BL158" s="165" t="s">
        <v>194</v>
      </c>
      <c r="BM158" s="165" t="s">
        <v>195</v>
      </c>
      <c r="BN158" s="165" t="s">
        <v>458</v>
      </c>
      <c r="BO158" s="165">
        <v>2</v>
      </c>
      <c r="BP158" s="165">
        <v>0.22000000000000061</v>
      </c>
      <c r="BQ158" s="167">
        <v>15.101862568699548</v>
      </c>
      <c r="BR158" s="165" t="s">
        <v>196</v>
      </c>
      <c r="BS158" s="167">
        <v>0.41485655550830691</v>
      </c>
      <c r="BT158" s="165">
        <v>1</v>
      </c>
      <c r="BU158" s="165" t="s">
        <v>197</v>
      </c>
      <c r="BV158" s="165" t="s">
        <v>166</v>
      </c>
      <c r="BW158" s="165">
        <v>0</v>
      </c>
      <c r="BX158" s="165" t="s">
        <v>197</v>
      </c>
      <c r="BY158" s="165" t="s">
        <v>166</v>
      </c>
      <c r="BZ158" s="165" t="s">
        <v>197</v>
      </c>
      <c r="CA158" s="165" t="s">
        <v>166</v>
      </c>
      <c r="CB158" s="167">
        <f t="shared" si="145"/>
        <v>15.101862568699548</v>
      </c>
      <c r="CC158" s="165" t="s">
        <v>196</v>
      </c>
      <c r="CD158" s="167">
        <f t="shared" si="156"/>
        <v>0.41485655550830691</v>
      </c>
      <c r="CE158" s="165" t="s">
        <v>199</v>
      </c>
      <c r="CF158" s="165" t="s">
        <v>166</v>
      </c>
      <c r="CG158" s="165" t="s">
        <v>446</v>
      </c>
      <c r="CH158" s="165" t="s">
        <v>166</v>
      </c>
      <c r="CI158" s="165" t="s">
        <v>166</v>
      </c>
      <c r="CJ158" s="194">
        <v>31.184532000000001</v>
      </c>
      <c r="CK158" s="165" t="s">
        <v>201</v>
      </c>
      <c r="CL158" s="165">
        <v>2</v>
      </c>
      <c r="CM158" s="165">
        <v>2</v>
      </c>
      <c r="CN158" s="165"/>
      <c r="CO158" s="195">
        <v>4.5158479550980921</v>
      </c>
      <c r="CP158" s="165" t="s">
        <v>166</v>
      </c>
      <c r="CQ158" s="165" t="s">
        <v>166</v>
      </c>
      <c r="CR158" s="165" t="s">
        <v>166</v>
      </c>
      <c r="CS158" s="171" t="s">
        <v>166</v>
      </c>
      <c r="CT158" s="165" t="s">
        <v>447</v>
      </c>
      <c r="CU158" s="165">
        <v>4.3</v>
      </c>
      <c r="CV158" s="165" t="s">
        <v>166</v>
      </c>
      <c r="CW158" s="165" t="s">
        <v>166</v>
      </c>
      <c r="CX158" s="165" t="s">
        <v>166</v>
      </c>
      <c r="CY158" s="165" t="s">
        <v>166</v>
      </c>
      <c r="CZ158" s="165" t="s">
        <v>166</v>
      </c>
      <c r="DA158" s="165" t="s">
        <v>166</v>
      </c>
      <c r="DB158" s="165" t="s">
        <v>166</v>
      </c>
      <c r="DC158" s="165" t="s">
        <v>166</v>
      </c>
      <c r="DD158" s="165" t="s">
        <v>166</v>
      </c>
      <c r="DE158" s="165" t="s">
        <v>166</v>
      </c>
      <c r="DF158" s="165" t="s">
        <v>205</v>
      </c>
      <c r="DG158" s="165">
        <v>35</v>
      </c>
      <c r="DH158" s="165" t="s">
        <v>201</v>
      </c>
      <c r="DI158" s="165">
        <v>1</v>
      </c>
      <c r="DJ158" s="165" t="s">
        <v>206</v>
      </c>
      <c r="DK158" s="165">
        <v>17</v>
      </c>
      <c r="DL158" s="165" t="s">
        <v>166</v>
      </c>
      <c r="DM158" s="165" t="s">
        <v>166</v>
      </c>
      <c r="DN158" s="165" t="s">
        <v>207</v>
      </c>
      <c r="DO158" s="165">
        <v>38</v>
      </c>
      <c r="DP158" s="165" t="s">
        <v>208</v>
      </c>
      <c r="DQ158" s="165">
        <v>3</v>
      </c>
      <c r="DR158" s="165" t="s">
        <v>209</v>
      </c>
      <c r="DS158" s="165" t="s">
        <v>166</v>
      </c>
      <c r="DT158" s="165" t="s">
        <v>166</v>
      </c>
      <c r="DU158" s="165" t="s">
        <v>166</v>
      </c>
      <c r="DV158" s="165" t="s">
        <v>166</v>
      </c>
      <c r="DW158" s="165">
        <v>432.6</v>
      </c>
      <c r="DX158" s="165" t="s">
        <v>166</v>
      </c>
      <c r="DY158" s="165" t="s">
        <v>166</v>
      </c>
      <c r="DZ158" s="165" t="s">
        <v>210</v>
      </c>
      <c r="EA158" s="165" t="s">
        <v>211</v>
      </c>
      <c r="EB158" s="165" t="s">
        <v>212</v>
      </c>
      <c r="EC158" s="165" t="s">
        <v>166</v>
      </c>
      <c r="ED158" s="165" t="s">
        <v>213</v>
      </c>
      <c r="EE158" s="173" t="s">
        <v>214</v>
      </c>
      <c r="EF158" s="173" t="s">
        <v>214</v>
      </c>
      <c r="EG158" s="165">
        <v>1.0271999999999999</v>
      </c>
      <c r="EH158" s="165" t="s">
        <v>215</v>
      </c>
      <c r="EI158" s="165" t="s">
        <v>215</v>
      </c>
      <c r="EJ158" s="165" t="s">
        <v>216</v>
      </c>
      <c r="EK158" s="165" t="s">
        <v>215</v>
      </c>
      <c r="EL158" s="165" t="s">
        <v>215</v>
      </c>
      <c r="EM158" s="165" t="s">
        <v>217</v>
      </c>
      <c r="EN158" s="2" t="s">
        <v>214</v>
      </c>
      <c r="EO158" s="2" t="s">
        <v>214</v>
      </c>
      <c r="EP158" s="2" t="s">
        <v>214</v>
      </c>
      <c r="EQ158" s="2" t="s">
        <v>214</v>
      </c>
      <c r="ER158" s="2"/>
      <c r="ES158" s="2"/>
      <c r="ET158" s="165" t="s">
        <v>218</v>
      </c>
      <c r="EU158" s="165" t="s">
        <v>219</v>
      </c>
      <c r="EV158" s="165" t="s">
        <v>213</v>
      </c>
      <c r="EW158" s="165" t="s">
        <v>166</v>
      </c>
      <c r="EX158" s="165" t="s">
        <v>166</v>
      </c>
      <c r="EY158" s="165" t="s">
        <v>166</v>
      </c>
      <c r="EZ158" s="165" t="s">
        <v>166</v>
      </c>
      <c r="FA158" s="174">
        <v>6.5</v>
      </c>
      <c r="FB158" s="165" t="s">
        <v>220</v>
      </c>
      <c r="FC158" s="174">
        <v>1</v>
      </c>
      <c r="FD158" s="174">
        <v>1</v>
      </c>
      <c r="FE158" s="196">
        <v>7.7790601631231304</v>
      </c>
      <c r="FF158" s="165" t="s">
        <v>221</v>
      </c>
      <c r="FG158" s="197">
        <v>4.6278554578359277E-2</v>
      </c>
      <c r="FH158" s="197">
        <v>4.8868797544140641E-2</v>
      </c>
      <c r="FI158" s="198">
        <v>837.45270392310897</v>
      </c>
      <c r="FJ158" s="165"/>
      <c r="FK158" s="165" t="s">
        <v>166</v>
      </c>
      <c r="FL158" s="175">
        <f t="shared" si="157"/>
        <v>837.45270392310897</v>
      </c>
      <c r="FM158" s="198">
        <v>239.31855288315103</v>
      </c>
      <c r="FN158" s="198">
        <v>176.48111006796591</v>
      </c>
      <c r="FO158" s="165" t="s">
        <v>222</v>
      </c>
      <c r="FP158" s="165" t="s">
        <v>223</v>
      </c>
      <c r="FQ158" s="175" t="s">
        <v>166</v>
      </c>
      <c r="FR158" s="175" t="s">
        <v>166</v>
      </c>
      <c r="FS158" s="175" t="s">
        <v>166</v>
      </c>
      <c r="FT158" s="175" t="s">
        <v>166</v>
      </c>
      <c r="FU158" s="175" t="s">
        <v>166</v>
      </c>
      <c r="FV158" s="175" t="s">
        <v>166</v>
      </c>
      <c r="FW158" s="175" t="s">
        <v>166</v>
      </c>
      <c r="FX158" s="175" t="s">
        <v>166</v>
      </c>
      <c r="FY158" s="175" t="s">
        <v>166</v>
      </c>
      <c r="FZ158" s="175" t="s">
        <v>166</v>
      </c>
      <c r="GA158" s="175" t="s">
        <v>166</v>
      </c>
      <c r="GB158" s="175" t="s">
        <v>166</v>
      </c>
      <c r="GC158" s="55" t="s">
        <v>448</v>
      </c>
      <c r="GD158" s="165"/>
      <c r="GE158" s="165"/>
      <c r="GF158" s="165"/>
      <c r="GG158" s="165"/>
      <c r="GH158" s="165"/>
      <c r="GI158" s="165"/>
      <c r="GJ158" s="165"/>
    </row>
    <row r="159" spans="1:192" s="140" customFormat="1" ht="17">
      <c r="A159" s="140" t="s">
        <v>162</v>
      </c>
      <c r="B159" s="143" t="s">
        <v>163</v>
      </c>
      <c r="C159" s="140" t="s">
        <v>164</v>
      </c>
      <c r="D159" s="140" t="s">
        <v>165</v>
      </c>
      <c r="E159" s="140">
        <v>2020</v>
      </c>
      <c r="F159" s="140" t="s">
        <v>184</v>
      </c>
      <c r="G159" s="199">
        <v>36900</v>
      </c>
      <c r="H159" s="140">
        <v>600</v>
      </c>
      <c r="I159" s="140">
        <v>600</v>
      </c>
      <c r="J159" s="200">
        <v>805.11003214300808</v>
      </c>
      <c r="K159" s="201">
        <v>232.71581316402194</v>
      </c>
      <c r="L159" s="201">
        <v>185.62900571268108</v>
      </c>
      <c r="M159" s="140" t="b">
        <v>1</v>
      </c>
      <c r="N159" s="140">
        <v>1</v>
      </c>
      <c r="O159" s="302" t="s">
        <v>581</v>
      </c>
      <c r="P159" s="140" t="s">
        <v>166</v>
      </c>
      <c r="Q159" s="140" t="s">
        <v>166</v>
      </c>
      <c r="R159" s="140" t="s">
        <v>166</v>
      </c>
      <c r="S159" s="140" t="b">
        <v>1</v>
      </c>
      <c r="T159" s="140" t="b">
        <v>0</v>
      </c>
      <c r="U159" s="140" t="s">
        <v>166</v>
      </c>
      <c r="V159" s="140" t="b">
        <v>0</v>
      </c>
      <c r="W159" s="140" t="b">
        <v>0</v>
      </c>
      <c r="X159" s="140" t="s">
        <v>166</v>
      </c>
      <c r="Y159" s="202" t="s">
        <v>186</v>
      </c>
      <c r="Z159" s="140" t="s">
        <v>184</v>
      </c>
      <c r="AA159" s="203" t="s">
        <v>459</v>
      </c>
      <c r="AB159" s="140" t="s">
        <v>166</v>
      </c>
      <c r="AC159" s="140">
        <v>5</v>
      </c>
      <c r="AD159" s="140">
        <v>1</v>
      </c>
      <c r="AE159" s="140">
        <v>0</v>
      </c>
      <c r="AF159" s="140">
        <v>24</v>
      </c>
      <c r="AG159" s="140" t="s">
        <v>166</v>
      </c>
      <c r="AH159" s="140" t="s">
        <v>166</v>
      </c>
      <c r="AI159" s="140" t="s">
        <v>166</v>
      </c>
      <c r="AJ159" s="140" t="s">
        <v>438</v>
      </c>
      <c r="AK159" s="204">
        <v>-9.9022539999999992</v>
      </c>
      <c r="AL159" s="204">
        <v>39.704583526938102</v>
      </c>
      <c r="AM159" s="205">
        <v>-19</v>
      </c>
      <c r="AN159" s="140" t="s">
        <v>166</v>
      </c>
      <c r="AO159" s="140" t="s">
        <v>166</v>
      </c>
      <c r="AP159" s="205" t="s">
        <v>460</v>
      </c>
      <c r="AQ159" s="205" t="s">
        <v>440</v>
      </c>
      <c r="AR159" s="140" t="s">
        <v>166</v>
      </c>
      <c r="AS159" s="199">
        <v>36.9</v>
      </c>
      <c r="AT159" s="140" t="s">
        <v>220</v>
      </c>
      <c r="AU159" s="140">
        <v>0.6</v>
      </c>
      <c r="AV159" s="140">
        <v>0.6</v>
      </c>
      <c r="AW159" s="140" t="s">
        <v>441</v>
      </c>
      <c r="AX159" s="140" t="s">
        <v>256</v>
      </c>
      <c r="AY159" s="140" t="s">
        <v>461</v>
      </c>
      <c r="AZ159" s="140" t="s">
        <v>166</v>
      </c>
      <c r="BA159" s="140" t="s">
        <v>166</v>
      </c>
      <c r="BB159" s="140" t="s">
        <v>166</v>
      </c>
      <c r="BC159" s="140" t="s">
        <v>166</v>
      </c>
      <c r="BD159" s="140" t="s">
        <v>166</v>
      </c>
      <c r="BE159" s="140" t="s">
        <v>166</v>
      </c>
      <c r="BF159" s="140" t="s">
        <v>166</v>
      </c>
      <c r="BG159" s="206" t="s">
        <v>462</v>
      </c>
      <c r="BH159" s="207" t="s">
        <v>463</v>
      </c>
      <c r="BI159" s="140" t="s">
        <v>464</v>
      </c>
      <c r="BJ159" s="208" t="s">
        <v>465</v>
      </c>
      <c r="BK159" s="140" t="s">
        <v>193</v>
      </c>
      <c r="BL159" s="140" t="s">
        <v>194</v>
      </c>
      <c r="BM159" s="140" t="s">
        <v>195</v>
      </c>
      <c r="BN159" s="140" t="s">
        <v>466</v>
      </c>
      <c r="BO159" s="140" t="s">
        <v>166</v>
      </c>
      <c r="BP159" s="140" t="s">
        <v>166</v>
      </c>
      <c r="BQ159" s="209">
        <v>15.21</v>
      </c>
      <c r="BR159" s="140" t="s">
        <v>196</v>
      </c>
      <c r="BS159" s="207">
        <v>0.42</v>
      </c>
      <c r="BT159" s="140">
        <v>1</v>
      </c>
      <c r="BU159" s="140" t="s">
        <v>197</v>
      </c>
      <c r="BV159" s="140" t="s">
        <v>166</v>
      </c>
      <c r="BW159" s="140">
        <v>0</v>
      </c>
      <c r="BX159" s="140" t="s">
        <v>197</v>
      </c>
      <c r="BY159" s="140" t="s">
        <v>166</v>
      </c>
      <c r="BZ159" s="140" t="s">
        <v>197</v>
      </c>
      <c r="CA159" s="140" t="s">
        <v>166</v>
      </c>
      <c r="CB159" s="210">
        <f>BQ159</f>
        <v>15.21</v>
      </c>
      <c r="CC159" s="140" t="s">
        <v>196</v>
      </c>
      <c r="CD159" s="140">
        <f>BS159</f>
        <v>0.42</v>
      </c>
      <c r="CE159" s="140" t="s">
        <v>199</v>
      </c>
      <c r="CF159" s="140" t="s">
        <v>166</v>
      </c>
      <c r="CG159" s="140" t="s">
        <v>446</v>
      </c>
      <c r="CH159" s="140" t="s">
        <v>166</v>
      </c>
      <c r="CI159" s="140" t="s">
        <v>166</v>
      </c>
      <c r="CJ159" s="211">
        <v>31.44</v>
      </c>
      <c r="CK159" s="140" t="s">
        <v>201</v>
      </c>
      <c r="CL159" s="140">
        <v>2</v>
      </c>
      <c r="CM159" s="140">
        <v>2</v>
      </c>
      <c r="CP159" s="140" t="s">
        <v>166</v>
      </c>
      <c r="CQ159" s="140" t="s">
        <v>166</v>
      </c>
      <c r="CR159" s="140" t="s">
        <v>166</v>
      </c>
      <c r="CS159" s="140" t="s">
        <v>166</v>
      </c>
      <c r="CT159" s="140" t="s">
        <v>166</v>
      </c>
      <c r="CU159" s="140" t="s">
        <v>166</v>
      </c>
      <c r="CV159" s="140" t="s">
        <v>166</v>
      </c>
      <c r="CW159" s="140" t="s">
        <v>166</v>
      </c>
      <c r="CX159" s="140" t="s">
        <v>166</v>
      </c>
      <c r="CY159" s="140" t="s">
        <v>166</v>
      </c>
      <c r="CZ159" s="140" t="s">
        <v>166</v>
      </c>
      <c r="DA159" s="212" t="s">
        <v>467</v>
      </c>
      <c r="DB159" s="140" t="s">
        <v>166</v>
      </c>
      <c r="DC159" s="140" t="s">
        <v>166</v>
      </c>
      <c r="DD159" s="140" t="s">
        <v>468</v>
      </c>
      <c r="DE159" s="140" t="s">
        <v>469</v>
      </c>
      <c r="DF159" s="140" t="s">
        <v>205</v>
      </c>
      <c r="DG159" s="140">
        <v>35</v>
      </c>
      <c r="DH159" s="140" t="s">
        <v>201</v>
      </c>
      <c r="DI159" s="140">
        <v>1</v>
      </c>
      <c r="DJ159" s="140" t="s">
        <v>206</v>
      </c>
      <c r="DK159" s="140">
        <v>17</v>
      </c>
      <c r="DL159" s="140" t="s">
        <v>166</v>
      </c>
      <c r="DM159" s="140" t="s">
        <v>166</v>
      </c>
      <c r="DN159" s="140" t="s">
        <v>207</v>
      </c>
      <c r="DO159" s="140">
        <v>38</v>
      </c>
      <c r="DP159" s="140" t="s">
        <v>208</v>
      </c>
      <c r="DQ159" s="140">
        <v>3</v>
      </c>
      <c r="DR159" s="140" t="s">
        <v>209</v>
      </c>
      <c r="DS159" s="140" t="s">
        <v>166</v>
      </c>
      <c r="DT159" s="140" t="s">
        <v>166</v>
      </c>
      <c r="DU159" s="140" t="s">
        <v>166</v>
      </c>
      <c r="DV159" s="140" t="s">
        <v>166</v>
      </c>
      <c r="DW159" s="140">
        <v>432.6</v>
      </c>
      <c r="DX159" s="140" t="s">
        <v>166</v>
      </c>
      <c r="DY159" s="140" t="s">
        <v>166</v>
      </c>
      <c r="DZ159" s="140" t="s">
        <v>210</v>
      </c>
      <c r="EA159" s="140" t="s">
        <v>211</v>
      </c>
      <c r="EB159" s="140" t="s">
        <v>212</v>
      </c>
      <c r="EC159" s="140" t="s">
        <v>166</v>
      </c>
      <c r="ED159" s="140" t="s">
        <v>213</v>
      </c>
      <c r="EE159" s="213" t="s">
        <v>214</v>
      </c>
      <c r="EF159" s="213" t="s">
        <v>214</v>
      </c>
      <c r="EG159" s="140">
        <v>1.0271999999999999</v>
      </c>
      <c r="EH159" s="140" t="s">
        <v>215</v>
      </c>
      <c r="EI159" s="140" t="s">
        <v>215</v>
      </c>
      <c r="EJ159" s="140" t="s">
        <v>216</v>
      </c>
      <c r="EK159" s="140" t="s">
        <v>215</v>
      </c>
      <c r="EL159" s="140" t="s">
        <v>215</v>
      </c>
      <c r="EM159" s="140" t="s">
        <v>217</v>
      </c>
      <c r="EN159" s="214" t="s">
        <v>214</v>
      </c>
      <c r="EO159" s="214" t="s">
        <v>214</v>
      </c>
      <c r="EP159" s="214" t="s">
        <v>214</v>
      </c>
      <c r="EQ159" s="214" t="s">
        <v>214</v>
      </c>
      <c r="ER159" s="214"/>
      <c r="ES159" s="214"/>
      <c r="ET159" s="140" t="s">
        <v>218</v>
      </c>
      <c r="EU159" s="140" t="s">
        <v>219</v>
      </c>
      <c r="EV159" s="140" t="s">
        <v>213</v>
      </c>
      <c r="EW159" s="140" t="s">
        <v>166</v>
      </c>
      <c r="EX159" s="140" t="s">
        <v>166</v>
      </c>
      <c r="EY159" s="140" t="s">
        <v>166</v>
      </c>
      <c r="EZ159" s="140" t="s">
        <v>166</v>
      </c>
      <c r="FA159" s="205">
        <v>6.5</v>
      </c>
      <c r="FB159" s="140" t="s">
        <v>220</v>
      </c>
      <c r="FC159" s="205">
        <v>1</v>
      </c>
      <c r="FD159" s="205">
        <v>1</v>
      </c>
      <c r="FE159" s="215">
        <v>7.7840460411108401</v>
      </c>
      <c r="FF159" s="140" t="s">
        <v>221</v>
      </c>
      <c r="FG159" s="215">
        <v>4.9463685687840098E-2</v>
      </c>
      <c r="FH159" s="216">
        <v>4.870578187026009E-2</v>
      </c>
      <c r="FI159" s="200">
        <v>805.11003214300808</v>
      </c>
      <c r="FK159" s="140" t="s">
        <v>166</v>
      </c>
      <c r="FL159" s="217">
        <f t="shared" si="157"/>
        <v>805.11003214300808</v>
      </c>
      <c r="FM159" s="201">
        <v>232.71581316402194</v>
      </c>
      <c r="FN159" s="201">
        <v>185.62900571268108</v>
      </c>
      <c r="FO159" s="140" t="s">
        <v>222</v>
      </c>
      <c r="FP159" s="140" t="s">
        <v>223</v>
      </c>
      <c r="FQ159" s="217" t="s">
        <v>166</v>
      </c>
      <c r="FR159" s="217" t="s">
        <v>166</v>
      </c>
      <c r="FS159" s="217" t="s">
        <v>166</v>
      </c>
      <c r="FT159" s="217" t="s">
        <v>166</v>
      </c>
      <c r="FU159" s="217" t="s">
        <v>166</v>
      </c>
      <c r="FV159" s="217" t="s">
        <v>166</v>
      </c>
      <c r="FW159" s="217" t="s">
        <v>166</v>
      </c>
      <c r="FX159" s="217" t="s">
        <v>166</v>
      </c>
      <c r="FY159" s="217" t="s">
        <v>166</v>
      </c>
      <c r="FZ159" s="217" t="s">
        <v>166</v>
      </c>
      <c r="GA159" s="217" t="s">
        <v>166</v>
      </c>
      <c r="GB159" s="217" t="s">
        <v>166</v>
      </c>
      <c r="GC159" s="202" t="s">
        <v>470</v>
      </c>
    </row>
    <row r="160" spans="1:192" s="140" customFormat="1" ht="17">
      <c r="A160" s="140" t="s">
        <v>162</v>
      </c>
      <c r="B160" s="143" t="s">
        <v>163</v>
      </c>
      <c r="C160" s="140" t="s">
        <v>164</v>
      </c>
      <c r="D160" s="140" t="s">
        <v>165</v>
      </c>
      <c r="E160" s="140">
        <v>2020</v>
      </c>
      <c r="F160" s="140" t="s">
        <v>184</v>
      </c>
      <c r="G160" s="199">
        <v>40300</v>
      </c>
      <c r="H160" s="140">
        <v>300</v>
      </c>
      <c r="I160" s="140">
        <v>300</v>
      </c>
      <c r="J160" s="200">
        <v>681.22779745217304</v>
      </c>
      <c r="K160" s="201">
        <v>148.70780472885895</v>
      </c>
      <c r="L160" s="201">
        <v>121.84665223806508</v>
      </c>
      <c r="M160" s="140" t="b">
        <v>1</v>
      </c>
      <c r="N160" s="140">
        <v>1</v>
      </c>
      <c r="O160" s="302" t="s">
        <v>581</v>
      </c>
      <c r="P160" s="140" t="s">
        <v>166</v>
      </c>
      <c r="Q160" s="140" t="s">
        <v>166</v>
      </c>
      <c r="R160" s="140" t="s">
        <v>166</v>
      </c>
      <c r="S160" s="140" t="b">
        <v>1</v>
      </c>
      <c r="T160" s="140" t="b">
        <v>0</v>
      </c>
      <c r="U160" s="140" t="s">
        <v>166</v>
      </c>
      <c r="V160" s="140" t="b">
        <v>0</v>
      </c>
      <c r="W160" s="140" t="b">
        <v>0</v>
      </c>
      <c r="X160" s="140" t="s">
        <v>166</v>
      </c>
      <c r="Y160" s="202" t="s">
        <v>186</v>
      </c>
      <c r="Z160" s="140" t="s">
        <v>184</v>
      </c>
      <c r="AA160" s="203" t="s">
        <v>471</v>
      </c>
      <c r="AB160" s="140" t="s">
        <v>166</v>
      </c>
      <c r="AC160" s="140">
        <v>19</v>
      </c>
      <c r="AD160" s="140">
        <v>1</v>
      </c>
      <c r="AE160" s="140">
        <v>90</v>
      </c>
      <c r="AF160" s="140">
        <v>100</v>
      </c>
      <c r="AG160" s="140" t="s">
        <v>166</v>
      </c>
      <c r="AH160" s="140" t="s">
        <v>166</v>
      </c>
      <c r="AI160" s="140" t="s">
        <v>166</v>
      </c>
      <c r="AJ160" s="140" t="s">
        <v>438</v>
      </c>
      <c r="AK160" s="204">
        <v>-9.2652370000000008</v>
      </c>
      <c r="AL160" s="204">
        <v>39.533895288001098</v>
      </c>
      <c r="AM160" s="205">
        <v>-19</v>
      </c>
      <c r="AN160" s="140" t="s">
        <v>166</v>
      </c>
      <c r="AO160" s="140" t="s">
        <v>166</v>
      </c>
      <c r="AP160" s="205" t="s">
        <v>460</v>
      </c>
      <c r="AQ160" s="205" t="s">
        <v>440</v>
      </c>
      <c r="AR160" s="140" t="s">
        <v>166</v>
      </c>
      <c r="AS160" s="199">
        <v>40.299999999999997</v>
      </c>
      <c r="AT160" s="140" t="s">
        <v>220</v>
      </c>
      <c r="AU160" s="140">
        <v>0.3</v>
      </c>
      <c r="AV160" s="140">
        <v>0.3</v>
      </c>
      <c r="AW160" s="140" t="s">
        <v>472</v>
      </c>
      <c r="AX160" s="140" t="s">
        <v>256</v>
      </c>
      <c r="AY160" s="140" t="s">
        <v>461</v>
      </c>
      <c r="AZ160" s="140" t="s">
        <v>166</v>
      </c>
      <c r="BA160" s="140" t="s">
        <v>166</v>
      </c>
      <c r="BB160" s="140" t="s">
        <v>166</v>
      </c>
      <c r="BC160" s="140" t="s">
        <v>166</v>
      </c>
      <c r="BD160" s="140" t="s">
        <v>166</v>
      </c>
      <c r="BE160" s="140" t="s">
        <v>166</v>
      </c>
      <c r="BF160" s="140" t="s">
        <v>166</v>
      </c>
      <c r="BG160" s="206" t="s">
        <v>473</v>
      </c>
      <c r="BH160" s="207" t="s">
        <v>328</v>
      </c>
      <c r="BI160" s="140" t="s">
        <v>464</v>
      </c>
      <c r="BJ160" s="208" t="s">
        <v>465</v>
      </c>
      <c r="BK160" s="140" t="s">
        <v>193</v>
      </c>
      <c r="BL160" s="140" t="s">
        <v>194</v>
      </c>
      <c r="BM160" s="140" t="s">
        <v>195</v>
      </c>
      <c r="BN160" s="140" t="s">
        <v>466</v>
      </c>
      <c r="BO160" s="140" t="s">
        <v>166</v>
      </c>
      <c r="BP160" s="140" t="s">
        <v>166</v>
      </c>
      <c r="BQ160" s="209">
        <v>15.5</v>
      </c>
      <c r="BR160" s="140" t="s">
        <v>196</v>
      </c>
      <c r="BS160" s="207">
        <v>0.27</v>
      </c>
      <c r="BT160" s="140">
        <v>1</v>
      </c>
      <c r="BU160" s="140" t="s">
        <v>197</v>
      </c>
      <c r="BV160" s="140" t="s">
        <v>166</v>
      </c>
      <c r="BW160" s="140">
        <v>0</v>
      </c>
      <c r="BX160" s="140" t="s">
        <v>197</v>
      </c>
      <c r="BY160" s="140" t="s">
        <v>166</v>
      </c>
      <c r="BZ160" s="140" t="s">
        <v>197</v>
      </c>
      <c r="CA160" s="140" t="s">
        <v>166</v>
      </c>
      <c r="CB160" s="210">
        <f t="shared" ref="CB160:CB223" si="165">BQ160</f>
        <v>15.5</v>
      </c>
      <c r="CC160" s="140" t="s">
        <v>196</v>
      </c>
      <c r="CD160" s="140">
        <f t="shared" ref="CD160:CD223" si="166">BS160</f>
        <v>0.27</v>
      </c>
      <c r="CE160" s="140" t="s">
        <v>199</v>
      </c>
      <c r="CF160" s="140" t="s">
        <v>166</v>
      </c>
      <c r="CG160" s="140" t="s">
        <v>474</v>
      </c>
      <c r="CH160" s="140" t="s">
        <v>166</v>
      </c>
      <c r="CI160" s="140" t="s">
        <v>166</v>
      </c>
      <c r="CJ160" s="211">
        <v>31.83</v>
      </c>
      <c r="CK160" s="140" t="s">
        <v>201</v>
      </c>
      <c r="CL160" s="140">
        <v>2</v>
      </c>
      <c r="CM160" s="140">
        <v>2</v>
      </c>
      <c r="CP160" s="140" t="s">
        <v>166</v>
      </c>
      <c r="CQ160" s="140" t="s">
        <v>166</v>
      </c>
      <c r="CR160" s="140" t="s">
        <v>166</v>
      </c>
      <c r="CS160" s="140" t="s">
        <v>166</v>
      </c>
      <c r="CT160" s="140" t="s">
        <v>166</v>
      </c>
      <c r="CU160" s="140" t="s">
        <v>166</v>
      </c>
      <c r="CV160" s="140" t="s">
        <v>166</v>
      </c>
      <c r="CW160" s="140" t="s">
        <v>166</v>
      </c>
      <c r="CX160" s="140" t="s">
        <v>166</v>
      </c>
      <c r="CY160" s="140" t="s">
        <v>166</v>
      </c>
      <c r="CZ160" s="140" t="s">
        <v>166</v>
      </c>
      <c r="DA160" s="212" t="s">
        <v>475</v>
      </c>
      <c r="DB160" s="140" t="s">
        <v>166</v>
      </c>
      <c r="DC160" s="140" t="s">
        <v>166</v>
      </c>
      <c r="DD160" s="140" t="s">
        <v>476</v>
      </c>
      <c r="DE160" s="140" t="s">
        <v>477</v>
      </c>
      <c r="DF160" s="140" t="s">
        <v>205</v>
      </c>
      <c r="DG160" s="140">
        <v>35</v>
      </c>
      <c r="DH160" s="140" t="s">
        <v>201</v>
      </c>
      <c r="DI160" s="140">
        <v>1</v>
      </c>
      <c r="DJ160" s="140" t="s">
        <v>206</v>
      </c>
      <c r="DK160" s="140">
        <v>17</v>
      </c>
      <c r="DL160" s="140" t="s">
        <v>166</v>
      </c>
      <c r="DM160" s="140" t="s">
        <v>166</v>
      </c>
      <c r="DN160" s="140" t="s">
        <v>207</v>
      </c>
      <c r="DO160" s="140">
        <v>38</v>
      </c>
      <c r="DP160" s="140" t="s">
        <v>208</v>
      </c>
      <c r="DQ160" s="140">
        <v>3</v>
      </c>
      <c r="DR160" s="140" t="s">
        <v>209</v>
      </c>
      <c r="DS160" s="140" t="s">
        <v>166</v>
      </c>
      <c r="DT160" s="140" t="s">
        <v>166</v>
      </c>
      <c r="DU160" s="140" t="s">
        <v>166</v>
      </c>
      <c r="DV160" s="140" t="s">
        <v>166</v>
      </c>
      <c r="DW160" s="140">
        <v>432.6</v>
      </c>
      <c r="DX160" s="140" t="s">
        <v>166</v>
      </c>
      <c r="DY160" s="140" t="s">
        <v>166</v>
      </c>
      <c r="DZ160" s="140" t="s">
        <v>210</v>
      </c>
      <c r="EA160" s="140" t="s">
        <v>211</v>
      </c>
      <c r="EB160" s="140" t="s">
        <v>212</v>
      </c>
      <c r="EC160" s="140" t="s">
        <v>166</v>
      </c>
      <c r="ED160" s="140" t="s">
        <v>213</v>
      </c>
      <c r="EE160" s="213" t="s">
        <v>214</v>
      </c>
      <c r="EF160" s="213" t="s">
        <v>214</v>
      </c>
      <c r="EG160" s="140">
        <v>1.0271999999999999</v>
      </c>
      <c r="EH160" s="140" t="s">
        <v>215</v>
      </c>
      <c r="EI160" s="140" t="s">
        <v>215</v>
      </c>
      <c r="EJ160" s="140" t="s">
        <v>216</v>
      </c>
      <c r="EK160" s="140" t="s">
        <v>215</v>
      </c>
      <c r="EL160" s="140" t="s">
        <v>215</v>
      </c>
      <c r="EM160" s="140" t="s">
        <v>217</v>
      </c>
      <c r="EN160" s="214" t="s">
        <v>214</v>
      </c>
      <c r="EO160" s="214" t="s">
        <v>214</v>
      </c>
      <c r="EP160" s="214" t="s">
        <v>214</v>
      </c>
      <c r="EQ160" s="214" t="s">
        <v>214</v>
      </c>
      <c r="ER160" s="214"/>
      <c r="ES160" s="214"/>
      <c r="ET160" s="140" t="s">
        <v>218</v>
      </c>
      <c r="EU160" s="140" t="s">
        <v>219</v>
      </c>
      <c r="EV160" s="140" t="s">
        <v>213</v>
      </c>
      <c r="EW160" s="140" t="s">
        <v>166</v>
      </c>
      <c r="EX160" s="140" t="s">
        <v>166</v>
      </c>
      <c r="EY160" s="140" t="s">
        <v>166</v>
      </c>
      <c r="EZ160" s="140" t="s">
        <v>166</v>
      </c>
      <c r="FA160" s="205">
        <v>6.5</v>
      </c>
      <c r="FB160" s="140" t="s">
        <v>220</v>
      </c>
      <c r="FC160" s="205">
        <v>1</v>
      </c>
      <c r="FD160" s="205">
        <v>1</v>
      </c>
      <c r="FE160" s="215">
        <v>7.8224536385553503</v>
      </c>
      <c r="FF160" s="140" t="s">
        <v>221</v>
      </c>
      <c r="FG160" s="215">
        <v>3.294585310001974E-2</v>
      </c>
      <c r="FH160" s="218">
        <v>3.2526067092979893E-2</v>
      </c>
      <c r="FI160" s="200">
        <v>681.22779745217304</v>
      </c>
      <c r="FK160" s="140" t="s">
        <v>166</v>
      </c>
      <c r="FL160" s="217">
        <f t="shared" si="157"/>
        <v>681.22779745217304</v>
      </c>
      <c r="FM160" s="201">
        <v>148.70780472885895</v>
      </c>
      <c r="FN160" s="201">
        <v>121.84665223806508</v>
      </c>
      <c r="FO160" s="140" t="s">
        <v>222</v>
      </c>
      <c r="FP160" s="140" t="s">
        <v>223</v>
      </c>
      <c r="FQ160" s="217" t="s">
        <v>166</v>
      </c>
      <c r="FR160" s="217" t="s">
        <v>166</v>
      </c>
      <c r="FS160" s="217" t="s">
        <v>166</v>
      </c>
      <c r="FT160" s="217" t="s">
        <v>166</v>
      </c>
      <c r="FU160" s="217" t="s">
        <v>166</v>
      </c>
      <c r="FV160" s="217" t="s">
        <v>166</v>
      </c>
      <c r="FW160" s="217" t="s">
        <v>166</v>
      </c>
      <c r="FX160" s="217" t="s">
        <v>166</v>
      </c>
      <c r="FY160" s="217" t="s">
        <v>166</v>
      </c>
      <c r="FZ160" s="217" t="s">
        <v>166</v>
      </c>
      <c r="GA160" s="217" t="s">
        <v>166</v>
      </c>
      <c r="GB160" s="217" t="s">
        <v>166</v>
      </c>
      <c r="GC160" s="202" t="s">
        <v>470</v>
      </c>
    </row>
    <row r="161" spans="1:192" s="140" customFormat="1" ht="17">
      <c r="A161" s="140" t="s">
        <v>162</v>
      </c>
      <c r="B161" s="143" t="s">
        <v>163</v>
      </c>
      <c r="C161" s="140" t="s">
        <v>164</v>
      </c>
      <c r="D161" s="140" t="s">
        <v>165</v>
      </c>
      <c r="E161" s="140">
        <v>2020</v>
      </c>
      <c r="F161" s="140" t="s">
        <v>184</v>
      </c>
      <c r="G161" s="199">
        <v>44400</v>
      </c>
      <c r="H161" s="140">
        <v>100</v>
      </c>
      <c r="I161" s="140">
        <v>400</v>
      </c>
      <c r="J161" s="200">
        <v>966.51843113118593</v>
      </c>
      <c r="K161" s="201">
        <v>196.36578650171418</v>
      </c>
      <c r="L161" s="201">
        <v>176.35512258250594</v>
      </c>
      <c r="M161" s="140" t="b">
        <v>1</v>
      </c>
      <c r="N161" s="140">
        <v>1</v>
      </c>
      <c r="O161" s="302" t="s">
        <v>581</v>
      </c>
      <c r="P161" s="140" t="s">
        <v>166</v>
      </c>
      <c r="Q161" s="140" t="s">
        <v>166</v>
      </c>
      <c r="R161" s="140" t="s">
        <v>166</v>
      </c>
      <c r="S161" s="140" t="b">
        <v>1</v>
      </c>
      <c r="T161" s="140" t="b">
        <v>0</v>
      </c>
      <c r="U161" s="140" t="s">
        <v>166</v>
      </c>
      <c r="V161" s="140" t="b">
        <v>0</v>
      </c>
      <c r="W161" s="140" t="b">
        <v>0</v>
      </c>
      <c r="X161" s="140" t="s">
        <v>166</v>
      </c>
      <c r="Y161" s="202" t="s">
        <v>186</v>
      </c>
      <c r="Z161" s="140" t="s">
        <v>184</v>
      </c>
      <c r="AA161" s="203" t="s">
        <v>471</v>
      </c>
      <c r="AB161" s="140" t="s">
        <v>166</v>
      </c>
      <c r="AC161" s="140">
        <v>9</v>
      </c>
      <c r="AD161" s="140">
        <v>3</v>
      </c>
      <c r="AE161" s="140">
        <v>90</v>
      </c>
      <c r="AF161" s="140">
        <v>100</v>
      </c>
      <c r="AG161" s="140" t="s">
        <v>166</v>
      </c>
      <c r="AH161" s="140" t="s">
        <v>166</v>
      </c>
      <c r="AI161" s="140" t="s">
        <v>166</v>
      </c>
      <c r="AJ161" s="140" t="s">
        <v>438</v>
      </c>
      <c r="AK161" s="204">
        <v>-8.9177140000000001</v>
      </c>
      <c r="AL161" s="204">
        <v>39.503647123608502</v>
      </c>
      <c r="AM161" s="205">
        <v>-19</v>
      </c>
      <c r="AN161" s="140" t="s">
        <v>166</v>
      </c>
      <c r="AO161" s="140" t="s">
        <v>166</v>
      </c>
      <c r="AP161" s="205" t="s">
        <v>460</v>
      </c>
      <c r="AQ161" s="205" t="s">
        <v>440</v>
      </c>
      <c r="AR161" s="140" t="s">
        <v>166</v>
      </c>
      <c r="AS161" s="199">
        <v>44.4</v>
      </c>
      <c r="AT161" s="140" t="s">
        <v>220</v>
      </c>
      <c r="AU161" s="208">
        <v>0.1</v>
      </c>
      <c r="AV161" s="140">
        <v>0.4</v>
      </c>
      <c r="AW161" s="140" t="s">
        <v>478</v>
      </c>
      <c r="AX161" s="140" t="s">
        <v>256</v>
      </c>
      <c r="AY161" s="140" t="s">
        <v>461</v>
      </c>
      <c r="AZ161" s="140" t="s">
        <v>166</v>
      </c>
      <c r="BA161" s="140" t="s">
        <v>166</v>
      </c>
      <c r="BB161" s="140" t="s">
        <v>166</v>
      </c>
      <c r="BC161" s="140" t="s">
        <v>166</v>
      </c>
      <c r="BD161" s="140" t="s">
        <v>166</v>
      </c>
      <c r="BE161" s="140" t="s">
        <v>166</v>
      </c>
      <c r="BF161" s="140" t="s">
        <v>166</v>
      </c>
      <c r="BG161" s="219" t="s">
        <v>479</v>
      </c>
      <c r="BH161" s="207" t="s">
        <v>192</v>
      </c>
      <c r="BI161" s="140" t="s">
        <v>464</v>
      </c>
      <c r="BJ161" s="208" t="s">
        <v>465</v>
      </c>
      <c r="BK161" s="140" t="s">
        <v>193</v>
      </c>
      <c r="BL161" s="140" t="s">
        <v>194</v>
      </c>
      <c r="BM161" s="140" t="s">
        <v>195</v>
      </c>
      <c r="BN161" s="140" t="s">
        <v>466</v>
      </c>
      <c r="BO161" s="140" t="s">
        <v>166</v>
      </c>
      <c r="BP161" s="140" t="s">
        <v>166</v>
      </c>
      <c r="BQ161" s="209">
        <v>14.82</v>
      </c>
      <c r="BR161" s="140" t="s">
        <v>196</v>
      </c>
      <c r="BS161" s="207">
        <v>0.28000000000000003</v>
      </c>
      <c r="BT161" s="140">
        <v>1</v>
      </c>
      <c r="BU161" s="140" t="s">
        <v>197</v>
      </c>
      <c r="BV161" s="140" t="s">
        <v>166</v>
      </c>
      <c r="BW161" s="140">
        <v>0</v>
      </c>
      <c r="BX161" s="140" t="s">
        <v>197</v>
      </c>
      <c r="BY161" s="140" t="s">
        <v>166</v>
      </c>
      <c r="BZ161" s="140" t="s">
        <v>197</v>
      </c>
      <c r="CA161" s="140" t="s">
        <v>166</v>
      </c>
      <c r="CB161" s="210">
        <f t="shared" si="165"/>
        <v>14.82</v>
      </c>
      <c r="CC161" s="140" t="s">
        <v>196</v>
      </c>
      <c r="CD161" s="140">
        <f t="shared" si="166"/>
        <v>0.28000000000000003</v>
      </c>
      <c r="CE161" s="140" t="s">
        <v>199</v>
      </c>
      <c r="CF161" s="140" t="s">
        <v>166</v>
      </c>
      <c r="CG161" s="140" t="s">
        <v>474</v>
      </c>
      <c r="CH161" s="140" t="s">
        <v>166</v>
      </c>
      <c r="CI161" s="140" t="s">
        <v>166</v>
      </c>
      <c r="CJ161" s="211">
        <v>29.77</v>
      </c>
      <c r="CK161" s="140" t="s">
        <v>201</v>
      </c>
      <c r="CL161" s="140">
        <v>2</v>
      </c>
      <c r="CM161" s="140">
        <v>2</v>
      </c>
      <c r="CP161" s="140" t="s">
        <v>166</v>
      </c>
      <c r="CQ161" s="140" t="s">
        <v>166</v>
      </c>
      <c r="CR161" s="140" t="s">
        <v>166</v>
      </c>
      <c r="CS161" s="140" t="s">
        <v>166</v>
      </c>
      <c r="CT161" s="140" t="s">
        <v>166</v>
      </c>
      <c r="CU161" s="140" t="s">
        <v>166</v>
      </c>
      <c r="CV161" s="140" t="s">
        <v>166</v>
      </c>
      <c r="CW161" s="140" t="s">
        <v>166</v>
      </c>
      <c r="CX161" s="140" t="s">
        <v>166</v>
      </c>
      <c r="CY161" s="140" t="s">
        <v>166</v>
      </c>
      <c r="CZ161" s="140" t="s">
        <v>166</v>
      </c>
      <c r="DA161" s="212" t="s">
        <v>480</v>
      </c>
      <c r="DB161" s="140" t="s">
        <v>166</v>
      </c>
      <c r="DC161" s="140" t="s">
        <v>166</v>
      </c>
      <c r="DD161" s="140" t="s">
        <v>481</v>
      </c>
      <c r="DE161" s="140" t="s">
        <v>482</v>
      </c>
      <c r="DF161" s="140" t="s">
        <v>205</v>
      </c>
      <c r="DG161" s="140">
        <v>35</v>
      </c>
      <c r="DH161" s="140" t="s">
        <v>201</v>
      </c>
      <c r="DI161" s="140">
        <v>1</v>
      </c>
      <c r="DJ161" s="140" t="s">
        <v>206</v>
      </c>
      <c r="DK161" s="140">
        <v>17</v>
      </c>
      <c r="DL161" s="140" t="s">
        <v>166</v>
      </c>
      <c r="DM161" s="140" t="s">
        <v>166</v>
      </c>
      <c r="DN161" s="140" t="s">
        <v>207</v>
      </c>
      <c r="DO161" s="140">
        <v>38</v>
      </c>
      <c r="DP161" s="140" t="s">
        <v>208</v>
      </c>
      <c r="DQ161" s="140">
        <v>3</v>
      </c>
      <c r="DR161" s="140" t="s">
        <v>209</v>
      </c>
      <c r="DS161" s="140" t="s">
        <v>166</v>
      </c>
      <c r="DT161" s="140" t="s">
        <v>166</v>
      </c>
      <c r="DU161" s="140" t="s">
        <v>166</v>
      </c>
      <c r="DV161" s="140" t="s">
        <v>166</v>
      </c>
      <c r="DW161" s="140">
        <v>432.6</v>
      </c>
      <c r="DX161" s="140" t="s">
        <v>166</v>
      </c>
      <c r="DY161" s="140" t="s">
        <v>166</v>
      </c>
      <c r="DZ161" s="140" t="s">
        <v>210</v>
      </c>
      <c r="EA161" s="140" t="s">
        <v>211</v>
      </c>
      <c r="EB161" s="140" t="s">
        <v>212</v>
      </c>
      <c r="EC161" s="140" t="s">
        <v>166</v>
      </c>
      <c r="ED161" s="140" t="s">
        <v>213</v>
      </c>
      <c r="EE161" s="213" t="s">
        <v>214</v>
      </c>
      <c r="EF161" s="213" t="s">
        <v>214</v>
      </c>
      <c r="EG161" s="140">
        <v>1.0271999999999999</v>
      </c>
      <c r="EH161" s="140" t="s">
        <v>215</v>
      </c>
      <c r="EI161" s="140" t="s">
        <v>215</v>
      </c>
      <c r="EJ161" s="140" t="s">
        <v>216</v>
      </c>
      <c r="EK161" s="140" t="s">
        <v>215</v>
      </c>
      <c r="EL161" s="140" t="s">
        <v>215</v>
      </c>
      <c r="EM161" s="140" t="s">
        <v>217</v>
      </c>
      <c r="EN161" s="214" t="s">
        <v>214</v>
      </c>
      <c r="EO161" s="214" t="s">
        <v>214</v>
      </c>
      <c r="EP161" s="214" t="s">
        <v>214</v>
      </c>
      <c r="EQ161" s="214" t="s">
        <v>214</v>
      </c>
      <c r="ER161" s="214"/>
      <c r="ES161" s="214"/>
      <c r="ET161" s="140" t="s">
        <v>218</v>
      </c>
      <c r="EU161" s="140" t="s">
        <v>219</v>
      </c>
      <c r="EV161" s="140" t="s">
        <v>213</v>
      </c>
      <c r="EW161" s="140" t="s">
        <v>166</v>
      </c>
      <c r="EX161" s="140" t="s">
        <v>166</v>
      </c>
      <c r="EY161" s="140" t="s">
        <v>166</v>
      </c>
      <c r="EZ161" s="140" t="s">
        <v>166</v>
      </c>
      <c r="FA161" s="205">
        <v>6.5</v>
      </c>
      <c r="FB161" s="140" t="s">
        <v>220</v>
      </c>
      <c r="FC161" s="205">
        <v>1</v>
      </c>
      <c r="FD161" s="205">
        <v>1</v>
      </c>
      <c r="FE161" s="215">
        <v>7.7588459593890304</v>
      </c>
      <c r="FF161" s="140" t="s">
        <v>221</v>
      </c>
      <c r="FG161" s="215">
        <v>3.7167117842349384E-2</v>
      </c>
      <c r="FH161" s="216">
        <v>3.7061992888820505E-2</v>
      </c>
      <c r="FI161" s="200">
        <v>966.51843113118593</v>
      </c>
      <c r="FK161" s="140" t="s">
        <v>166</v>
      </c>
      <c r="FL161" s="217">
        <f t="shared" si="157"/>
        <v>966.51843113118593</v>
      </c>
      <c r="FM161" s="201">
        <v>196.36578650171418</v>
      </c>
      <c r="FN161" s="201">
        <v>176.35512258250594</v>
      </c>
      <c r="FO161" s="140" t="s">
        <v>222</v>
      </c>
      <c r="FP161" s="140" t="s">
        <v>223</v>
      </c>
      <c r="FQ161" s="217" t="s">
        <v>166</v>
      </c>
      <c r="FR161" s="217" t="s">
        <v>166</v>
      </c>
      <c r="FS161" s="217" t="s">
        <v>166</v>
      </c>
      <c r="FT161" s="217" t="s">
        <v>166</v>
      </c>
      <c r="FU161" s="217" t="s">
        <v>166</v>
      </c>
      <c r="FV161" s="217" t="s">
        <v>166</v>
      </c>
      <c r="FW161" s="217" t="s">
        <v>166</v>
      </c>
      <c r="FX161" s="217" t="s">
        <v>166</v>
      </c>
      <c r="FY161" s="217" t="s">
        <v>166</v>
      </c>
      <c r="FZ161" s="217" t="s">
        <v>166</v>
      </c>
      <c r="GA161" s="217" t="s">
        <v>166</v>
      </c>
      <c r="GB161" s="217" t="s">
        <v>166</v>
      </c>
      <c r="GC161" s="202" t="s">
        <v>470</v>
      </c>
    </row>
    <row r="162" spans="1:192" s="140" customFormat="1" ht="17">
      <c r="A162" s="140" t="s">
        <v>162</v>
      </c>
      <c r="B162" s="143" t="s">
        <v>163</v>
      </c>
      <c r="C162" s="140" t="s">
        <v>164</v>
      </c>
      <c r="D162" s="140" t="s">
        <v>165</v>
      </c>
      <c r="E162" s="140">
        <v>2020</v>
      </c>
      <c r="F162" s="140" t="s">
        <v>184</v>
      </c>
      <c r="G162" s="199">
        <v>45600</v>
      </c>
      <c r="H162" s="140">
        <v>300</v>
      </c>
      <c r="I162" s="140">
        <v>100</v>
      </c>
      <c r="J162" s="200">
        <v>1117.06817577472</v>
      </c>
      <c r="K162" s="201">
        <v>236.11455843142994</v>
      </c>
      <c r="L162" s="201">
        <v>217.55989243554598</v>
      </c>
      <c r="M162" s="140" t="b">
        <v>1</v>
      </c>
      <c r="N162" s="140">
        <v>1</v>
      </c>
      <c r="O162" s="302" t="s">
        <v>581</v>
      </c>
      <c r="P162" s="140" t="s">
        <v>166</v>
      </c>
      <c r="Q162" s="140" t="s">
        <v>166</v>
      </c>
      <c r="R162" s="140" t="s">
        <v>166</v>
      </c>
      <c r="S162" s="140" t="b">
        <v>1</v>
      </c>
      <c r="T162" s="140" t="b">
        <v>0</v>
      </c>
      <c r="U162" s="140" t="s">
        <v>166</v>
      </c>
      <c r="V162" s="140" t="b">
        <v>0</v>
      </c>
      <c r="W162" s="140" t="b">
        <v>0</v>
      </c>
      <c r="X162" s="140" t="s">
        <v>166</v>
      </c>
      <c r="Y162" s="202" t="s">
        <v>186</v>
      </c>
      <c r="Z162" s="140" t="s">
        <v>184</v>
      </c>
      <c r="AA162" s="203" t="s">
        <v>483</v>
      </c>
      <c r="AB162" s="140" t="s">
        <v>484</v>
      </c>
      <c r="AC162" s="140" t="s">
        <v>166</v>
      </c>
      <c r="AD162" s="140" t="s">
        <v>166</v>
      </c>
      <c r="AE162" s="140" t="s">
        <v>166</v>
      </c>
      <c r="AF162" s="140" t="s">
        <v>166</v>
      </c>
      <c r="AG162" s="140" t="s">
        <v>166</v>
      </c>
      <c r="AH162" s="140" t="s">
        <v>166</v>
      </c>
      <c r="AI162" s="140" t="s">
        <v>166</v>
      </c>
      <c r="AJ162" s="140" t="s">
        <v>438</v>
      </c>
      <c r="AK162" s="204">
        <v>-8.9177140000000001</v>
      </c>
      <c r="AL162" s="204">
        <v>39.503647123608502</v>
      </c>
      <c r="AM162" s="205">
        <v>-19</v>
      </c>
      <c r="AN162" s="140" t="s">
        <v>166</v>
      </c>
      <c r="AO162" s="140" t="s">
        <v>166</v>
      </c>
      <c r="AP162" s="205" t="s">
        <v>460</v>
      </c>
      <c r="AQ162" s="205" t="s">
        <v>440</v>
      </c>
      <c r="AR162" s="140" t="s">
        <v>166</v>
      </c>
      <c r="AS162" s="199">
        <v>45.6</v>
      </c>
      <c r="AT162" s="140" t="s">
        <v>220</v>
      </c>
      <c r="AU162" s="208">
        <v>0.3</v>
      </c>
      <c r="AV162" s="208">
        <v>0.1</v>
      </c>
      <c r="AW162" s="140" t="s">
        <v>485</v>
      </c>
      <c r="AX162" s="140" t="s">
        <v>256</v>
      </c>
      <c r="AY162" s="140" t="s">
        <v>461</v>
      </c>
      <c r="AZ162" s="140" t="s">
        <v>166</v>
      </c>
      <c r="BA162" s="140" t="s">
        <v>166</v>
      </c>
      <c r="BB162" s="140" t="s">
        <v>166</v>
      </c>
      <c r="BC162" s="140" t="s">
        <v>166</v>
      </c>
      <c r="BD162" s="140" t="s">
        <v>166</v>
      </c>
      <c r="BE162" s="140" t="s">
        <v>166</v>
      </c>
      <c r="BF162" s="140" t="s">
        <v>166</v>
      </c>
      <c r="BG162" s="206" t="s">
        <v>486</v>
      </c>
      <c r="BH162" s="207" t="s">
        <v>328</v>
      </c>
      <c r="BI162" s="140" t="s">
        <v>464</v>
      </c>
      <c r="BJ162" s="208" t="s">
        <v>465</v>
      </c>
      <c r="BK162" s="140" t="s">
        <v>193</v>
      </c>
      <c r="BL162" s="140" t="s">
        <v>194</v>
      </c>
      <c r="BM162" s="140" t="s">
        <v>195</v>
      </c>
      <c r="BN162" s="140" t="s">
        <v>466</v>
      </c>
      <c r="BO162" s="140" t="s">
        <v>166</v>
      </c>
      <c r="BP162" s="140" t="s">
        <v>166</v>
      </c>
      <c r="BQ162" s="209">
        <v>14.65</v>
      </c>
      <c r="BR162" s="140" t="s">
        <v>196</v>
      </c>
      <c r="BS162" s="207">
        <v>0.24</v>
      </c>
      <c r="BT162" s="140">
        <v>1</v>
      </c>
      <c r="BU162" s="140" t="s">
        <v>197</v>
      </c>
      <c r="BV162" s="140" t="s">
        <v>166</v>
      </c>
      <c r="BW162" s="140">
        <v>0</v>
      </c>
      <c r="BX162" s="140" t="s">
        <v>197</v>
      </c>
      <c r="BY162" s="140" t="s">
        <v>166</v>
      </c>
      <c r="BZ162" s="140" t="s">
        <v>197</v>
      </c>
      <c r="CA162" s="140" t="s">
        <v>166</v>
      </c>
      <c r="CB162" s="210">
        <f t="shared" si="165"/>
        <v>14.65</v>
      </c>
      <c r="CC162" s="140" t="s">
        <v>196</v>
      </c>
      <c r="CD162" s="140">
        <f t="shared" si="166"/>
        <v>0.24</v>
      </c>
      <c r="CE162" s="140" t="s">
        <v>199</v>
      </c>
      <c r="CF162" s="140" t="s">
        <v>166</v>
      </c>
      <c r="CG162" s="140" t="s">
        <v>474</v>
      </c>
      <c r="CH162" s="140" t="s">
        <v>166</v>
      </c>
      <c r="CI162" s="140" t="s">
        <v>166</v>
      </c>
      <c r="CJ162" s="211">
        <v>31.47</v>
      </c>
      <c r="CK162" s="140" t="s">
        <v>201</v>
      </c>
      <c r="CL162" s="140">
        <v>2</v>
      </c>
      <c r="CM162" s="140">
        <v>2</v>
      </c>
      <c r="CP162" s="140" t="s">
        <v>166</v>
      </c>
      <c r="CQ162" s="140" t="s">
        <v>166</v>
      </c>
      <c r="CR162" s="140" t="s">
        <v>166</v>
      </c>
      <c r="CS162" s="140" t="s">
        <v>166</v>
      </c>
      <c r="CT162" s="140" t="s">
        <v>166</v>
      </c>
      <c r="CU162" s="140" t="s">
        <v>166</v>
      </c>
      <c r="CV162" s="140" t="s">
        <v>166</v>
      </c>
      <c r="CW162" s="140" t="s">
        <v>166</v>
      </c>
      <c r="CX162" s="140" t="s">
        <v>166</v>
      </c>
      <c r="CY162" s="140" t="s">
        <v>166</v>
      </c>
      <c r="CZ162" s="140" t="s">
        <v>166</v>
      </c>
      <c r="DA162" s="212" t="s">
        <v>487</v>
      </c>
      <c r="DB162" s="140" t="s">
        <v>166</v>
      </c>
      <c r="DC162" s="140" t="s">
        <v>166</v>
      </c>
      <c r="DD162" s="140" t="s">
        <v>488</v>
      </c>
      <c r="DE162" s="140" t="s">
        <v>489</v>
      </c>
      <c r="DF162" s="140" t="s">
        <v>205</v>
      </c>
      <c r="DG162" s="140">
        <v>35</v>
      </c>
      <c r="DH162" s="140" t="s">
        <v>201</v>
      </c>
      <c r="DI162" s="140">
        <v>1</v>
      </c>
      <c r="DJ162" s="140" t="s">
        <v>206</v>
      </c>
      <c r="DK162" s="140">
        <v>17</v>
      </c>
      <c r="DL162" s="140" t="s">
        <v>166</v>
      </c>
      <c r="DM162" s="140" t="s">
        <v>166</v>
      </c>
      <c r="DN162" s="140" t="s">
        <v>207</v>
      </c>
      <c r="DO162" s="140">
        <v>38</v>
      </c>
      <c r="DP162" s="140" t="s">
        <v>208</v>
      </c>
      <c r="DQ162" s="140">
        <v>3</v>
      </c>
      <c r="DR162" s="140" t="s">
        <v>209</v>
      </c>
      <c r="DS162" s="140" t="s">
        <v>166</v>
      </c>
      <c r="DT162" s="140" t="s">
        <v>166</v>
      </c>
      <c r="DU162" s="140" t="s">
        <v>166</v>
      </c>
      <c r="DV162" s="140" t="s">
        <v>166</v>
      </c>
      <c r="DW162" s="140">
        <v>432.6</v>
      </c>
      <c r="DX162" s="140" t="s">
        <v>166</v>
      </c>
      <c r="DY162" s="140" t="s">
        <v>166</v>
      </c>
      <c r="DZ162" s="140" t="s">
        <v>210</v>
      </c>
      <c r="EA162" s="140" t="s">
        <v>211</v>
      </c>
      <c r="EB162" s="140" t="s">
        <v>212</v>
      </c>
      <c r="EC162" s="140" t="s">
        <v>166</v>
      </c>
      <c r="ED162" s="140" t="s">
        <v>213</v>
      </c>
      <c r="EE162" s="213" t="s">
        <v>214</v>
      </c>
      <c r="EF162" s="213" t="s">
        <v>214</v>
      </c>
      <c r="EG162" s="140">
        <v>1.0271999999999999</v>
      </c>
      <c r="EH162" s="140" t="s">
        <v>215</v>
      </c>
      <c r="EI162" s="140" t="s">
        <v>215</v>
      </c>
      <c r="EJ162" s="140" t="s">
        <v>216</v>
      </c>
      <c r="EK162" s="140" t="s">
        <v>215</v>
      </c>
      <c r="EL162" s="140" t="s">
        <v>215</v>
      </c>
      <c r="EM162" s="140" t="s">
        <v>217</v>
      </c>
      <c r="EN162" s="214" t="s">
        <v>214</v>
      </c>
      <c r="EO162" s="214" t="s">
        <v>214</v>
      </c>
      <c r="EP162" s="214" t="s">
        <v>214</v>
      </c>
      <c r="EQ162" s="214" t="s">
        <v>214</v>
      </c>
      <c r="ER162" s="214"/>
      <c r="ES162" s="214"/>
      <c r="ET162" s="140" t="s">
        <v>218</v>
      </c>
      <c r="EU162" s="140" t="s">
        <v>219</v>
      </c>
      <c r="EV162" s="140" t="s">
        <v>213</v>
      </c>
      <c r="EW162" s="140" t="s">
        <v>166</v>
      </c>
      <c r="EX162" s="140" t="s">
        <v>166</v>
      </c>
      <c r="EY162" s="140" t="s">
        <v>166</v>
      </c>
      <c r="EZ162" s="140" t="s">
        <v>166</v>
      </c>
      <c r="FA162" s="205">
        <v>6.5</v>
      </c>
      <c r="FB162" s="140" t="s">
        <v>220</v>
      </c>
      <c r="FC162" s="205">
        <v>1</v>
      </c>
      <c r="FD162" s="205">
        <v>1</v>
      </c>
      <c r="FE162" s="215">
        <v>7.7162761592240798</v>
      </c>
      <c r="FF162" s="140" t="s">
        <v>221</v>
      </c>
      <c r="FG162" s="215">
        <v>3.5445139624900257E-2</v>
      </c>
      <c r="FH162" s="218">
        <v>3.4619481100549798E-2</v>
      </c>
      <c r="FI162" s="200">
        <v>1117.06817577472</v>
      </c>
      <c r="FK162" s="140" t="s">
        <v>166</v>
      </c>
      <c r="FL162" s="217">
        <f t="shared" si="157"/>
        <v>1117.06817577472</v>
      </c>
      <c r="FM162" s="201">
        <v>236.11455843142994</v>
      </c>
      <c r="FN162" s="201">
        <v>217.55989243554598</v>
      </c>
      <c r="FO162" s="140" t="s">
        <v>222</v>
      </c>
      <c r="FP162" s="140" t="s">
        <v>223</v>
      </c>
      <c r="FQ162" s="217" t="s">
        <v>166</v>
      </c>
      <c r="FR162" s="217" t="s">
        <v>166</v>
      </c>
      <c r="FS162" s="217" t="s">
        <v>166</v>
      </c>
      <c r="FT162" s="217" t="s">
        <v>166</v>
      </c>
      <c r="FU162" s="217" t="s">
        <v>166</v>
      </c>
      <c r="FV162" s="217" t="s">
        <v>166</v>
      </c>
      <c r="FW162" s="217" t="s">
        <v>166</v>
      </c>
      <c r="FX162" s="217" t="s">
        <v>166</v>
      </c>
      <c r="FY162" s="217" t="s">
        <v>166</v>
      </c>
      <c r="FZ162" s="217" t="s">
        <v>166</v>
      </c>
      <c r="GA162" s="217" t="s">
        <v>166</v>
      </c>
      <c r="GB162" s="217" t="s">
        <v>166</v>
      </c>
      <c r="GC162" s="202" t="s">
        <v>470</v>
      </c>
    </row>
    <row r="163" spans="1:192" s="140" customFormat="1" ht="17">
      <c r="A163" s="140" t="s">
        <v>162</v>
      </c>
      <c r="B163" s="143" t="s">
        <v>163</v>
      </c>
      <c r="C163" s="140" t="s">
        <v>164</v>
      </c>
      <c r="D163" s="140" t="s">
        <v>165</v>
      </c>
      <c r="E163" s="140">
        <v>2020</v>
      </c>
      <c r="F163" s="140" t="s">
        <v>184</v>
      </c>
      <c r="G163" s="199">
        <v>53200</v>
      </c>
      <c r="H163" s="140">
        <v>400</v>
      </c>
      <c r="I163" s="140">
        <v>400</v>
      </c>
      <c r="J163" s="200">
        <v>1431.07473536104</v>
      </c>
      <c r="K163" s="201">
        <v>334.90933466048</v>
      </c>
      <c r="L163" s="201">
        <v>267.99413634317989</v>
      </c>
      <c r="M163" s="140" t="b">
        <v>1</v>
      </c>
      <c r="N163" s="140">
        <v>1</v>
      </c>
      <c r="O163" s="302" t="s">
        <v>581</v>
      </c>
      <c r="P163" s="140" t="s">
        <v>166</v>
      </c>
      <c r="Q163" s="140" t="s">
        <v>166</v>
      </c>
      <c r="R163" s="140" t="s">
        <v>166</v>
      </c>
      <c r="S163" s="140" t="b">
        <v>1</v>
      </c>
      <c r="T163" s="140" t="b">
        <v>0</v>
      </c>
      <c r="U163" s="140" t="s">
        <v>166</v>
      </c>
      <c r="V163" s="140" t="b">
        <v>0</v>
      </c>
      <c r="W163" s="140" t="b">
        <v>0</v>
      </c>
      <c r="X163" s="140" t="s">
        <v>166</v>
      </c>
      <c r="Y163" s="220" t="s">
        <v>186</v>
      </c>
      <c r="Z163" s="221" t="s">
        <v>184</v>
      </c>
      <c r="AA163" s="222" t="s">
        <v>490</v>
      </c>
      <c r="AB163" s="221" t="s">
        <v>166</v>
      </c>
      <c r="AC163" s="221">
        <v>18</v>
      </c>
      <c r="AD163" s="221">
        <v>2</v>
      </c>
      <c r="AE163" s="221" t="s">
        <v>491</v>
      </c>
      <c r="AF163" s="221" t="s">
        <v>492</v>
      </c>
      <c r="AG163" s="221" t="s">
        <v>166</v>
      </c>
      <c r="AH163" s="221" t="s">
        <v>166</v>
      </c>
      <c r="AI163" s="221" t="s">
        <v>166</v>
      </c>
      <c r="AJ163" s="221" t="s">
        <v>438</v>
      </c>
      <c r="AK163" s="223">
        <v>-8.8562069999999995</v>
      </c>
      <c r="AL163" s="223">
        <v>39.460911573076601</v>
      </c>
      <c r="AM163" s="224">
        <v>-19</v>
      </c>
      <c r="AN163" s="221" t="s">
        <v>166</v>
      </c>
      <c r="AO163" s="221" t="s">
        <v>166</v>
      </c>
      <c r="AP163" s="224" t="s">
        <v>460</v>
      </c>
      <c r="AQ163" s="224" t="s">
        <v>440</v>
      </c>
      <c r="AR163" s="221" t="s">
        <v>166</v>
      </c>
      <c r="AS163" s="225">
        <v>53.2</v>
      </c>
      <c r="AT163" s="221" t="s">
        <v>220</v>
      </c>
      <c r="AU163" s="221">
        <v>0.4</v>
      </c>
      <c r="AV163" s="221">
        <v>0.4</v>
      </c>
      <c r="AW163" s="221" t="s">
        <v>493</v>
      </c>
      <c r="AX163" s="221" t="s">
        <v>256</v>
      </c>
      <c r="AY163" s="221" t="s">
        <v>461</v>
      </c>
      <c r="AZ163" s="221" t="s">
        <v>166</v>
      </c>
      <c r="BA163" s="221" t="s">
        <v>166</v>
      </c>
      <c r="BB163" s="221" t="s">
        <v>166</v>
      </c>
      <c r="BC163" s="221" t="s">
        <v>166</v>
      </c>
      <c r="BD163" s="221" t="s">
        <v>166</v>
      </c>
      <c r="BE163" s="221" t="s">
        <v>166</v>
      </c>
      <c r="BF163" s="221" t="s">
        <v>166</v>
      </c>
      <c r="BG163" s="226" t="s">
        <v>494</v>
      </c>
      <c r="BH163" s="227" t="s">
        <v>328</v>
      </c>
      <c r="BI163" s="221" t="s">
        <v>464</v>
      </c>
      <c r="BJ163" s="228" t="s">
        <v>465</v>
      </c>
      <c r="BK163" s="221" t="s">
        <v>226</v>
      </c>
      <c r="BL163" s="221" t="s">
        <v>194</v>
      </c>
      <c r="BM163" s="221" t="s">
        <v>195</v>
      </c>
      <c r="BN163" s="221" t="s">
        <v>466</v>
      </c>
      <c r="BO163" s="221" t="s">
        <v>166</v>
      </c>
      <c r="BP163" s="221" t="s">
        <v>166</v>
      </c>
      <c r="BQ163" s="229">
        <v>14.3</v>
      </c>
      <c r="BR163" s="221" t="s">
        <v>196</v>
      </c>
      <c r="BS163" s="227">
        <v>0.25</v>
      </c>
      <c r="BT163" s="221">
        <v>1</v>
      </c>
      <c r="BU163" s="221" t="s">
        <v>197</v>
      </c>
      <c r="BV163" s="221" t="s">
        <v>166</v>
      </c>
      <c r="BW163" s="221">
        <v>0</v>
      </c>
      <c r="BX163" s="221" t="s">
        <v>197</v>
      </c>
      <c r="BY163" s="221" t="s">
        <v>166</v>
      </c>
      <c r="BZ163" s="221" t="s">
        <v>197</v>
      </c>
      <c r="CA163" s="221" t="s">
        <v>166</v>
      </c>
      <c r="CB163" s="230">
        <f t="shared" si="165"/>
        <v>14.3</v>
      </c>
      <c r="CC163" s="221" t="s">
        <v>196</v>
      </c>
      <c r="CD163" s="221">
        <f t="shared" si="166"/>
        <v>0.25</v>
      </c>
      <c r="CE163" s="221" t="s">
        <v>199</v>
      </c>
      <c r="CF163" s="221" t="s">
        <v>166</v>
      </c>
      <c r="CG163" s="221" t="s">
        <v>474</v>
      </c>
      <c r="CH163" s="221" t="s">
        <v>166</v>
      </c>
      <c r="CI163" s="221" t="s">
        <v>166</v>
      </c>
      <c r="CJ163" s="231">
        <v>32.72</v>
      </c>
      <c r="CK163" s="221" t="s">
        <v>201</v>
      </c>
      <c r="CL163" s="221">
        <v>2</v>
      </c>
      <c r="CM163" s="221">
        <v>2</v>
      </c>
      <c r="CN163" s="221"/>
      <c r="CO163" s="221"/>
      <c r="CP163" s="221" t="s">
        <v>166</v>
      </c>
      <c r="CQ163" s="221" t="s">
        <v>166</v>
      </c>
      <c r="CR163" s="221" t="s">
        <v>166</v>
      </c>
      <c r="CS163" s="221" t="s">
        <v>166</v>
      </c>
      <c r="CT163" s="221" t="s">
        <v>166</v>
      </c>
      <c r="CU163" s="221" t="s">
        <v>166</v>
      </c>
      <c r="CV163" s="221" t="s">
        <v>166</v>
      </c>
      <c r="CW163" s="221" t="s">
        <v>166</v>
      </c>
      <c r="CX163" s="221" t="s">
        <v>166</v>
      </c>
      <c r="CY163" s="221" t="s">
        <v>166</v>
      </c>
      <c r="CZ163" s="221" t="s">
        <v>166</v>
      </c>
      <c r="DA163" s="232" t="s">
        <v>495</v>
      </c>
      <c r="DB163" s="221" t="s">
        <v>166</v>
      </c>
      <c r="DC163" s="221" t="s">
        <v>166</v>
      </c>
      <c r="DD163" s="221" t="s">
        <v>496</v>
      </c>
      <c r="DE163" s="221" t="s">
        <v>497</v>
      </c>
      <c r="DF163" s="221" t="s">
        <v>205</v>
      </c>
      <c r="DG163" s="221">
        <v>35</v>
      </c>
      <c r="DH163" s="221" t="s">
        <v>201</v>
      </c>
      <c r="DI163" s="221">
        <v>1</v>
      </c>
      <c r="DJ163" s="221" t="s">
        <v>206</v>
      </c>
      <c r="DK163" s="221">
        <v>17</v>
      </c>
      <c r="DL163" s="221" t="s">
        <v>166</v>
      </c>
      <c r="DM163" s="221" t="s">
        <v>166</v>
      </c>
      <c r="DN163" s="221" t="s">
        <v>207</v>
      </c>
      <c r="DO163" s="221">
        <v>38</v>
      </c>
      <c r="DP163" s="221" t="s">
        <v>208</v>
      </c>
      <c r="DQ163" s="221">
        <v>3</v>
      </c>
      <c r="DR163" s="221" t="s">
        <v>209</v>
      </c>
      <c r="DS163" s="221" t="s">
        <v>166</v>
      </c>
      <c r="DT163" s="221" t="s">
        <v>166</v>
      </c>
      <c r="DU163" s="221" t="s">
        <v>166</v>
      </c>
      <c r="DV163" s="221" t="s">
        <v>166</v>
      </c>
      <c r="DW163" s="221">
        <v>432.6</v>
      </c>
      <c r="DX163" s="221" t="s">
        <v>166</v>
      </c>
      <c r="DY163" s="221" t="s">
        <v>166</v>
      </c>
      <c r="DZ163" s="221" t="s">
        <v>210</v>
      </c>
      <c r="EA163" s="221" t="s">
        <v>211</v>
      </c>
      <c r="EB163" s="221" t="s">
        <v>212</v>
      </c>
      <c r="EC163" s="221" t="s">
        <v>166</v>
      </c>
      <c r="ED163" s="221" t="s">
        <v>213</v>
      </c>
      <c r="EE163" s="233" t="s">
        <v>214</v>
      </c>
      <c r="EF163" s="233" t="s">
        <v>214</v>
      </c>
      <c r="EG163" s="221">
        <v>1.0271999999999999</v>
      </c>
      <c r="EH163" s="221" t="s">
        <v>215</v>
      </c>
      <c r="EI163" s="221" t="s">
        <v>215</v>
      </c>
      <c r="EJ163" s="221" t="s">
        <v>216</v>
      </c>
      <c r="EK163" s="221" t="s">
        <v>215</v>
      </c>
      <c r="EL163" s="221" t="s">
        <v>215</v>
      </c>
      <c r="EM163" s="221" t="s">
        <v>217</v>
      </c>
      <c r="EN163" s="234" t="s">
        <v>214</v>
      </c>
      <c r="EO163" s="234" t="s">
        <v>214</v>
      </c>
      <c r="EP163" s="234" t="s">
        <v>214</v>
      </c>
      <c r="EQ163" s="234" t="s">
        <v>214</v>
      </c>
      <c r="ER163" s="234"/>
      <c r="ES163" s="234"/>
      <c r="ET163" s="221" t="s">
        <v>218</v>
      </c>
      <c r="EU163" s="221" t="s">
        <v>219</v>
      </c>
      <c r="EV163" s="221" t="s">
        <v>213</v>
      </c>
      <c r="EW163" s="221" t="s">
        <v>166</v>
      </c>
      <c r="EX163" s="221" t="s">
        <v>166</v>
      </c>
      <c r="EY163" s="221" t="s">
        <v>166</v>
      </c>
      <c r="EZ163" s="221" t="s">
        <v>166</v>
      </c>
      <c r="FA163" s="224">
        <v>6.5</v>
      </c>
      <c r="FB163" s="221" t="s">
        <v>220</v>
      </c>
      <c r="FC163" s="224">
        <v>1</v>
      </c>
      <c r="FD163" s="224">
        <v>1</v>
      </c>
      <c r="FE163" s="235">
        <v>7.6505729907788602</v>
      </c>
      <c r="FF163" s="221" t="s">
        <v>221</v>
      </c>
      <c r="FG163" s="235">
        <v>4.126511313506942E-2</v>
      </c>
      <c r="FH163" s="236">
        <v>3.9726082297420362E-2</v>
      </c>
      <c r="FI163" s="237">
        <v>1431.07473536104</v>
      </c>
      <c r="FJ163" s="221"/>
      <c r="FK163" s="221" t="s">
        <v>166</v>
      </c>
      <c r="FL163" s="238">
        <f t="shared" si="157"/>
        <v>1431.07473536104</v>
      </c>
      <c r="FM163" s="239">
        <v>334.90933466048</v>
      </c>
      <c r="FN163" s="239">
        <v>267.99413634317989</v>
      </c>
      <c r="FO163" s="221" t="s">
        <v>222</v>
      </c>
      <c r="FP163" s="221" t="s">
        <v>223</v>
      </c>
      <c r="FQ163" s="238" t="s">
        <v>166</v>
      </c>
      <c r="FR163" s="238" t="s">
        <v>166</v>
      </c>
      <c r="FS163" s="238" t="s">
        <v>166</v>
      </c>
      <c r="FT163" s="238" t="s">
        <v>166</v>
      </c>
      <c r="FU163" s="238" t="s">
        <v>166</v>
      </c>
      <c r="FV163" s="238" t="s">
        <v>166</v>
      </c>
      <c r="FW163" s="238" t="s">
        <v>166</v>
      </c>
      <c r="FX163" s="238" t="s">
        <v>166</v>
      </c>
      <c r="FY163" s="238" t="s">
        <v>166</v>
      </c>
      <c r="FZ163" s="238" t="s">
        <v>166</v>
      </c>
      <c r="GA163" s="238" t="s">
        <v>166</v>
      </c>
      <c r="GB163" s="238" t="s">
        <v>166</v>
      </c>
      <c r="GC163" s="220" t="s">
        <v>470</v>
      </c>
      <c r="GD163" s="221"/>
      <c r="GE163" s="221"/>
      <c r="GF163" s="221"/>
      <c r="GG163" s="221"/>
      <c r="GH163" s="221"/>
      <c r="GI163" s="221"/>
      <c r="GJ163" s="221"/>
    </row>
    <row r="164" spans="1:192" s="140" customFormat="1" ht="17">
      <c r="A164" s="140" t="s">
        <v>162</v>
      </c>
      <c r="B164" s="143" t="s">
        <v>163</v>
      </c>
      <c r="C164" s="140" t="s">
        <v>164</v>
      </c>
      <c r="D164" s="140" t="s">
        <v>165</v>
      </c>
      <c r="E164" s="140">
        <v>2020</v>
      </c>
      <c r="F164" s="140" t="s">
        <v>184</v>
      </c>
      <c r="G164" s="240">
        <v>55393.673673841629</v>
      </c>
      <c r="H164" s="241">
        <f t="shared" ref="H164" si="167">0.0083*G164^(0.9482)</f>
        <v>261.11211581101873</v>
      </c>
      <c r="I164" s="241">
        <f t="shared" ref="I164:I165" si="168">0.0083*G164^(0.9482)</f>
        <v>261.11211581101873</v>
      </c>
      <c r="J164" s="201">
        <v>1336.6309073974701</v>
      </c>
      <c r="K164" s="201">
        <v>439.10500223716008</v>
      </c>
      <c r="L164" s="201">
        <v>303.17831693492008</v>
      </c>
      <c r="M164" s="140" t="b">
        <v>1</v>
      </c>
      <c r="N164" s="140">
        <v>1</v>
      </c>
      <c r="O164" s="302" t="s">
        <v>581</v>
      </c>
      <c r="P164" s="140" t="s">
        <v>166</v>
      </c>
      <c r="Q164" s="140" t="s">
        <v>166</v>
      </c>
      <c r="R164" s="140" t="s">
        <v>166</v>
      </c>
      <c r="S164" s="140" t="b">
        <v>1</v>
      </c>
      <c r="T164" s="140" t="b">
        <v>0</v>
      </c>
      <c r="U164" s="140" t="s">
        <v>166</v>
      </c>
      <c r="V164" s="140" t="b">
        <v>0</v>
      </c>
      <c r="W164" s="140" t="b">
        <v>0</v>
      </c>
      <c r="X164" s="140" t="s">
        <v>580</v>
      </c>
      <c r="Y164" s="202" t="s">
        <v>186</v>
      </c>
      <c r="Z164" s="140" t="s">
        <v>184</v>
      </c>
      <c r="AA164" s="242">
        <v>401</v>
      </c>
      <c r="AB164" s="140" t="s">
        <v>166</v>
      </c>
      <c r="AC164" s="140">
        <v>14</v>
      </c>
      <c r="AD164" s="140">
        <v>1</v>
      </c>
      <c r="AE164" s="140">
        <v>4</v>
      </c>
      <c r="AF164" s="140">
        <v>6</v>
      </c>
      <c r="AG164" s="140" t="s">
        <v>166</v>
      </c>
      <c r="AH164" s="243">
        <v>198.55</v>
      </c>
      <c r="AI164" s="140" t="s">
        <v>498</v>
      </c>
      <c r="AJ164" s="140" t="s">
        <v>499</v>
      </c>
      <c r="AK164" s="210">
        <v>47.427500000000002</v>
      </c>
      <c r="AL164" s="210">
        <v>-8.8102999999999998</v>
      </c>
      <c r="AM164" s="244">
        <v>42</v>
      </c>
      <c r="AN164" s="244">
        <v>21</v>
      </c>
      <c r="AO164" s="244">
        <v>-2495</v>
      </c>
      <c r="AP164" s="140">
        <v>-2000</v>
      </c>
      <c r="AQ164" s="140" t="s">
        <v>500</v>
      </c>
      <c r="AR164" s="140" t="s">
        <v>166</v>
      </c>
      <c r="AS164" s="240">
        <v>55.393673673841626</v>
      </c>
      <c r="AT164" s="140" t="s">
        <v>166</v>
      </c>
      <c r="AU164" s="140" t="s">
        <v>166</v>
      </c>
      <c r="AV164" s="140" t="s">
        <v>166</v>
      </c>
      <c r="AW164" s="140" t="s">
        <v>166</v>
      </c>
      <c r="AX164" s="140" t="s">
        <v>501</v>
      </c>
      <c r="AY164" s="140" t="s">
        <v>502</v>
      </c>
      <c r="AZ164" s="215">
        <v>55.366706021181884</v>
      </c>
      <c r="BA164" s="140" t="s">
        <v>166</v>
      </c>
      <c r="BB164" s="140" t="s">
        <v>166</v>
      </c>
      <c r="BC164" s="140" t="s">
        <v>166</v>
      </c>
      <c r="BD164" s="140" t="s">
        <v>166</v>
      </c>
      <c r="BE164" s="140" t="s">
        <v>503</v>
      </c>
      <c r="BF164" s="140" t="s">
        <v>504</v>
      </c>
      <c r="BG164" s="245" t="s">
        <v>505</v>
      </c>
      <c r="BH164" s="207" t="s">
        <v>192</v>
      </c>
      <c r="BI164" s="140" t="s">
        <v>166</v>
      </c>
      <c r="BJ164" s="140" t="s">
        <v>506</v>
      </c>
      <c r="BK164" s="140" t="s">
        <v>226</v>
      </c>
      <c r="BL164" s="140" t="s">
        <v>194</v>
      </c>
      <c r="BM164" s="140" t="s">
        <v>195</v>
      </c>
      <c r="BN164" s="140" t="s">
        <v>466</v>
      </c>
      <c r="BO164" s="140" t="s">
        <v>166</v>
      </c>
      <c r="BP164" s="140" t="s">
        <v>166</v>
      </c>
      <c r="BQ164" s="246">
        <v>14.146145951303811</v>
      </c>
      <c r="BR164" s="140" t="s">
        <v>196</v>
      </c>
      <c r="BS164" s="246">
        <v>0.34041819842169402</v>
      </c>
      <c r="BT164" s="140">
        <v>1</v>
      </c>
      <c r="BU164" s="140" t="s">
        <v>197</v>
      </c>
      <c r="BV164" s="140" t="s">
        <v>166</v>
      </c>
      <c r="BW164" s="140">
        <v>0</v>
      </c>
      <c r="BX164" s="140" t="s">
        <v>197</v>
      </c>
      <c r="BY164" s="140" t="s">
        <v>166</v>
      </c>
      <c r="BZ164" s="140" t="s">
        <v>197</v>
      </c>
      <c r="CA164" s="140" t="s">
        <v>166</v>
      </c>
      <c r="CB164" s="210">
        <f t="shared" si="165"/>
        <v>14.146145951303811</v>
      </c>
      <c r="CC164" s="140" t="s">
        <v>196</v>
      </c>
      <c r="CD164" s="210">
        <f t="shared" si="166"/>
        <v>0.34041819842169402</v>
      </c>
      <c r="CE164" s="140" t="s">
        <v>199</v>
      </c>
      <c r="CF164" s="140" t="s">
        <v>166</v>
      </c>
      <c r="CG164" s="140" t="s">
        <v>474</v>
      </c>
      <c r="CH164" s="140" t="s">
        <v>166</v>
      </c>
      <c r="CI164" s="140" t="s">
        <v>166</v>
      </c>
      <c r="CJ164" s="247">
        <v>33.286873164734281</v>
      </c>
      <c r="CK164" s="140" t="s">
        <v>201</v>
      </c>
      <c r="CL164" s="140">
        <v>2</v>
      </c>
      <c r="CM164" s="140">
        <v>2</v>
      </c>
      <c r="CN164" s="140" t="s">
        <v>166</v>
      </c>
      <c r="CO164" s="248">
        <v>3.5512574598681463</v>
      </c>
      <c r="CP164" s="140" t="s">
        <v>166</v>
      </c>
      <c r="CQ164" s="140" t="s">
        <v>166</v>
      </c>
      <c r="CR164" s="140" t="s">
        <v>166</v>
      </c>
      <c r="CS164" s="249" t="s">
        <v>202</v>
      </c>
      <c r="CT164" s="140" t="s">
        <v>203</v>
      </c>
      <c r="CU164" s="140">
        <v>2.2000000000000002</v>
      </c>
      <c r="CV164" s="140" t="s">
        <v>204</v>
      </c>
      <c r="CW164" s="140" t="s">
        <v>166</v>
      </c>
      <c r="CX164" s="140" t="s">
        <v>166</v>
      </c>
      <c r="CY164" s="140" t="s">
        <v>166</v>
      </c>
      <c r="CZ164" s="140" t="s">
        <v>166</v>
      </c>
      <c r="DA164" s="209" t="s">
        <v>166</v>
      </c>
      <c r="DB164" s="140" t="s">
        <v>166</v>
      </c>
      <c r="DC164" s="140" t="s">
        <v>166</v>
      </c>
      <c r="DD164" s="140" t="s">
        <v>166</v>
      </c>
      <c r="DE164" s="140" t="s">
        <v>166</v>
      </c>
      <c r="DF164" s="140" t="s">
        <v>205</v>
      </c>
      <c r="DG164" s="250">
        <v>35</v>
      </c>
      <c r="DH164" s="250" t="s">
        <v>201</v>
      </c>
      <c r="DI164" s="250">
        <v>1</v>
      </c>
      <c r="DJ164" s="250" t="s">
        <v>206</v>
      </c>
      <c r="DK164" s="250">
        <v>17</v>
      </c>
      <c r="DL164" s="140" t="s">
        <v>166</v>
      </c>
      <c r="DM164" s="140" t="s">
        <v>166</v>
      </c>
      <c r="DN164" s="250" t="s">
        <v>207</v>
      </c>
      <c r="DO164" s="250">
        <v>38</v>
      </c>
      <c r="DP164" s="250" t="s">
        <v>208</v>
      </c>
      <c r="DQ164" s="250">
        <v>3</v>
      </c>
      <c r="DR164" s="250" t="s">
        <v>209</v>
      </c>
      <c r="DS164" s="140" t="s">
        <v>166</v>
      </c>
      <c r="DT164" s="140" t="s">
        <v>166</v>
      </c>
      <c r="DU164" s="140" t="s">
        <v>166</v>
      </c>
      <c r="DV164" s="140" t="s">
        <v>166</v>
      </c>
      <c r="DW164" s="250">
        <v>432.6</v>
      </c>
      <c r="DX164" s="140" t="s">
        <v>166</v>
      </c>
      <c r="DY164" s="140" t="s">
        <v>166</v>
      </c>
      <c r="DZ164" s="140" t="s">
        <v>210</v>
      </c>
      <c r="EA164" s="140" t="s">
        <v>211</v>
      </c>
      <c r="EB164" s="140" t="s">
        <v>212</v>
      </c>
      <c r="EC164" s="140" t="s">
        <v>166</v>
      </c>
      <c r="ED164" s="140" t="s">
        <v>213</v>
      </c>
      <c r="EE164" s="213" t="s">
        <v>214</v>
      </c>
      <c r="EF164" s="213" t="s">
        <v>214</v>
      </c>
      <c r="EG164" s="250">
        <v>1.0271999999999999</v>
      </c>
      <c r="EH164" s="250" t="s">
        <v>215</v>
      </c>
      <c r="EI164" s="250" t="s">
        <v>215</v>
      </c>
      <c r="EJ164" s="250" t="s">
        <v>216</v>
      </c>
      <c r="EK164" s="250" t="s">
        <v>215</v>
      </c>
      <c r="EL164" s="250" t="s">
        <v>215</v>
      </c>
      <c r="EM164" s="250" t="s">
        <v>217</v>
      </c>
      <c r="EN164" s="251" t="s">
        <v>214</v>
      </c>
      <c r="EO164" s="251" t="s">
        <v>214</v>
      </c>
      <c r="EP164" s="251" t="s">
        <v>214</v>
      </c>
      <c r="EQ164" s="251" t="s">
        <v>214</v>
      </c>
      <c r="ER164" s="250"/>
      <c r="ES164" s="250"/>
      <c r="ET164" s="140" t="s">
        <v>218</v>
      </c>
      <c r="EU164" s="250" t="s">
        <v>219</v>
      </c>
      <c r="EV164" s="250" t="s">
        <v>213</v>
      </c>
      <c r="EW164" s="140" t="s">
        <v>166</v>
      </c>
      <c r="EX164" s="140" t="s">
        <v>166</v>
      </c>
      <c r="EY164" s="140" t="s">
        <v>166</v>
      </c>
      <c r="EZ164" s="140" t="s">
        <v>166</v>
      </c>
      <c r="FA164" s="205">
        <v>5.5</v>
      </c>
      <c r="FB164" s="140" t="s">
        <v>220</v>
      </c>
      <c r="FC164" s="205">
        <v>1</v>
      </c>
      <c r="FD164" s="205">
        <v>1</v>
      </c>
      <c r="FE164" s="252">
        <v>7.6241690834857598</v>
      </c>
      <c r="FF164" s="140" t="s">
        <v>221</v>
      </c>
      <c r="FG164" s="252">
        <v>4.8079225589090058E-2</v>
      </c>
      <c r="FH164" s="252">
        <v>4.7034395613950508E-2</v>
      </c>
      <c r="FI164" s="201">
        <v>1336.6309073974701</v>
      </c>
      <c r="FK164" s="140" t="s">
        <v>166</v>
      </c>
      <c r="FL164" s="217">
        <f t="shared" si="157"/>
        <v>1336.6309073974701</v>
      </c>
      <c r="FM164" s="201">
        <v>439.10500223716008</v>
      </c>
      <c r="FN164" s="201">
        <v>303.17831693492008</v>
      </c>
      <c r="FO164" s="140" t="s">
        <v>222</v>
      </c>
      <c r="FP164" s="140" t="s">
        <v>223</v>
      </c>
      <c r="FQ164" s="217" t="s">
        <v>166</v>
      </c>
      <c r="FR164" s="217" t="s">
        <v>166</v>
      </c>
      <c r="FS164" s="217" t="s">
        <v>166</v>
      </c>
      <c r="FT164" s="217" t="s">
        <v>166</v>
      </c>
      <c r="FU164" s="217" t="s">
        <v>166</v>
      </c>
      <c r="FV164" s="217" t="s">
        <v>166</v>
      </c>
      <c r="FW164" s="217" t="s">
        <v>166</v>
      </c>
      <c r="FX164" s="217" t="s">
        <v>166</v>
      </c>
      <c r="FY164" s="217" t="s">
        <v>166</v>
      </c>
      <c r="FZ164" s="217" t="s">
        <v>166</v>
      </c>
      <c r="GA164" s="217" t="s">
        <v>166</v>
      </c>
      <c r="GB164" s="217" t="s">
        <v>166</v>
      </c>
      <c r="GC164" s="202" t="s">
        <v>507</v>
      </c>
    </row>
    <row r="165" spans="1:192" s="140" customFormat="1" ht="17">
      <c r="A165" s="140" t="s">
        <v>162</v>
      </c>
      <c r="B165" s="143" t="s">
        <v>163</v>
      </c>
      <c r="C165" s="140" t="s">
        <v>164</v>
      </c>
      <c r="D165" s="140" t="s">
        <v>165</v>
      </c>
      <c r="E165" s="140">
        <v>2020</v>
      </c>
      <c r="F165" s="140" t="s">
        <v>184</v>
      </c>
      <c r="G165" s="240">
        <v>55422.562562730513</v>
      </c>
      <c r="H165" s="241">
        <f t="shared" ref="H165" si="169">0.0083*G165^(0.9482)</f>
        <v>261.24123529449128</v>
      </c>
      <c r="I165" s="241">
        <f t="shared" si="168"/>
        <v>261.24123529449128</v>
      </c>
      <c r="J165" s="201">
        <v>1341.3410702163601</v>
      </c>
      <c r="K165" s="201">
        <v>387.53533863404982</v>
      </c>
      <c r="L165" s="201">
        <v>274.21915393492009</v>
      </c>
      <c r="M165" s="140" t="b">
        <v>1</v>
      </c>
      <c r="N165" s="140">
        <v>1</v>
      </c>
      <c r="O165" s="302" t="s">
        <v>581</v>
      </c>
      <c r="P165" s="140" t="s">
        <v>166</v>
      </c>
      <c r="Q165" s="140" t="s">
        <v>166</v>
      </c>
      <c r="R165" s="140" t="s">
        <v>166</v>
      </c>
      <c r="S165" s="140" t="b">
        <v>1</v>
      </c>
      <c r="T165" s="140" t="b">
        <v>0</v>
      </c>
      <c r="U165" s="140" t="s">
        <v>166</v>
      </c>
      <c r="V165" s="140" t="b">
        <v>0</v>
      </c>
      <c r="W165" s="140" t="b">
        <v>0</v>
      </c>
      <c r="X165" s="140" t="s">
        <v>580</v>
      </c>
      <c r="Y165" s="202" t="s">
        <v>186</v>
      </c>
      <c r="Z165" s="140" t="s">
        <v>184</v>
      </c>
      <c r="AA165" s="242">
        <v>401</v>
      </c>
      <c r="AB165" s="140" t="s">
        <v>166</v>
      </c>
      <c r="AC165" s="140">
        <v>14</v>
      </c>
      <c r="AD165" s="140">
        <v>1</v>
      </c>
      <c r="AE165" s="140">
        <v>30</v>
      </c>
      <c r="AF165" s="140">
        <v>32</v>
      </c>
      <c r="AG165" s="140" t="s">
        <v>166</v>
      </c>
      <c r="AH165" s="243">
        <v>198.81</v>
      </c>
      <c r="AI165" s="140" t="s">
        <v>498</v>
      </c>
      <c r="AJ165" s="140" t="s">
        <v>499</v>
      </c>
      <c r="AK165" s="210">
        <v>47.427500000000002</v>
      </c>
      <c r="AL165" s="210">
        <v>-8.8102999999999998</v>
      </c>
      <c r="AM165" s="244">
        <v>42</v>
      </c>
      <c r="AN165" s="244">
        <v>21</v>
      </c>
      <c r="AO165" s="244">
        <v>-2495</v>
      </c>
      <c r="AP165" s="140">
        <v>-2000</v>
      </c>
      <c r="AQ165" s="140" t="s">
        <v>500</v>
      </c>
      <c r="AR165" s="140" t="s">
        <v>166</v>
      </c>
      <c r="AS165" s="240">
        <v>55.422562562730512</v>
      </c>
      <c r="AT165" s="140" t="s">
        <v>166</v>
      </c>
      <c r="AU165" s="140" t="s">
        <v>166</v>
      </c>
      <c r="AV165" s="140" t="s">
        <v>166</v>
      </c>
      <c r="AW165" s="140" t="s">
        <v>166</v>
      </c>
      <c r="AX165" s="140" t="s">
        <v>501</v>
      </c>
      <c r="AY165" s="140" t="s">
        <v>502</v>
      </c>
      <c r="AZ165" s="215">
        <v>55.400786193015968</v>
      </c>
      <c r="BA165" s="140" t="s">
        <v>166</v>
      </c>
      <c r="BB165" s="140" t="s">
        <v>166</v>
      </c>
      <c r="BC165" s="140" t="s">
        <v>166</v>
      </c>
      <c r="BD165" s="140" t="s">
        <v>166</v>
      </c>
      <c r="BE165" s="140" t="s">
        <v>503</v>
      </c>
      <c r="BF165" s="140" t="s">
        <v>504</v>
      </c>
      <c r="BG165" s="245" t="s">
        <v>505</v>
      </c>
      <c r="BH165" s="207" t="s">
        <v>192</v>
      </c>
      <c r="BI165" s="140" t="s">
        <v>166</v>
      </c>
      <c r="BJ165" s="140" t="s">
        <v>506</v>
      </c>
      <c r="BK165" s="140" t="s">
        <v>226</v>
      </c>
      <c r="BL165" s="140" t="s">
        <v>194</v>
      </c>
      <c r="BM165" s="140" t="s">
        <v>195</v>
      </c>
      <c r="BN165" s="140" t="s">
        <v>466</v>
      </c>
      <c r="BO165" s="140" t="s">
        <v>166</v>
      </c>
      <c r="BP165" s="140" t="s">
        <v>166</v>
      </c>
      <c r="BQ165" s="246">
        <v>14.141170824815696</v>
      </c>
      <c r="BR165" s="140" t="s">
        <v>196</v>
      </c>
      <c r="BS165" s="246">
        <v>0.29077303503453966</v>
      </c>
      <c r="BT165" s="140">
        <v>1</v>
      </c>
      <c r="BU165" s="140" t="s">
        <v>197</v>
      </c>
      <c r="BV165" s="140" t="s">
        <v>166</v>
      </c>
      <c r="BW165" s="140">
        <v>0</v>
      </c>
      <c r="BX165" s="140" t="s">
        <v>197</v>
      </c>
      <c r="BY165" s="140" t="s">
        <v>166</v>
      </c>
      <c r="BZ165" s="140" t="s">
        <v>197</v>
      </c>
      <c r="CA165" s="140" t="s">
        <v>166</v>
      </c>
      <c r="CB165" s="210">
        <f t="shared" si="165"/>
        <v>14.141170824815696</v>
      </c>
      <c r="CC165" s="140" t="s">
        <v>196</v>
      </c>
      <c r="CD165" s="210">
        <f t="shared" si="166"/>
        <v>0.29077303503453966</v>
      </c>
      <c r="CE165" s="140" t="s">
        <v>199</v>
      </c>
      <c r="CF165" s="140" t="s">
        <v>166</v>
      </c>
      <c r="CG165" s="140" t="s">
        <v>474</v>
      </c>
      <c r="CH165" s="140" t="s">
        <v>166</v>
      </c>
      <c r="CI165" s="140" t="s">
        <v>166</v>
      </c>
      <c r="CJ165" s="247">
        <v>32.962730617393348</v>
      </c>
      <c r="CK165" s="140" t="s">
        <v>201</v>
      </c>
      <c r="CL165" s="140">
        <v>2</v>
      </c>
      <c r="CM165" s="140">
        <v>2</v>
      </c>
      <c r="CN165" s="140" t="s">
        <v>166</v>
      </c>
      <c r="CO165" s="248">
        <v>3.4869651880017112</v>
      </c>
      <c r="CP165" s="140" t="s">
        <v>166</v>
      </c>
      <c r="CQ165" s="140" t="s">
        <v>166</v>
      </c>
      <c r="CR165" s="140" t="s">
        <v>166</v>
      </c>
      <c r="CS165" s="249" t="s">
        <v>202</v>
      </c>
      <c r="CT165" s="140" t="s">
        <v>203</v>
      </c>
      <c r="CU165" s="140">
        <v>2.2000000000000002</v>
      </c>
      <c r="CV165" s="140" t="s">
        <v>204</v>
      </c>
      <c r="CW165" s="140" t="s">
        <v>166</v>
      </c>
      <c r="CX165" s="140" t="s">
        <v>166</v>
      </c>
      <c r="CY165" s="140" t="s">
        <v>166</v>
      </c>
      <c r="CZ165" s="140" t="s">
        <v>166</v>
      </c>
      <c r="DA165" s="209" t="s">
        <v>166</v>
      </c>
      <c r="DB165" s="140" t="s">
        <v>166</v>
      </c>
      <c r="DC165" s="140" t="s">
        <v>166</v>
      </c>
      <c r="DD165" s="140" t="s">
        <v>166</v>
      </c>
      <c r="DE165" s="140" t="s">
        <v>166</v>
      </c>
      <c r="DF165" s="140" t="s">
        <v>205</v>
      </c>
      <c r="DG165" s="250">
        <v>35</v>
      </c>
      <c r="DH165" s="250" t="s">
        <v>201</v>
      </c>
      <c r="DI165" s="250">
        <v>1</v>
      </c>
      <c r="DJ165" s="250" t="s">
        <v>206</v>
      </c>
      <c r="DK165" s="250">
        <v>17</v>
      </c>
      <c r="DL165" s="140" t="s">
        <v>166</v>
      </c>
      <c r="DM165" s="140" t="s">
        <v>166</v>
      </c>
      <c r="DN165" s="250" t="s">
        <v>207</v>
      </c>
      <c r="DO165" s="250">
        <v>38</v>
      </c>
      <c r="DP165" s="250" t="s">
        <v>208</v>
      </c>
      <c r="DQ165" s="250">
        <v>3</v>
      </c>
      <c r="DR165" s="250" t="s">
        <v>209</v>
      </c>
      <c r="DS165" s="140" t="s">
        <v>166</v>
      </c>
      <c r="DT165" s="140" t="s">
        <v>166</v>
      </c>
      <c r="DU165" s="140" t="s">
        <v>166</v>
      </c>
      <c r="DV165" s="140" t="s">
        <v>166</v>
      </c>
      <c r="DW165" s="250">
        <v>432.6</v>
      </c>
      <c r="DX165" s="140" t="s">
        <v>166</v>
      </c>
      <c r="DY165" s="140" t="s">
        <v>166</v>
      </c>
      <c r="DZ165" s="140" t="s">
        <v>210</v>
      </c>
      <c r="EA165" s="140" t="s">
        <v>211</v>
      </c>
      <c r="EB165" s="140" t="s">
        <v>212</v>
      </c>
      <c r="EC165" s="140" t="s">
        <v>166</v>
      </c>
      <c r="ED165" s="140" t="s">
        <v>213</v>
      </c>
      <c r="EE165" s="213" t="s">
        <v>214</v>
      </c>
      <c r="EF165" s="213" t="s">
        <v>214</v>
      </c>
      <c r="EG165" s="250">
        <v>1.0271999999999999</v>
      </c>
      <c r="EH165" s="250" t="s">
        <v>215</v>
      </c>
      <c r="EI165" s="250" t="s">
        <v>215</v>
      </c>
      <c r="EJ165" s="250" t="s">
        <v>216</v>
      </c>
      <c r="EK165" s="250" t="s">
        <v>215</v>
      </c>
      <c r="EL165" s="250" t="s">
        <v>215</v>
      </c>
      <c r="EM165" s="250" t="s">
        <v>217</v>
      </c>
      <c r="EN165" s="251" t="s">
        <v>214</v>
      </c>
      <c r="EO165" s="251" t="s">
        <v>214</v>
      </c>
      <c r="EP165" s="251" t="s">
        <v>214</v>
      </c>
      <c r="EQ165" s="251" t="s">
        <v>214</v>
      </c>
      <c r="ER165" s="250"/>
      <c r="ES165" s="250"/>
      <c r="ET165" s="140" t="s">
        <v>218</v>
      </c>
      <c r="EU165" s="250" t="s">
        <v>219</v>
      </c>
      <c r="EV165" s="250" t="s">
        <v>213</v>
      </c>
      <c r="EW165" s="140" t="s">
        <v>166</v>
      </c>
      <c r="EX165" s="140" t="s">
        <v>166</v>
      </c>
      <c r="EY165" s="140" t="s">
        <v>166</v>
      </c>
      <c r="EZ165" s="140" t="s">
        <v>166</v>
      </c>
      <c r="FA165" s="205">
        <v>5.5</v>
      </c>
      <c r="FB165" s="140" t="s">
        <v>220</v>
      </c>
      <c r="FC165" s="205">
        <v>1</v>
      </c>
      <c r="FD165" s="205">
        <v>1</v>
      </c>
      <c r="FE165" s="252">
        <v>7.6276390015302002</v>
      </c>
      <c r="FF165" s="140" t="s">
        <v>221</v>
      </c>
      <c r="FG165" s="252">
        <v>4.9252064563080289E-2</v>
      </c>
      <c r="FH165" s="252">
        <v>4.3027002453219332E-2</v>
      </c>
      <c r="FI165" s="201">
        <v>1341.3410702163601</v>
      </c>
      <c r="FK165" s="140" t="s">
        <v>166</v>
      </c>
      <c r="FL165" s="217">
        <f t="shared" si="157"/>
        <v>1341.3410702163601</v>
      </c>
      <c r="FM165" s="201">
        <v>387.53533863404982</v>
      </c>
      <c r="FN165" s="201">
        <v>274.21915393492009</v>
      </c>
      <c r="FO165" s="140" t="s">
        <v>222</v>
      </c>
      <c r="FP165" s="140" t="s">
        <v>223</v>
      </c>
      <c r="FQ165" s="217" t="s">
        <v>166</v>
      </c>
      <c r="FR165" s="217" t="s">
        <v>166</v>
      </c>
      <c r="FS165" s="217" t="s">
        <v>166</v>
      </c>
      <c r="FT165" s="217" t="s">
        <v>166</v>
      </c>
      <c r="FU165" s="217" t="s">
        <v>166</v>
      </c>
      <c r="FV165" s="217" t="s">
        <v>166</v>
      </c>
      <c r="FW165" s="217" t="s">
        <v>166</v>
      </c>
      <c r="FX165" s="217" t="s">
        <v>166</v>
      </c>
      <c r="FY165" s="217" t="s">
        <v>166</v>
      </c>
      <c r="FZ165" s="217" t="s">
        <v>166</v>
      </c>
      <c r="GA165" s="217" t="s">
        <v>166</v>
      </c>
      <c r="GB165" s="217" t="s">
        <v>166</v>
      </c>
      <c r="GC165" s="202" t="s">
        <v>507</v>
      </c>
    </row>
    <row r="166" spans="1:192" s="140" customFormat="1" ht="17">
      <c r="A166" s="140" t="s">
        <v>162</v>
      </c>
      <c r="B166" s="143" t="s">
        <v>163</v>
      </c>
      <c r="C166" s="140" t="s">
        <v>164</v>
      </c>
      <c r="D166" s="140" t="s">
        <v>165</v>
      </c>
      <c r="E166" s="140">
        <v>2020</v>
      </c>
      <c r="F166" s="140" t="s">
        <v>184</v>
      </c>
      <c r="G166" s="240">
        <v>55439.229229397177</v>
      </c>
      <c r="H166" s="241">
        <f t="shared" ref="H166" si="170">0.0083*G166^(0.9482)</f>
        <v>261.3157257182279</v>
      </c>
      <c r="I166" s="241">
        <f t="shared" ref="I166:I229" si="171">0.0083*G166^(0.9482)</f>
        <v>261.3157257182279</v>
      </c>
      <c r="J166" s="201">
        <v>1474.92645903893</v>
      </c>
      <c r="K166" s="201">
        <v>430.64675106814002</v>
      </c>
      <c r="L166" s="201">
        <v>338.24722209624019</v>
      </c>
      <c r="M166" s="140" t="b">
        <v>1</v>
      </c>
      <c r="N166" s="140">
        <v>1</v>
      </c>
      <c r="O166" s="302" t="s">
        <v>581</v>
      </c>
      <c r="P166" s="140" t="s">
        <v>166</v>
      </c>
      <c r="Q166" s="140" t="s">
        <v>166</v>
      </c>
      <c r="R166" s="140" t="s">
        <v>166</v>
      </c>
      <c r="S166" s="140" t="b">
        <v>1</v>
      </c>
      <c r="T166" s="140" t="b">
        <v>0</v>
      </c>
      <c r="U166" s="140" t="s">
        <v>166</v>
      </c>
      <c r="V166" s="140" t="b">
        <v>0</v>
      </c>
      <c r="W166" s="140" t="b">
        <v>0</v>
      </c>
      <c r="X166" s="140" t="s">
        <v>580</v>
      </c>
      <c r="Y166" s="202" t="s">
        <v>186</v>
      </c>
      <c r="Z166" s="140" t="s">
        <v>184</v>
      </c>
      <c r="AA166" s="242">
        <v>401</v>
      </c>
      <c r="AB166" s="140" t="s">
        <v>166</v>
      </c>
      <c r="AC166" s="140">
        <v>14</v>
      </c>
      <c r="AD166" s="140">
        <v>1</v>
      </c>
      <c r="AE166" s="140">
        <v>45</v>
      </c>
      <c r="AF166" s="140">
        <v>47</v>
      </c>
      <c r="AG166" s="140" t="s">
        <v>166</v>
      </c>
      <c r="AH166" s="243">
        <v>198.96</v>
      </c>
      <c r="AI166" s="140" t="s">
        <v>498</v>
      </c>
      <c r="AJ166" s="140" t="s">
        <v>499</v>
      </c>
      <c r="AK166" s="210">
        <v>47.427500000000002</v>
      </c>
      <c r="AL166" s="210">
        <v>-8.8102999999999998</v>
      </c>
      <c r="AM166" s="244">
        <v>42</v>
      </c>
      <c r="AN166" s="244">
        <v>21</v>
      </c>
      <c r="AO166" s="244">
        <v>-2495</v>
      </c>
      <c r="AP166" s="140">
        <v>-2000</v>
      </c>
      <c r="AQ166" s="140" t="s">
        <v>500</v>
      </c>
      <c r="AR166" s="140" t="s">
        <v>166</v>
      </c>
      <c r="AS166" s="240">
        <v>55.439229229397178</v>
      </c>
      <c r="AT166" s="140" t="s">
        <v>166</v>
      </c>
      <c r="AU166" s="140" t="s">
        <v>166</v>
      </c>
      <c r="AV166" s="140" t="s">
        <v>166</v>
      </c>
      <c r="AW166" s="140" t="s">
        <v>166</v>
      </c>
      <c r="AX166" s="140" t="s">
        <v>501</v>
      </c>
      <c r="AY166" s="140" t="s">
        <v>502</v>
      </c>
      <c r="AZ166" s="215">
        <v>55.420447830612552</v>
      </c>
      <c r="BA166" s="140" t="s">
        <v>166</v>
      </c>
      <c r="BB166" s="140" t="s">
        <v>166</v>
      </c>
      <c r="BC166" s="140" t="s">
        <v>166</v>
      </c>
      <c r="BD166" s="140" t="s">
        <v>166</v>
      </c>
      <c r="BE166" s="140" t="s">
        <v>503</v>
      </c>
      <c r="BF166" s="140" t="s">
        <v>504</v>
      </c>
      <c r="BG166" s="245" t="s">
        <v>505</v>
      </c>
      <c r="BH166" s="207" t="s">
        <v>192</v>
      </c>
      <c r="BI166" s="140" t="s">
        <v>166</v>
      </c>
      <c r="BJ166" s="140" t="s">
        <v>506</v>
      </c>
      <c r="BK166" s="140" t="s">
        <v>226</v>
      </c>
      <c r="BL166" s="140" t="s">
        <v>194</v>
      </c>
      <c r="BM166" s="140" t="s">
        <v>195</v>
      </c>
      <c r="BN166" s="140" t="s">
        <v>466</v>
      </c>
      <c r="BO166" s="140" t="s">
        <v>166</v>
      </c>
      <c r="BP166" s="140" t="s">
        <v>166</v>
      </c>
      <c r="BQ166" s="246">
        <v>14.002284743068749</v>
      </c>
      <c r="BR166" s="140" t="s">
        <v>196</v>
      </c>
      <c r="BS166" s="246">
        <v>0.33897155517306965</v>
      </c>
      <c r="BT166" s="140">
        <v>1</v>
      </c>
      <c r="BU166" s="140" t="s">
        <v>197</v>
      </c>
      <c r="BV166" s="140" t="s">
        <v>166</v>
      </c>
      <c r="BW166" s="140">
        <v>0</v>
      </c>
      <c r="BX166" s="140" t="s">
        <v>197</v>
      </c>
      <c r="BY166" s="140" t="s">
        <v>166</v>
      </c>
      <c r="BZ166" s="140" t="s">
        <v>197</v>
      </c>
      <c r="CA166" s="140" t="s">
        <v>166</v>
      </c>
      <c r="CB166" s="210">
        <f t="shared" si="165"/>
        <v>14.002284743068749</v>
      </c>
      <c r="CC166" s="140" t="s">
        <v>196</v>
      </c>
      <c r="CD166" s="210">
        <f t="shared" si="166"/>
        <v>0.33897155517306965</v>
      </c>
      <c r="CE166" s="140" t="s">
        <v>199</v>
      </c>
      <c r="CF166" s="140" t="s">
        <v>166</v>
      </c>
      <c r="CG166" s="140" t="s">
        <v>474</v>
      </c>
      <c r="CH166" s="140" t="s">
        <v>166</v>
      </c>
      <c r="CI166" s="140" t="s">
        <v>166</v>
      </c>
      <c r="CJ166" s="247">
        <v>32.042432641918424</v>
      </c>
      <c r="CK166" s="140" t="s">
        <v>201</v>
      </c>
      <c r="CL166" s="140">
        <v>2</v>
      </c>
      <c r="CM166" s="140">
        <v>2</v>
      </c>
      <c r="CN166" s="140" t="s">
        <v>166</v>
      </c>
      <c r="CO166" s="248">
        <v>3.3107015288651311</v>
      </c>
      <c r="CP166" s="140" t="s">
        <v>166</v>
      </c>
      <c r="CQ166" s="140" t="s">
        <v>166</v>
      </c>
      <c r="CR166" s="140" t="s">
        <v>166</v>
      </c>
      <c r="CS166" s="249" t="s">
        <v>202</v>
      </c>
      <c r="CT166" s="140" t="s">
        <v>203</v>
      </c>
      <c r="CU166" s="140">
        <v>2.2000000000000002</v>
      </c>
      <c r="CV166" s="140" t="s">
        <v>204</v>
      </c>
      <c r="CW166" s="140" t="s">
        <v>166</v>
      </c>
      <c r="CX166" s="140" t="s">
        <v>166</v>
      </c>
      <c r="CY166" s="140" t="s">
        <v>166</v>
      </c>
      <c r="CZ166" s="140" t="s">
        <v>166</v>
      </c>
      <c r="DA166" s="209" t="s">
        <v>166</v>
      </c>
      <c r="DB166" s="140" t="s">
        <v>166</v>
      </c>
      <c r="DC166" s="140" t="s">
        <v>166</v>
      </c>
      <c r="DD166" s="140" t="s">
        <v>166</v>
      </c>
      <c r="DE166" s="140" t="s">
        <v>166</v>
      </c>
      <c r="DF166" s="140" t="s">
        <v>205</v>
      </c>
      <c r="DG166" s="250">
        <v>35</v>
      </c>
      <c r="DH166" s="250" t="s">
        <v>201</v>
      </c>
      <c r="DI166" s="250">
        <v>1</v>
      </c>
      <c r="DJ166" s="250" t="s">
        <v>206</v>
      </c>
      <c r="DK166" s="250">
        <v>17</v>
      </c>
      <c r="DL166" s="140" t="s">
        <v>166</v>
      </c>
      <c r="DM166" s="140" t="s">
        <v>166</v>
      </c>
      <c r="DN166" s="250" t="s">
        <v>207</v>
      </c>
      <c r="DO166" s="250">
        <v>38</v>
      </c>
      <c r="DP166" s="250" t="s">
        <v>208</v>
      </c>
      <c r="DQ166" s="250">
        <v>3</v>
      </c>
      <c r="DR166" s="250" t="s">
        <v>209</v>
      </c>
      <c r="DS166" s="140" t="s">
        <v>166</v>
      </c>
      <c r="DT166" s="140" t="s">
        <v>166</v>
      </c>
      <c r="DU166" s="140" t="s">
        <v>166</v>
      </c>
      <c r="DV166" s="140" t="s">
        <v>166</v>
      </c>
      <c r="DW166" s="250">
        <v>432.6</v>
      </c>
      <c r="DX166" s="140" t="s">
        <v>166</v>
      </c>
      <c r="DY166" s="140" t="s">
        <v>166</v>
      </c>
      <c r="DZ166" s="140" t="s">
        <v>210</v>
      </c>
      <c r="EA166" s="140" t="s">
        <v>211</v>
      </c>
      <c r="EB166" s="140" t="s">
        <v>212</v>
      </c>
      <c r="EC166" s="140" t="s">
        <v>166</v>
      </c>
      <c r="ED166" s="140" t="s">
        <v>213</v>
      </c>
      <c r="EE166" s="213" t="s">
        <v>214</v>
      </c>
      <c r="EF166" s="213" t="s">
        <v>214</v>
      </c>
      <c r="EG166" s="250">
        <v>1.0271999999999999</v>
      </c>
      <c r="EH166" s="250" t="s">
        <v>215</v>
      </c>
      <c r="EI166" s="250" t="s">
        <v>215</v>
      </c>
      <c r="EJ166" s="250" t="s">
        <v>216</v>
      </c>
      <c r="EK166" s="250" t="s">
        <v>215</v>
      </c>
      <c r="EL166" s="250" t="s">
        <v>215</v>
      </c>
      <c r="EM166" s="250" t="s">
        <v>217</v>
      </c>
      <c r="EN166" s="251" t="s">
        <v>214</v>
      </c>
      <c r="EO166" s="251" t="s">
        <v>214</v>
      </c>
      <c r="EP166" s="251" t="s">
        <v>214</v>
      </c>
      <c r="EQ166" s="251" t="s">
        <v>214</v>
      </c>
      <c r="ER166" s="250"/>
      <c r="ES166" s="250"/>
      <c r="ET166" s="140" t="s">
        <v>218</v>
      </c>
      <c r="EU166" s="250" t="s">
        <v>219</v>
      </c>
      <c r="EV166" s="250" t="s">
        <v>213</v>
      </c>
      <c r="EW166" s="140" t="s">
        <v>166</v>
      </c>
      <c r="EX166" s="140" t="s">
        <v>166</v>
      </c>
      <c r="EY166" s="140" t="s">
        <v>166</v>
      </c>
      <c r="EZ166" s="140" t="s">
        <v>166</v>
      </c>
      <c r="FA166" s="205">
        <v>5.5</v>
      </c>
      <c r="FB166" s="140" t="s">
        <v>220</v>
      </c>
      <c r="FC166" s="205">
        <v>1</v>
      </c>
      <c r="FD166" s="205">
        <v>1</v>
      </c>
      <c r="FE166" s="252">
        <v>7.6157982058356204</v>
      </c>
      <c r="FF166" s="140" t="s">
        <v>221</v>
      </c>
      <c r="FG166" s="252">
        <v>5.215329961826054E-2</v>
      </c>
      <c r="FH166" s="252">
        <v>4.6655055557799585E-2</v>
      </c>
      <c r="FI166" s="201">
        <v>1474.92645903893</v>
      </c>
      <c r="FK166" s="140" t="s">
        <v>166</v>
      </c>
      <c r="FL166" s="217">
        <f t="shared" si="157"/>
        <v>1474.92645903893</v>
      </c>
      <c r="FM166" s="201">
        <v>430.64675106814002</v>
      </c>
      <c r="FN166" s="201">
        <v>338.24722209624019</v>
      </c>
      <c r="FO166" s="140" t="s">
        <v>222</v>
      </c>
      <c r="FP166" s="140" t="s">
        <v>223</v>
      </c>
      <c r="FQ166" s="217" t="s">
        <v>166</v>
      </c>
      <c r="FR166" s="217" t="s">
        <v>166</v>
      </c>
      <c r="FS166" s="217" t="s">
        <v>166</v>
      </c>
      <c r="FT166" s="217" t="s">
        <v>166</v>
      </c>
      <c r="FU166" s="217" t="s">
        <v>166</v>
      </c>
      <c r="FV166" s="217" t="s">
        <v>166</v>
      </c>
      <c r="FW166" s="217" t="s">
        <v>166</v>
      </c>
      <c r="FX166" s="217" t="s">
        <v>166</v>
      </c>
      <c r="FY166" s="217" t="s">
        <v>166</v>
      </c>
      <c r="FZ166" s="217" t="s">
        <v>166</v>
      </c>
      <c r="GA166" s="217" t="s">
        <v>166</v>
      </c>
      <c r="GB166" s="217" t="s">
        <v>166</v>
      </c>
      <c r="GC166" s="202" t="s">
        <v>507</v>
      </c>
    </row>
    <row r="167" spans="1:192" s="140" customFormat="1" ht="17">
      <c r="A167" s="140" t="s">
        <v>162</v>
      </c>
      <c r="B167" s="143" t="s">
        <v>163</v>
      </c>
      <c r="C167" s="140" t="s">
        <v>164</v>
      </c>
      <c r="D167" s="140" t="s">
        <v>165</v>
      </c>
      <c r="E167" s="140">
        <v>2020</v>
      </c>
      <c r="F167" s="140" t="s">
        <v>184</v>
      </c>
      <c r="G167" s="240">
        <v>55490.340340508286</v>
      </c>
      <c r="H167" s="241">
        <f t="shared" ref="H167" si="172">0.0083*G167^(0.9482)</f>
        <v>261.54415578601117</v>
      </c>
      <c r="I167" s="241">
        <f t="shared" si="171"/>
        <v>261.54415578601117</v>
      </c>
      <c r="J167" s="201">
        <v>1156.2379781802799</v>
      </c>
      <c r="K167" s="201">
        <v>363.27010047942008</v>
      </c>
      <c r="L167" s="201">
        <v>245.70635142360993</v>
      </c>
      <c r="M167" s="140" t="b">
        <v>1</v>
      </c>
      <c r="N167" s="140">
        <v>1</v>
      </c>
      <c r="O167" s="302" t="s">
        <v>581</v>
      </c>
      <c r="P167" s="140" t="s">
        <v>166</v>
      </c>
      <c r="Q167" s="140" t="s">
        <v>166</v>
      </c>
      <c r="R167" s="140" t="s">
        <v>166</v>
      </c>
      <c r="S167" s="140" t="b">
        <v>1</v>
      </c>
      <c r="T167" s="140" t="b">
        <v>0</v>
      </c>
      <c r="U167" s="140" t="s">
        <v>166</v>
      </c>
      <c r="V167" s="140" t="b">
        <v>0</v>
      </c>
      <c r="W167" s="140" t="b">
        <v>0</v>
      </c>
      <c r="X167" s="140" t="s">
        <v>580</v>
      </c>
      <c r="Y167" s="202" t="s">
        <v>186</v>
      </c>
      <c r="Z167" s="140" t="s">
        <v>184</v>
      </c>
      <c r="AA167" s="242">
        <v>401</v>
      </c>
      <c r="AB167" s="140" t="s">
        <v>166</v>
      </c>
      <c r="AC167" s="140">
        <v>14</v>
      </c>
      <c r="AD167" s="140">
        <v>1</v>
      </c>
      <c r="AE167" s="140">
        <v>91</v>
      </c>
      <c r="AF167" s="140">
        <f>AE167+2</f>
        <v>93</v>
      </c>
      <c r="AG167" s="140" t="s">
        <v>166</v>
      </c>
      <c r="AH167" s="243">
        <v>199.42</v>
      </c>
      <c r="AI167" s="140" t="s">
        <v>498</v>
      </c>
      <c r="AJ167" s="140" t="s">
        <v>499</v>
      </c>
      <c r="AK167" s="210">
        <v>47.427500000000002</v>
      </c>
      <c r="AL167" s="210">
        <v>-8.8102999999999998</v>
      </c>
      <c r="AM167" s="244">
        <v>42</v>
      </c>
      <c r="AN167" s="244">
        <v>21</v>
      </c>
      <c r="AO167" s="244">
        <v>-2495</v>
      </c>
      <c r="AP167" s="140">
        <v>-2000</v>
      </c>
      <c r="AQ167" s="140" t="s">
        <v>500</v>
      </c>
      <c r="AR167" s="140" t="s">
        <v>166</v>
      </c>
      <c r="AS167" s="240">
        <v>55.49034034050829</v>
      </c>
      <c r="AT167" s="140" t="s">
        <v>166</v>
      </c>
      <c r="AU167" s="140" t="s">
        <v>166</v>
      </c>
      <c r="AV167" s="140" t="s">
        <v>166</v>
      </c>
      <c r="AW167" s="140" t="s">
        <v>166</v>
      </c>
      <c r="AX167" s="140" t="s">
        <v>501</v>
      </c>
      <c r="AY167" s="140" t="s">
        <v>502</v>
      </c>
      <c r="AZ167" s="215">
        <v>55.48074351924209</v>
      </c>
      <c r="BA167" s="140" t="s">
        <v>166</v>
      </c>
      <c r="BB167" s="140" t="s">
        <v>166</v>
      </c>
      <c r="BC167" s="140" t="s">
        <v>166</v>
      </c>
      <c r="BD167" s="140" t="s">
        <v>166</v>
      </c>
      <c r="BE167" s="140" t="s">
        <v>503</v>
      </c>
      <c r="BF167" s="140" t="s">
        <v>504</v>
      </c>
      <c r="BG167" s="245" t="s">
        <v>505</v>
      </c>
      <c r="BH167" s="207" t="s">
        <v>192</v>
      </c>
      <c r="BI167" s="140" t="s">
        <v>166</v>
      </c>
      <c r="BJ167" s="140" t="s">
        <v>506</v>
      </c>
      <c r="BK167" s="140" t="s">
        <v>226</v>
      </c>
      <c r="BL167" s="140" t="s">
        <v>194</v>
      </c>
      <c r="BM167" s="140" t="s">
        <v>195</v>
      </c>
      <c r="BN167" s="140" t="s">
        <v>466</v>
      </c>
      <c r="BO167" s="140" t="s">
        <v>166</v>
      </c>
      <c r="BP167" s="140" t="s">
        <v>166</v>
      </c>
      <c r="BQ167" s="246">
        <v>14.375715315090298</v>
      </c>
      <c r="BR167" s="140" t="s">
        <v>196</v>
      </c>
      <c r="BS167" s="246">
        <v>0.33611178327099323</v>
      </c>
      <c r="BT167" s="140">
        <v>1</v>
      </c>
      <c r="BU167" s="140" t="s">
        <v>197</v>
      </c>
      <c r="BV167" s="140" t="s">
        <v>166</v>
      </c>
      <c r="BW167" s="140">
        <v>0</v>
      </c>
      <c r="BX167" s="140" t="s">
        <v>197</v>
      </c>
      <c r="BY167" s="140" t="s">
        <v>166</v>
      </c>
      <c r="BZ167" s="140" t="s">
        <v>197</v>
      </c>
      <c r="CA167" s="140" t="s">
        <v>166</v>
      </c>
      <c r="CB167" s="210">
        <f t="shared" si="165"/>
        <v>14.375715315090298</v>
      </c>
      <c r="CC167" s="140" t="s">
        <v>196</v>
      </c>
      <c r="CD167" s="210">
        <f t="shared" si="166"/>
        <v>0.33611178327099323</v>
      </c>
      <c r="CE167" s="140" t="s">
        <v>199</v>
      </c>
      <c r="CF167" s="140" t="s">
        <v>166</v>
      </c>
      <c r="CG167" s="140" t="s">
        <v>474</v>
      </c>
      <c r="CH167" s="140" t="s">
        <v>166</v>
      </c>
      <c r="CI167" s="140" t="s">
        <v>166</v>
      </c>
      <c r="CJ167" s="247">
        <v>33.416303454500927</v>
      </c>
      <c r="CK167" s="140" t="s">
        <v>201</v>
      </c>
      <c r="CL167" s="140">
        <v>2</v>
      </c>
      <c r="CM167" s="140">
        <v>2</v>
      </c>
      <c r="CN167" s="140" t="s">
        <v>166</v>
      </c>
      <c r="CO167" s="248">
        <v>3.5772593540323427</v>
      </c>
      <c r="CP167" s="140" t="s">
        <v>166</v>
      </c>
      <c r="CQ167" s="140" t="s">
        <v>166</v>
      </c>
      <c r="CR167" s="140" t="s">
        <v>166</v>
      </c>
      <c r="CS167" s="249" t="s">
        <v>202</v>
      </c>
      <c r="CT167" s="140" t="s">
        <v>203</v>
      </c>
      <c r="CU167" s="140">
        <v>2.2000000000000002</v>
      </c>
      <c r="CV167" s="140" t="s">
        <v>204</v>
      </c>
      <c r="CW167" s="140" t="s">
        <v>166</v>
      </c>
      <c r="CX167" s="140" t="s">
        <v>166</v>
      </c>
      <c r="CY167" s="140" t="s">
        <v>166</v>
      </c>
      <c r="CZ167" s="140" t="s">
        <v>166</v>
      </c>
      <c r="DA167" s="209" t="s">
        <v>166</v>
      </c>
      <c r="DB167" s="140" t="s">
        <v>166</v>
      </c>
      <c r="DC167" s="140" t="s">
        <v>166</v>
      </c>
      <c r="DD167" s="140" t="s">
        <v>166</v>
      </c>
      <c r="DE167" s="140" t="s">
        <v>166</v>
      </c>
      <c r="DF167" s="140" t="s">
        <v>205</v>
      </c>
      <c r="DG167" s="250">
        <v>35</v>
      </c>
      <c r="DH167" s="250" t="s">
        <v>201</v>
      </c>
      <c r="DI167" s="250">
        <v>1</v>
      </c>
      <c r="DJ167" s="250" t="s">
        <v>206</v>
      </c>
      <c r="DK167" s="250">
        <v>17</v>
      </c>
      <c r="DL167" s="140" t="s">
        <v>166</v>
      </c>
      <c r="DM167" s="140" t="s">
        <v>166</v>
      </c>
      <c r="DN167" s="250" t="s">
        <v>207</v>
      </c>
      <c r="DO167" s="250">
        <v>38</v>
      </c>
      <c r="DP167" s="250" t="s">
        <v>208</v>
      </c>
      <c r="DQ167" s="250">
        <v>3</v>
      </c>
      <c r="DR167" s="250" t="s">
        <v>209</v>
      </c>
      <c r="DS167" s="140" t="s">
        <v>166</v>
      </c>
      <c r="DT167" s="140" t="s">
        <v>166</v>
      </c>
      <c r="DU167" s="140" t="s">
        <v>166</v>
      </c>
      <c r="DV167" s="140" t="s">
        <v>166</v>
      </c>
      <c r="DW167" s="250">
        <v>432.6</v>
      </c>
      <c r="DX167" s="140" t="s">
        <v>166</v>
      </c>
      <c r="DY167" s="140" t="s">
        <v>166</v>
      </c>
      <c r="DZ167" s="140" t="s">
        <v>210</v>
      </c>
      <c r="EA167" s="140" t="s">
        <v>211</v>
      </c>
      <c r="EB167" s="140" t="s">
        <v>212</v>
      </c>
      <c r="EC167" s="140" t="s">
        <v>166</v>
      </c>
      <c r="ED167" s="140" t="s">
        <v>213</v>
      </c>
      <c r="EE167" s="213" t="s">
        <v>214</v>
      </c>
      <c r="EF167" s="213" t="s">
        <v>214</v>
      </c>
      <c r="EG167" s="250">
        <v>1.0271999999999999</v>
      </c>
      <c r="EH167" s="250" t="s">
        <v>215</v>
      </c>
      <c r="EI167" s="250" t="s">
        <v>215</v>
      </c>
      <c r="EJ167" s="250" t="s">
        <v>216</v>
      </c>
      <c r="EK167" s="250" t="s">
        <v>215</v>
      </c>
      <c r="EL167" s="250" t="s">
        <v>215</v>
      </c>
      <c r="EM167" s="250" t="s">
        <v>217</v>
      </c>
      <c r="EN167" s="251" t="s">
        <v>214</v>
      </c>
      <c r="EO167" s="251" t="s">
        <v>214</v>
      </c>
      <c r="EP167" s="251" t="s">
        <v>214</v>
      </c>
      <c r="EQ167" s="251" t="s">
        <v>214</v>
      </c>
      <c r="ER167" s="250"/>
      <c r="ES167" s="250"/>
      <c r="ET167" s="140" t="s">
        <v>218</v>
      </c>
      <c r="EU167" s="250" t="s">
        <v>219</v>
      </c>
      <c r="EV167" s="250" t="s">
        <v>213</v>
      </c>
      <c r="EW167" s="140" t="s">
        <v>166</v>
      </c>
      <c r="EX167" s="140" t="s">
        <v>166</v>
      </c>
      <c r="EY167" s="140" t="s">
        <v>166</v>
      </c>
      <c r="EZ167" s="140" t="s">
        <v>166</v>
      </c>
      <c r="FA167" s="205">
        <v>5.5</v>
      </c>
      <c r="FB167" s="140" t="s">
        <v>220</v>
      </c>
      <c r="FC167" s="205">
        <v>1</v>
      </c>
      <c r="FD167" s="205">
        <v>1</v>
      </c>
      <c r="FE167" s="252">
        <v>7.6569332606216598</v>
      </c>
      <c r="FF167" s="140" t="s">
        <v>221</v>
      </c>
      <c r="FG167" s="252">
        <v>5.1312138161780041E-2</v>
      </c>
      <c r="FH167" s="252">
        <v>4.39894746316698E-2</v>
      </c>
      <c r="FI167" s="201">
        <v>1156.2379781802799</v>
      </c>
      <c r="FK167" s="140" t="s">
        <v>166</v>
      </c>
      <c r="FL167" s="217">
        <f t="shared" si="157"/>
        <v>1156.2379781802799</v>
      </c>
      <c r="FM167" s="201">
        <v>363.27010047942008</v>
      </c>
      <c r="FN167" s="201">
        <v>245.70635142360993</v>
      </c>
      <c r="FO167" s="140" t="s">
        <v>222</v>
      </c>
      <c r="FP167" s="140" t="s">
        <v>223</v>
      </c>
      <c r="FQ167" s="217" t="s">
        <v>166</v>
      </c>
      <c r="FR167" s="217" t="s">
        <v>166</v>
      </c>
      <c r="FS167" s="217" t="s">
        <v>166</v>
      </c>
      <c r="FT167" s="217" t="s">
        <v>166</v>
      </c>
      <c r="FU167" s="217" t="s">
        <v>166</v>
      </c>
      <c r="FV167" s="217" t="s">
        <v>166</v>
      </c>
      <c r="FW167" s="217" t="s">
        <v>166</v>
      </c>
      <c r="FX167" s="217" t="s">
        <v>166</v>
      </c>
      <c r="FY167" s="217" t="s">
        <v>166</v>
      </c>
      <c r="FZ167" s="217" t="s">
        <v>166</v>
      </c>
      <c r="GA167" s="217" t="s">
        <v>166</v>
      </c>
      <c r="GB167" s="217" t="s">
        <v>166</v>
      </c>
      <c r="GC167" s="202" t="s">
        <v>507</v>
      </c>
    </row>
    <row r="168" spans="1:192" s="140" customFormat="1" ht="17">
      <c r="A168" s="140" t="s">
        <v>162</v>
      </c>
      <c r="B168" s="143" t="s">
        <v>163</v>
      </c>
      <c r="C168" s="140" t="s">
        <v>164</v>
      </c>
      <c r="D168" s="140" t="s">
        <v>165</v>
      </c>
      <c r="E168" s="140">
        <v>2020</v>
      </c>
      <c r="F168" s="140" t="s">
        <v>184</v>
      </c>
      <c r="G168" s="240">
        <v>55512.007007174958</v>
      </c>
      <c r="H168" s="241">
        <f t="shared" ref="H168" si="173">0.0083*G168^(0.9482)</f>
        <v>261.64098698137457</v>
      </c>
      <c r="I168" s="241">
        <f t="shared" si="171"/>
        <v>261.64098698137457</v>
      </c>
      <c r="J168" s="201">
        <v>1692.1018403212299</v>
      </c>
      <c r="K168" s="201">
        <v>498.95862544696024</v>
      </c>
      <c r="L168" s="201">
        <v>360.23074112982999</v>
      </c>
      <c r="M168" s="140" t="b">
        <v>1</v>
      </c>
      <c r="N168" s="140">
        <v>1</v>
      </c>
      <c r="O168" s="302" t="s">
        <v>581</v>
      </c>
      <c r="P168" s="140" t="s">
        <v>166</v>
      </c>
      <c r="Q168" s="140" t="s">
        <v>166</v>
      </c>
      <c r="R168" s="140" t="s">
        <v>166</v>
      </c>
      <c r="S168" s="140" t="b">
        <v>1</v>
      </c>
      <c r="T168" s="140" t="b">
        <v>0</v>
      </c>
      <c r="U168" s="140" t="s">
        <v>166</v>
      </c>
      <c r="V168" s="140" t="b">
        <v>0</v>
      </c>
      <c r="W168" s="140" t="b">
        <v>0</v>
      </c>
      <c r="X168" s="140" t="s">
        <v>580</v>
      </c>
      <c r="Y168" s="202" t="s">
        <v>186</v>
      </c>
      <c r="Z168" s="140" t="s">
        <v>184</v>
      </c>
      <c r="AA168" s="242">
        <v>401</v>
      </c>
      <c r="AB168" s="140" t="s">
        <v>166</v>
      </c>
      <c r="AC168" s="140">
        <v>14</v>
      </c>
      <c r="AD168" s="140">
        <v>1</v>
      </c>
      <c r="AE168" s="140">
        <v>110</v>
      </c>
      <c r="AF168" s="140">
        <v>113</v>
      </c>
      <c r="AG168" s="140" t="s">
        <v>166</v>
      </c>
      <c r="AH168" s="243">
        <v>199.61500000000001</v>
      </c>
      <c r="AI168" s="140" t="s">
        <v>498</v>
      </c>
      <c r="AJ168" s="140" t="s">
        <v>499</v>
      </c>
      <c r="AK168" s="210">
        <v>47.427500000000002</v>
      </c>
      <c r="AL168" s="210">
        <v>-8.8102999999999998</v>
      </c>
      <c r="AM168" s="244">
        <v>42</v>
      </c>
      <c r="AN168" s="244">
        <v>21</v>
      </c>
      <c r="AO168" s="244">
        <v>-2495</v>
      </c>
      <c r="AP168" s="140">
        <v>-2000</v>
      </c>
      <c r="AQ168" s="140" t="s">
        <v>500</v>
      </c>
      <c r="AR168" s="140" t="s">
        <v>166</v>
      </c>
      <c r="AS168" s="240">
        <v>55.512007007174958</v>
      </c>
      <c r="AT168" s="140" t="s">
        <v>166</v>
      </c>
      <c r="AU168" s="140" t="s">
        <v>166</v>
      </c>
      <c r="AV168" s="140" t="s">
        <v>166</v>
      </c>
      <c r="AW168" s="140" t="s">
        <v>166</v>
      </c>
      <c r="AX168" s="140" t="s">
        <v>501</v>
      </c>
      <c r="AY168" s="140" t="s">
        <v>502</v>
      </c>
      <c r="AZ168" s="215">
        <v>55.506303648117658</v>
      </c>
      <c r="BA168" s="140" t="s">
        <v>166</v>
      </c>
      <c r="BB168" s="140" t="s">
        <v>166</v>
      </c>
      <c r="BC168" s="140" t="s">
        <v>166</v>
      </c>
      <c r="BD168" s="140" t="s">
        <v>166</v>
      </c>
      <c r="BE168" s="140" t="s">
        <v>503</v>
      </c>
      <c r="BF168" s="140" t="s">
        <v>504</v>
      </c>
      <c r="BG168" s="245" t="s">
        <v>505</v>
      </c>
      <c r="BH168" s="207" t="s">
        <v>192</v>
      </c>
      <c r="BI168" s="140" t="s">
        <v>166</v>
      </c>
      <c r="BJ168" s="140" t="s">
        <v>506</v>
      </c>
      <c r="BK168" s="140" t="s">
        <v>226</v>
      </c>
      <c r="BL168" s="140" t="s">
        <v>194</v>
      </c>
      <c r="BM168" s="140" t="s">
        <v>195</v>
      </c>
      <c r="BN168" s="140" t="s">
        <v>466</v>
      </c>
      <c r="BO168" s="140" t="s">
        <v>166</v>
      </c>
      <c r="BP168" s="140" t="s">
        <v>166</v>
      </c>
      <c r="BQ168" s="246">
        <v>13.852939068856207</v>
      </c>
      <c r="BR168" s="140" t="s">
        <v>196</v>
      </c>
      <c r="BS168" s="246">
        <v>0.31332670944960112</v>
      </c>
      <c r="BT168" s="140">
        <v>1</v>
      </c>
      <c r="BU168" s="140" t="s">
        <v>197</v>
      </c>
      <c r="BV168" s="140" t="s">
        <v>166</v>
      </c>
      <c r="BW168" s="140">
        <v>0</v>
      </c>
      <c r="BX168" s="140" t="s">
        <v>197</v>
      </c>
      <c r="BY168" s="140" t="s">
        <v>166</v>
      </c>
      <c r="BZ168" s="140" t="s">
        <v>197</v>
      </c>
      <c r="CA168" s="140" t="s">
        <v>166</v>
      </c>
      <c r="CB168" s="210">
        <f t="shared" si="165"/>
        <v>13.852939068856207</v>
      </c>
      <c r="CC168" s="140" t="s">
        <v>196</v>
      </c>
      <c r="CD168" s="210">
        <f t="shared" si="166"/>
        <v>0.31332670944960112</v>
      </c>
      <c r="CE168" s="140" t="s">
        <v>199</v>
      </c>
      <c r="CF168" s="140" t="s">
        <v>166</v>
      </c>
      <c r="CG168" s="140" t="s">
        <v>474</v>
      </c>
      <c r="CH168" s="140" t="s">
        <v>166</v>
      </c>
      <c r="CI168" s="140" t="s">
        <v>166</v>
      </c>
      <c r="CJ168" s="247">
        <v>33.504153870889013</v>
      </c>
      <c r="CK168" s="140" t="s">
        <v>201</v>
      </c>
      <c r="CL168" s="140">
        <v>2</v>
      </c>
      <c r="CM168" s="140">
        <v>2</v>
      </c>
      <c r="CN168" s="140" t="s">
        <v>166</v>
      </c>
      <c r="CO168" s="248">
        <v>3.5950164412826129</v>
      </c>
      <c r="CP168" s="140" t="s">
        <v>166</v>
      </c>
      <c r="CQ168" s="140" t="s">
        <v>166</v>
      </c>
      <c r="CR168" s="140" t="s">
        <v>166</v>
      </c>
      <c r="CS168" s="249" t="s">
        <v>202</v>
      </c>
      <c r="CT168" s="140" t="s">
        <v>203</v>
      </c>
      <c r="CU168" s="140">
        <v>2.2000000000000002</v>
      </c>
      <c r="CV168" s="140" t="s">
        <v>204</v>
      </c>
      <c r="CW168" s="140" t="s">
        <v>166</v>
      </c>
      <c r="CX168" s="140" t="s">
        <v>166</v>
      </c>
      <c r="CY168" s="140" t="s">
        <v>166</v>
      </c>
      <c r="CZ168" s="140" t="s">
        <v>166</v>
      </c>
      <c r="DA168" s="209" t="s">
        <v>166</v>
      </c>
      <c r="DB168" s="140" t="s">
        <v>166</v>
      </c>
      <c r="DC168" s="140" t="s">
        <v>166</v>
      </c>
      <c r="DD168" s="140" t="s">
        <v>166</v>
      </c>
      <c r="DE168" s="140" t="s">
        <v>166</v>
      </c>
      <c r="DF168" s="140" t="s">
        <v>205</v>
      </c>
      <c r="DG168" s="250">
        <v>35</v>
      </c>
      <c r="DH168" s="250" t="s">
        <v>201</v>
      </c>
      <c r="DI168" s="250">
        <v>1</v>
      </c>
      <c r="DJ168" s="250" t="s">
        <v>206</v>
      </c>
      <c r="DK168" s="250">
        <v>17</v>
      </c>
      <c r="DL168" s="140" t="s">
        <v>166</v>
      </c>
      <c r="DM168" s="140" t="s">
        <v>166</v>
      </c>
      <c r="DN168" s="250" t="s">
        <v>207</v>
      </c>
      <c r="DO168" s="250">
        <v>38</v>
      </c>
      <c r="DP168" s="250" t="s">
        <v>208</v>
      </c>
      <c r="DQ168" s="250">
        <v>3</v>
      </c>
      <c r="DR168" s="250" t="s">
        <v>209</v>
      </c>
      <c r="DS168" s="140" t="s">
        <v>166</v>
      </c>
      <c r="DT168" s="140" t="s">
        <v>166</v>
      </c>
      <c r="DU168" s="140" t="s">
        <v>166</v>
      </c>
      <c r="DV168" s="140" t="s">
        <v>166</v>
      </c>
      <c r="DW168" s="250">
        <v>432.6</v>
      </c>
      <c r="DX168" s="140" t="s">
        <v>166</v>
      </c>
      <c r="DY168" s="140" t="s">
        <v>166</v>
      </c>
      <c r="DZ168" s="140" t="s">
        <v>210</v>
      </c>
      <c r="EA168" s="140" t="s">
        <v>211</v>
      </c>
      <c r="EB168" s="140" t="s">
        <v>212</v>
      </c>
      <c r="EC168" s="140" t="s">
        <v>166</v>
      </c>
      <c r="ED168" s="140" t="s">
        <v>213</v>
      </c>
      <c r="EE168" s="213" t="s">
        <v>214</v>
      </c>
      <c r="EF168" s="213" t="s">
        <v>214</v>
      </c>
      <c r="EG168" s="250">
        <v>1.0271999999999999</v>
      </c>
      <c r="EH168" s="250" t="s">
        <v>215</v>
      </c>
      <c r="EI168" s="250" t="s">
        <v>215</v>
      </c>
      <c r="EJ168" s="250" t="s">
        <v>216</v>
      </c>
      <c r="EK168" s="250" t="s">
        <v>215</v>
      </c>
      <c r="EL168" s="250" t="s">
        <v>215</v>
      </c>
      <c r="EM168" s="250" t="s">
        <v>217</v>
      </c>
      <c r="EN168" s="251" t="s">
        <v>214</v>
      </c>
      <c r="EO168" s="251" t="s">
        <v>214</v>
      </c>
      <c r="EP168" s="251" t="s">
        <v>214</v>
      </c>
      <c r="EQ168" s="251" t="s">
        <v>214</v>
      </c>
      <c r="ER168" s="250"/>
      <c r="ES168" s="250"/>
      <c r="ET168" s="140" t="s">
        <v>218</v>
      </c>
      <c r="EU168" s="250" t="s">
        <v>219</v>
      </c>
      <c r="EV168" s="250" t="s">
        <v>213</v>
      </c>
      <c r="EW168" s="140" t="s">
        <v>166</v>
      </c>
      <c r="EX168" s="140" t="s">
        <v>166</v>
      </c>
      <c r="EY168" s="140" t="s">
        <v>166</v>
      </c>
      <c r="EZ168" s="140" t="s">
        <v>166</v>
      </c>
      <c r="FA168" s="205">
        <v>5.5</v>
      </c>
      <c r="FB168" s="140" t="s">
        <v>220</v>
      </c>
      <c r="FC168" s="205">
        <v>1</v>
      </c>
      <c r="FD168" s="205">
        <v>1</v>
      </c>
      <c r="FE168" s="252">
        <v>7.5738986855485404</v>
      </c>
      <c r="FF168" s="140" t="s">
        <v>221</v>
      </c>
      <c r="FG168" s="252">
        <v>5.2459709852130665E-2</v>
      </c>
      <c r="FH168" s="252">
        <v>4.6355025117989612E-2</v>
      </c>
      <c r="FI168" s="201">
        <v>1692.1018403212299</v>
      </c>
      <c r="FK168" s="140" t="s">
        <v>166</v>
      </c>
      <c r="FL168" s="217">
        <f t="shared" si="157"/>
        <v>1692.1018403212299</v>
      </c>
      <c r="FM168" s="201">
        <v>498.95862544696024</v>
      </c>
      <c r="FN168" s="201">
        <v>360.23074112982999</v>
      </c>
      <c r="FO168" s="140" t="s">
        <v>222</v>
      </c>
      <c r="FP168" s="140" t="s">
        <v>223</v>
      </c>
      <c r="FQ168" s="217" t="s">
        <v>166</v>
      </c>
      <c r="FR168" s="217" t="s">
        <v>166</v>
      </c>
      <c r="FS168" s="217" t="s">
        <v>166</v>
      </c>
      <c r="FT168" s="217" t="s">
        <v>166</v>
      </c>
      <c r="FU168" s="217" t="s">
        <v>166</v>
      </c>
      <c r="FV168" s="217" t="s">
        <v>166</v>
      </c>
      <c r="FW168" s="217" t="s">
        <v>166</v>
      </c>
      <c r="FX168" s="217" t="s">
        <v>166</v>
      </c>
      <c r="FY168" s="217" t="s">
        <v>166</v>
      </c>
      <c r="FZ168" s="217" t="s">
        <v>166</v>
      </c>
      <c r="GA168" s="217" t="s">
        <v>166</v>
      </c>
      <c r="GB168" s="217" t="s">
        <v>166</v>
      </c>
      <c r="GC168" s="202" t="s">
        <v>507</v>
      </c>
    </row>
    <row r="169" spans="1:192" s="140" customFormat="1" ht="17">
      <c r="A169" s="140" t="s">
        <v>162</v>
      </c>
      <c r="B169" s="143" t="s">
        <v>163</v>
      </c>
      <c r="C169" s="140" t="s">
        <v>164</v>
      </c>
      <c r="D169" s="140" t="s">
        <v>165</v>
      </c>
      <c r="E169" s="140">
        <v>2020</v>
      </c>
      <c r="F169" s="140" t="s">
        <v>184</v>
      </c>
      <c r="G169" s="240">
        <v>55522.562562730513</v>
      </c>
      <c r="H169" s="241">
        <f t="shared" ref="H169" si="174">0.0083*G169^(0.9482)</f>
        <v>261.68816044422584</v>
      </c>
      <c r="I169" s="241">
        <f t="shared" si="171"/>
        <v>261.68816044422584</v>
      </c>
      <c r="J169" s="201">
        <v>1436.47748887855</v>
      </c>
      <c r="K169" s="201">
        <v>555.88896559963996</v>
      </c>
      <c r="L169" s="201">
        <v>389.31112986295011</v>
      </c>
      <c r="M169" s="140" t="b">
        <v>1</v>
      </c>
      <c r="N169" s="140">
        <v>1</v>
      </c>
      <c r="O169" s="302" t="s">
        <v>581</v>
      </c>
      <c r="P169" s="140" t="s">
        <v>166</v>
      </c>
      <c r="Q169" s="140" t="s">
        <v>166</v>
      </c>
      <c r="R169" s="140" t="s">
        <v>166</v>
      </c>
      <c r="S169" s="140" t="b">
        <v>1</v>
      </c>
      <c r="T169" s="140" t="b">
        <v>0</v>
      </c>
      <c r="U169" s="140" t="s">
        <v>166</v>
      </c>
      <c r="V169" s="140" t="b">
        <v>0</v>
      </c>
      <c r="W169" s="140" t="b">
        <v>0</v>
      </c>
      <c r="X169" s="140" t="s">
        <v>580</v>
      </c>
      <c r="Y169" s="202" t="s">
        <v>186</v>
      </c>
      <c r="Z169" s="140" t="s">
        <v>184</v>
      </c>
      <c r="AA169" s="242">
        <v>401</v>
      </c>
      <c r="AB169" s="140" t="s">
        <v>166</v>
      </c>
      <c r="AC169" s="140">
        <v>14</v>
      </c>
      <c r="AD169" s="140">
        <v>1</v>
      </c>
      <c r="AE169" s="140">
        <v>120</v>
      </c>
      <c r="AF169" s="140">
        <f>AE169+2</f>
        <v>122</v>
      </c>
      <c r="AG169" s="140" t="s">
        <v>166</v>
      </c>
      <c r="AH169" s="243">
        <v>199.71</v>
      </c>
      <c r="AI169" s="140" t="s">
        <v>498</v>
      </c>
      <c r="AJ169" s="140" t="s">
        <v>499</v>
      </c>
      <c r="AK169" s="210">
        <v>47.427500000000002</v>
      </c>
      <c r="AL169" s="210">
        <v>-8.8102999999999998</v>
      </c>
      <c r="AM169" s="244">
        <v>42</v>
      </c>
      <c r="AN169" s="244">
        <v>21</v>
      </c>
      <c r="AO169" s="244">
        <v>-2495</v>
      </c>
      <c r="AP169" s="140">
        <v>-2000</v>
      </c>
      <c r="AQ169" s="140" t="s">
        <v>500</v>
      </c>
      <c r="AR169" s="140" t="s">
        <v>166</v>
      </c>
      <c r="AS169" s="240">
        <v>55.522562562730513</v>
      </c>
      <c r="AT169" s="140" t="s">
        <v>166</v>
      </c>
      <c r="AU169" s="140" t="s">
        <v>166</v>
      </c>
      <c r="AV169" s="140" t="s">
        <v>166</v>
      </c>
      <c r="AW169" s="140" t="s">
        <v>166</v>
      </c>
      <c r="AX169" s="140" t="s">
        <v>501</v>
      </c>
      <c r="AY169" s="140" t="s">
        <v>502</v>
      </c>
      <c r="AZ169" s="215">
        <v>55.518756018595496</v>
      </c>
      <c r="BA169" s="140" t="s">
        <v>166</v>
      </c>
      <c r="BB169" s="140" t="s">
        <v>166</v>
      </c>
      <c r="BC169" s="140" t="s">
        <v>166</v>
      </c>
      <c r="BD169" s="140" t="s">
        <v>166</v>
      </c>
      <c r="BE169" s="140" t="s">
        <v>503</v>
      </c>
      <c r="BF169" s="140" t="s">
        <v>504</v>
      </c>
      <c r="BG169" s="245" t="s">
        <v>505</v>
      </c>
      <c r="BH169" s="207" t="s">
        <v>192</v>
      </c>
      <c r="BI169" s="140" t="s">
        <v>166</v>
      </c>
      <c r="BJ169" s="140" t="s">
        <v>506</v>
      </c>
      <c r="BK169" s="140" t="s">
        <v>226</v>
      </c>
      <c r="BL169" s="140" t="s">
        <v>194</v>
      </c>
      <c r="BM169" s="140" t="s">
        <v>195</v>
      </c>
      <c r="BN169" s="140" t="s">
        <v>466</v>
      </c>
      <c r="BO169" s="140" t="s">
        <v>166</v>
      </c>
      <c r="BP169" s="140" t="s">
        <v>166</v>
      </c>
      <c r="BQ169" s="246">
        <v>14.068100018198137</v>
      </c>
      <c r="BR169" s="140" t="s">
        <v>196</v>
      </c>
      <c r="BS169" s="246">
        <v>0.4641287205705058</v>
      </c>
      <c r="BT169" s="140">
        <v>1</v>
      </c>
      <c r="BU169" s="140" t="s">
        <v>197</v>
      </c>
      <c r="BV169" s="140" t="s">
        <v>166</v>
      </c>
      <c r="BW169" s="140">
        <v>0</v>
      </c>
      <c r="BX169" s="140" t="s">
        <v>197</v>
      </c>
      <c r="BY169" s="140" t="s">
        <v>166</v>
      </c>
      <c r="BZ169" s="140" t="s">
        <v>197</v>
      </c>
      <c r="CA169" s="140" t="s">
        <v>166</v>
      </c>
      <c r="CB169" s="210">
        <f t="shared" si="165"/>
        <v>14.068100018198137</v>
      </c>
      <c r="CC169" s="140" t="s">
        <v>196</v>
      </c>
      <c r="CD169" s="210">
        <f t="shared" si="166"/>
        <v>0.4641287205705058</v>
      </c>
      <c r="CE169" s="140" t="s">
        <v>199</v>
      </c>
      <c r="CF169" s="140" t="s">
        <v>166</v>
      </c>
      <c r="CG169" s="140" t="s">
        <v>474</v>
      </c>
      <c r="CH169" s="140" t="s">
        <v>166</v>
      </c>
      <c r="CI169" s="140" t="s">
        <v>166</v>
      </c>
      <c r="CJ169" s="247">
        <v>33.207319652262605</v>
      </c>
      <c r="CK169" s="140" t="s">
        <v>201</v>
      </c>
      <c r="CL169" s="140">
        <v>2</v>
      </c>
      <c r="CM169" s="140">
        <v>2</v>
      </c>
      <c r="CN169" s="140" t="s">
        <v>166</v>
      </c>
      <c r="CO169" s="248">
        <v>3.5353694313635993</v>
      </c>
      <c r="CP169" s="140" t="s">
        <v>166</v>
      </c>
      <c r="CQ169" s="140" t="s">
        <v>166</v>
      </c>
      <c r="CR169" s="140" t="s">
        <v>166</v>
      </c>
      <c r="CS169" s="249" t="s">
        <v>202</v>
      </c>
      <c r="CT169" s="140" t="s">
        <v>203</v>
      </c>
      <c r="CU169" s="140">
        <v>2.2000000000000002</v>
      </c>
      <c r="CV169" s="140" t="s">
        <v>204</v>
      </c>
      <c r="CW169" s="140" t="s">
        <v>166</v>
      </c>
      <c r="CX169" s="140" t="s">
        <v>166</v>
      </c>
      <c r="CY169" s="140" t="s">
        <v>166</v>
      </c>
      <c r="CZ169" s="140" t="s">
        <v>166</v>
      </c>
      <c r="DA169" s="209" t="s">
        <v>166</v>
      </c>
      <c r="DB169" s="140" t="s">
        <v>166</v>
      </c>
      <c r="DC169" s="140" t="s">
        <v>166</v>
      </c>
      <c r="DD169" s="140" t="s">
        <v>166</v>
      </c>
      <c r="DE169" s="140" t="s">
        <v>166</v>
      </c>
      <c r="DF169" s="140" t="s">
        <v>205</v>
      </c>
      <c r="DG169" s="250">
        <v>35</v>
      </c>
      <c r="DH169" s="250" t="s">
        <v>201</v>
      </c>
      <c r="DI169" s="250">
        <v>1</v>
      </c>
      <c r="DJ169" s="250" t="s">
        <v>206</v>
      </c>
      <c r="DK169" s="250">
        <v>17</v>
      </c>
      <c r="DL169" s="140" t="s">
        <v>166</v>
      </c>
      <c r="DM169" s="140" t="s">
        <v>166</v>
      </c>
      <c r="DN169" s="250" t="s">
        <v>207</v>
      </c>
      <c r="DO169" s="250">
        <v>38</v>
      </c>
      <c r="DP169" s="250" t="s">
        <v>208</v>
      </c>
      <c r="DQ169" s="250">
        <v>3</v>
      </c>
      <c r="DR169" s="250" t="s">
        <v>209</v>
      </c>
      <c r="DS169" s="140" t="s">
        <v>166</v>
      </c>
      <c r="DT169" s="140" t="s">
        <v>166</v>
      </c>
      <c r="DU169" s="140" t="s">
        <v>166</v>
      </c>
      <c r="DV169" s="140" t="s">
        <v>166</v>
      </c>
      <c r="DW169" s="250">
        <v>432.6</v>
      </c>
      <c r="DX169" s="140" t="s">
        <v>166</v>
      </c>
      <c r="DY169" s="140" t="s">
        <v>166</v>
      </c>
      <c r="DZ169" s="140" t="s">
        <v>210</v>
      </c>
      <c r="EA169" s="140" t="s">
        <v>211</v>
      </c>
      <c r="EB169" s="140" t="s">
        <v>212</v>
      </c>
      <c r="EC169" s="140" t="s">
        <v>166</v>
      </c>
      <c r="ED169" s="140" t="s">
        <v>213</v>
      </c>
      <c r="EE169" s="213" t="s">
        <v>214</v>
      </c>
      <c r="EF169" s="213" t="s">
        <v>214</v>
      </c>
      <c r="EG169" s="250">
        <v>1.0271999999999999</v>
      </c>
      <c r="EH169" s="250" t="s">
        <v>215</v>
      </c>
      <c r="EI169" s="250" t="s">
        <v>215</v>
      </c>
      <c r="EJ169" s="250" t="s">
        <v>216</v>
      </c>
      <c r="EK169" s="250" t="s">
        <v>215</v>
      </c>
      <c r="EL169" s="250" t="s">
        <v>215</v>
      </c>
      <c r="EM169" s="250" t="s">
        <v>217</v>
      </c>
      <c r="EN169" s="251" t="s">
        <v>214</v>
      </c>
      <c r="EO169" s="251" t="s">
        <v>214</v>
      </c>
      <c r="EP169" s="251" t="s">
        <v>214</v>
      </c>
      <c r="EQ169" s="251" t="s">
        <v>214</v>
      </c>
      <c r="ER169" s="250"/>
      <c r="ES169" s="250"/>
      <c r="ET169" s="140" t="s">
        <v>218</v>
      </c>
      <c r="EU169" s="250" t="s">
        <v>219</v>
      </c>
      <c r="EV169" s="250" t="s">
        <v>213</v>
      </c>
      <c r="EW169" s="140" t="s">
        <v>166</v>
      </c>
      <c r="EX169" s="140" t="s">
        <v>166</v>
      </c>
      <c r="EY169" s="140" t="s">
        <v>166</v>
      </c>
      <c r="EZ169" s="140" t="s">
        <v>166</v>
      </c>
      <c r="FA169" s="205">
        <v>5.5</v>
      </c>
      <c r="FB169" s="140" t="s">
        <v>220</v>
      </c>
      <c r="FC169" s="205">
        <v>1</v>
      </c>
      <c r="FD169" s="205">
        <v>1</v>
      </c>
      <c r="FE169" s="252">
        <v>7.6110261732196003</v>
      </c>
      <c r="FF169" s="140" t="s">
        <v>221</v>
      </c>
      <c r="FG169" s="252">
        <v>7.0934411504170569E-2</v>
      </c>
      <c r="FH169" s="252">
        <v>6.3814635174699319E-2</v>
      </c>
      <c r="FI169" s="201">
        <v>1436.47748887855</v>
      </c>
      <c r="FK169" s="140" t="s">
        <v>166</v>
      </c>
      <c r="FL169" s="217">
        <f t="shared" si="157"/>
        <v>1436.47748887855</v>
      </c>
      <c r="FM169" s="201">
        <v>555.88896559963996</v>
      </c>
      <c r="FN169" s="201">
        <v>389.31112986295011</v>
      </c>
      <c r="FO169" s="140" t="s">
        <v>222</v>
      </c>
      <c r="FP169" s="140" t="s">
        <v>223</v>
      </c>
      <c r="FQ169" s="217" t="s">
        <v>166</v>
      </c>
      <c r="FR169" s="217" t="s">
        <v>166</v>
      </c>
      <c r="FS169" s="217" t="s">
        <v>166</v>
      </c>
      <c r="FT169" s="217" t="s">
        <v>166</v>
      </c>
      <c r="FU169" s="217" t="s">
        <v>166</v>
      </c>
      <c r="FV169" s="217" t="s">
        <v>166</v>
      </c>
      <c r="FW169" s="217" t="s">
        <v>166</v>
      </c>
      <c r="FX169" s="217" t="s">
        <v>166</v>
      </c>
      <c r="FY169" s="217" t="s">
        <v>166</v>
      </c>
      <c r="FZ169" s="217" t="s">
        <v>166</v>
      </c>
      <c r="GA169" s="217" t="s">
        <v>166</v>
      </c>
      <c r="GB169" s="217" t="s">
        <v>166</v>
      </c>
      <c r="GC169" s="202" t="s">
        <v>507</v>
      </c>
    </row>
    <row r="170" spans="1:192" s="140" customFormat="1" ht="17">
      <c r="A170" s="140" t="s">
        <v>162</v>
      </c>
      <c r="B170" s="143" t="s">
        <v>163</v>
      </c>
      <c r="C170" s="140" t="s">
        <v>164</v>
      </c>
      <c r="D170" s="140" t="s">
        <v>165</v>
      </c>
      <c r="E170" s="140">
        <v>2020</v>
      </c>
      <c r="F170" s="140" t="s">
        <v>184</v>
      </c>
      <c r="G170" s="240">
        <v>55542.562562730513</v>
      </c>
      <c r="H170" s="241">
        <f t="shared" ref="H170" si="175">0.0083*G170^(0.9482)</f>
        <v>261.77754046834895</v>
      </c>
      <c r="I170" s="241">
        <f t="shared" si="171"/>
        <v>261.77754046834895</v>
      </c>
      <c r="J170" s="201">
        <v>952.37607860191292</v>
      </c>
      <c r="K170" s="201">
        <v>231.48898212073709</v>
      </c>
      <c r="L170" s="201">
        <v>176.41848521000691</v>
      </c>
      <c r="M170" s="140" t="b">
        <v>1</v>
      </c>
      <c r="N170" s="140">
        <v>1</v>
      </c>
      <c r="O170" s="302" t="s">
        <v>581</v>
      </c>
      <c r="P170" s="140" t="s">
        <v>166</v>
      </c>
      <c r="Q170" s="140" t="s">
        <v>166</v>
      </c>
      <c r="R170" s="140" t="s">
        <v>166</v>
      </c>
      <c r="S170" s="140" t="b">
        <v>1</v>
      </c>
      <c r="T170" s="140" t="b">
        <v>0</v>
      </c>
      <c r="U170" s="140" t="s">
        <v>166</v>
      </c>
      <c r="V170" s="140" t="b">
        <v>0</v>
      </c>
      <c r="W170" s="140" t="b">
        <v>0</v>
      </c>
      <c r="X170" s="140" t="s">
        <v>580</v>
      </c>
      <c r="Y170" s="202" t="s">
        <v>186</v>
      </c>
      <c r="Z170" s="140" t="s">
        <v>184</v>
      </c>
      <c r="AA170" s="242">
        <v>401</v>
      </c>
      <c r="AB170" s="140" t="s">
        <v>166</v>
      </c>
      <c r="AC170" s="140">
        <v>14</v>
      </c>
      <c r="AD170" s="140">
        <v>1</v>
      </c>
      <c r="AE170" s="140">
        <v>138</v>
      </c>
      <c r="AF170" s="140">
        <f t="shared" ref="AF170:AF204" si="176">AE170+2</f>
        <v>140</v>
      </c>
      <c r="AG170" s="140" t="s">
        <v>166</v>
      </c>
      <c r="AH170" s="243">
        <v>199.89</v>
      </c>
      <c r="AI170" s="140" t="s">
        <v>498</v>
      </c>
      <c r="AJ170" s="140" t="s">
        <v>499</v>
      </c>
      <c r="AK170" s="210">
        <v>47.427500000000002</v>
      </c>
      <c r="AL170" s="210">
        <v>-8.8102999999999998</v>
      </c>
      <c r="AM170" s="244">
        <v>42</v>
      </c>
      <c r="AN170" s="244">
        <v>21</v>
      </c>
      <c r="AO170" s="244">
        <v>-2495</v>
      </c>
      <c r="AP170" s="140">
        <v>-2000</v>
      </c>
      <c r="AQ170" s="140" t="s">
        <v>500</v>
      </c>
      <c r="AR170" s="140" t="s">
        <v>166</v>
      </c>
      <c r="AS170" s="240">
        <v>55.54256256273051</v>
      </c>
      <c r="AT170" s="140" t="s">
        <v>166</v>
      </c>
      <c r="AU170" s="140" t="s">
        <v>166</v>
      </c>
      <c r="AV170" s="140" t="s">
        <v>166</v>
      </c>
      <c r="AW170" s="140" t="s">
        <v>166</v>
      </c>
      <c r="AX170" s="140" t="s">
        <v>501</v>
      </c>
      <c r="AY170" s="140" t="s">
        <v>502</v>
      </c>
      <c r="AZ170" s="215">
        <v>55.542349983711404</v>
      </c>
      <c r="BA170" s="140" t="s">
        <v>166</v>
      </c>
      <c r="BB170" s="140" t="s">
        <v>166</v>
      </c>
      <c r="BC170" s="140" t="s">
        <v>166</v>
      </c>
      <c r="BD170" s="140" t="s">
        <v>166</v>
      </c>
      <c r="BE170" s="140" t="s">
        <v>503</v>
      </c>
      <c r="BF170" s="140" t="s">
        <v>504</v>
      </c>
      <c r="BG170" s="245" t="s">
        <v>505</v>
      </c>
      <c r="BH170" s="207" t="s">
        <v>192</v>
      </c>
      <c r="BI170" s="140" t="s">
        <v>166</v>
      </c>
      <c r="BJ170" s="140" t="s">
        <v>506</v>
      </c>
      <c r="BK170" s="140" t="s">
        <v>226</v>
      </c>
      <c r="BL170" s="140" t="s">
        <v>194</v>
      </c>
      <c r="BM170" s="140" t="s">
        <v>195</v>
      </c>
      <c r="BN170" s="140" t="s">
        <v>466</v>
      </c>
      <c r="BO170" s="140" t="s">
        <v>166</v>
      </c>
      <c r="BP170" s="140" t="s">
        <v>166</v>
      </c>
      <c r="BQ170" s="246">
        <v>14.672362389213767</v>
      </c>
      <c r="BR170" s="140" t="s">
        <v>196</v>
      </c>
      <c r="BS170" s="246">
        <v>0.27135724080958207</v>
      </c>
      <c r="BT170" s="140">
        <v>1</v>
      </c>
      <c r="BU170" s="140" t="s">
        <v>197</v>
      </c>
      <c r="BV170" s="140" t="s">
        <v>166</v>
      </c>
      <c r="BW170" s="140">
        <v>0</v>
      </c>
      <c r="BX170" s="140" t="s">
        <v>197</v>
      </c>
      <c r="BY170" s="140" t="s">
        <v>166</v>
      </c>
      <c r="BZ170" s="140" t="s">
        <v>197</v>
      </c>
      <c r="CA170" s="140" t="s">
        <v>166</v>
      </c>
      <c r="CB170" s="210">
        <f t="shared" si="165"/>
        <v>14.672362389213767</v>
      </c>
      <c r="CC170" s="140" t="s">
        <v>196</v>
      </c>
      <c r="CD170" s="210">
        <f t="shared" si="166"/>
        <v>0.27135724080958207</v>
      </c>
      <c r="CE170" s="140" t="s">
        <v>199</v>
      </c>
      <c r="CF170" s="140" t="s">
        <v>166</v>
      </c>
      <c r="CG170" s="140" t="s">
        <v>474</v>
      </c>
      <c r="CH170" s="140" t="s">
        <v>166</v>
      </c>
      <c r="CI170" s="140" t="s">
        <v>166</v>
      </c>
      <c r="CJ170" s="247">
        <v>33.090548468797174</v>
      </c>
      <c r="CK170" s="140" t="s">
        <v>201</v>
      </c>
      <c r="CL170" s="140">
        <v>2</v>
      </c>
      <c r="CM170" s="140">
        <v>2</v>
      </c>
      <c r="CN170" s="140" t="s">
        <v>166</v>
      </c>
      <c r="CO170" s="248">
        <v>3.51217712825679</v>
      </c>
      <c r="CP170" s="140" t="s">
        <v>166</v>
      </c>
      <c r="CQ170" s="140" t="s">
        <v>166</v>
      </c>
      <c r="CR170" s="140" t="s">
        <v>166</v>
      </c>
      <c r="CS170" s="249" t="s">
        <v>202</v>
      </c>
      <c r="CT170" s="140" t="s">
        <v>203</v>
      </c>
      <c r="CU170" s="140">
        <v>2.2000000000000002</v>
      </c>
      <c r="CV170" s="140" t="s">
        <v>204</v>
      </c>
      <c r="CW170" s="140" t="s">
        <v>166</v>
      </c>
      <c r="CX170" s="140" t="s">
        <v>166</v>
      </c>
      <c r="CY170" s="140" t="s">
        <v>166</v>
      </c>
      <c r="CZ170" s="140" t="s">
        <v>166</v>
      </c>
      <c r="DA170" s="209" t="s">
        <v>166</v>
      </c>
      <c r="DB170" s="140" t="s">
        <v>166</v>
      </c>
      <c r="DC170" s="140" t="s">
        <v>166</v>
      </c>
      <c r="DD170" s="140" t="s">
        <v>166</v>
      </c>
      <c r="DE170" s="140" t="s">
        <v>166</v>
      </c>
      <c r="DF170" s="140" t="s">
        <v>205</v>
      </c>
      <c r="DG170" s="250">
        <v>35</v>
      </c>
      <c r="DH170" s="250" t="s">
        <v>201</v>
      </c>
      <c r="DI170" s="250">
        <v>1</v>
      </c>
      <c r="DJ170" s="250" t="s">
        <v>206</v>
      </c>
      <c r="DK170" s="250">
        <v>17</v>
      </c>
      <c r="DL170" s="140" t="s">
        <v>166</v>
      </c>
      <c r="DM170" s="140" t="s">
        <v>166</v>
      </c>
      <c r="DN170" s="250" t="s">
        <v>207</v>
      </c>
      <c r="DO170" s="250">
        <v>38</v>
      </c>
      <c r="DP170" s="250" t="s">
        <v>208</v>
      </c>
      <c r="DQ170" s="250">
        <v>3</v>
      </c>
      <c r="DR170" s="250" t="s">
        <v>209</v>
      </c>
      <c r="DS170" s="140" t="s">
        <v>166</v>
      </c>
      <c r="DT170" s="140" t="s">
        <v>166</v>
      </c>
      <c r="DU170" s="140" t="s">
        <v>166</v>
      </c>
      <c r="DV170" s="140" t="s">
        <v>166</v>
      </c>
      <c r="DW170" s="250">
        <v>432.6</v>
      </c>
      <c r="DX170" s="140" t="s">
        <v>166</v>
      </c>
      <c r="DY170" s="140" t="s">
        <v>166</v>
      </c>
      <c r="DZ170" s="140" t="s">
        <v>210</v>
      </c>
      <c r="EA170" s="140" t="s">
        <v>211</v>
      </c>
      <c r="EB170" s="140" t="s">
        <v>212</v>
      </c>
      <c r="EC170" s="140" t="s">
        <v>166</v>
      </c>
      <c r="ED170" s="140" t="s">
        <v>213</v>
      </c>
      <c r="EE170" s="213" t="s">
        <v>214</v>
      </c>
      <c r="EF170" s="213" t="s">
        <v>214</v>
      </c>
      <c r="EG170" s="250">
        <v>1.0271999999999999</v>
      </c>
      <c r="EH170" s="250" t="s">
        <v>215</v>
      </c>
      <c r="EI170" s="250" t="s">
        <v>215</v>
      </c>
      <c r="EJ170" s="250" t="s">
        <v>216</v>
      </c>
      <c r="EK170" s="250" t="s">
        <v>215</v>
      </c>
      <c r="EL170" s="250" t="s">
        <v>215</v>
      </c>
      <c r="EM170" s="250" t="s">
        <v>217</v>
      </c>
      <c r="EN170" s="251" t="s">
        <v>214</v>
      </c>
      <c r="EO170" s="251" t="s">
        <v>214</v>
      </c>
      <c r="EP170" s="251" t="s">
        <v>214</v>
      </c>
      <c r="EQ170" s="251" t="s">
        <v>214</v>
      </c>
      <c r="ER170" s="250"/>
      <c r="ES170" s="250"/>
      <c r="ET170" s="140" t="s">
        <v>218</v>
      </c>
      <c r="EU170" s="250" t="s">
        <v>219</v>
      </c>
      <c r="EV170" s="250" t="s">
        <v>213</v>
      </c>
      <c r="EW170" s="140" t="s">
        <v>166</v>
      </c>
      <c r="EX170" s="140" t="s">
        <v>166</v>
      </c>
      <c r="EY170" s="140" t="s">
        <v>166</v>
      </c>
      <c r="EZ170" s="140" t="s">
        <v>166</v>
      </c>
      <c r="FA170" s="205">
        <v>5.5</v>
      </c>
      <c r="FB170" s="140" t="s">
        <v>220</v>
      </c>
      <c r="FC170" s="205">
        <v>1</v>
      </c>
      <c r="FD170" s="205">
        <v>1</v>
      </c>
      <c r="FE170" s="252">
        <v>7.7011778092148697</v>
      </c>
      <c r="FF170" s="140" t="s">
        <v>221</v>
      </c>
      <c r="FG170" s="252">
        <v>4.1088281140739369E-2</v>
      </c>
      <c r="FH170" s="252">
        <v>3.882665970264032E-2</v>
      </c>
      <c r="FI170" s="201">
        <v>952.37607860191292</v>
      </c>
      <c r="FK170" s="140" t="s">
        <v>166</v>
      </c>
      <c r="FL170" s="217">
        <f t="shared" si="157"/>
        <v>952.37607860191292</v>
      </c>
      <c r="FM170" s="201">
        <v>231.48898212073709</v>
      </c>
      <c r="FN170" s="201">
        <v>176.41848521000691</v>
      </c>
      <c r="FO170" s="140" t="s">
        <v>222</v>
      </c>
      <c r="FP170" s="140" t="s">
        <v>223</v>
      </c>
      <c r="FQ170" s="217" t="s">
        <v>166</v>
      </c>
      <c r="FR170" s="217" t="s">
        <v>166</v>
      </c>
      <c r="FS170" s="217" t="s">
        <v>166</v>
      </c>
      <c r="FT170" s="217" t="s">
        <v>166</v>
      </c>
      <c r="FU170" s="217" t="s">
        <v>166</v>
      </c>
      <c r="FV170" s="217" t="s">
        <v>166</v>
      </c>
      <c r="FW170" s="217" t="s">
        <v>166</v>
      </c>
      <c r="FX170" s="217" t="s">
        <v>166</v>
      </c>
      <c r="FY170" s="217" t="s">
        <v>166</v>
      </c>
      <c r="FZ170" s="217" t="s">
        <v>166</v>
      </c>
      <c r="GA170" s="217" t="s">
        <v>166</v>
      </c>
      <c r="GB170" s="217" t="s">
        <v>166</v>
      </c>
      <c r="GC170" s="202" t="s">
        <v>507</v>
      </c>
    </row>
    <row r="171" spans="1:192" s="140" customFormat="1" ht="17">
      <c r="A171" s="140" t="s">
        <v>162</v>
      </c>
      <c r="B171" s="143" t="s">
        <v>163</v>
      </c>
      <c r="C171" s="140" t="s">
        <v>164</v>
      </c>
      <c r="D171" s="140" t="s">
        <v>165</v>
      </c>
      <c r="E171" s="140">
        <v>2020</v>
      </c>
      <c r="F171" s="140" t="s">
        <v>184</v>
      </c>
      <c r="G171" s="240">
        <v>55564.784784952732</v>
      </c>
      <c r="H171" s="241">
        <f t="shared" ref="H171" si="177">0.0083*G171^(0.9482)</f>
        <v>261.87684965101136</v>
      </c>
      <c r="I171" s="241">
        <f t="shared" si="171"/>
        <v>261.87684965101136</v>
      </c>
      <c r="J171" s="201">
        <v>997.19453847601994</v>
      </c>
      <c r="K171" s="201">
        <v>247.67213751917006</v>
      </c>
      <c r="L171" s="201">
        <v>199.39263965917098</v>
      </c>
      <c r="M171" s="140" t="b">
        <v>1</v>
      </c>
      <c r="N171" s="140">
        <v>1</v>
      </c>
      <c r="O171" s="302" t="s">
        <v>581</v>
      </c>
      <c r="P171" s="140" t="s">
        <v>166</v>
      </c>
      <c r="Q171" s="140" t="s">
        <v>166</v>
      </c>
      <c r="R171" s="140" t="s">
        <v>166</v>
      </c>
      <c r="S171" s="140" t="b">
        <v>1</v>
      </c>
      <c r="T171" s="140" t="b">
        <v>0</v>
      </c>
      <c r="U171" s="140" t="s">
        <v>166</v>
      </c>
      <c r="V171" s="140" t="b">
        <v>0</v>
      </c>
      <c r="W171" s="140" t="b">
        <v>0</v>
      </c>
      <c r="X171" s="140" t="s">
        <v>580</v>
      </c>
      <c r="Y171" s="202" t="s">
        <v>186</v>
      </c>
      <c r="Z171" s="140" t="s">
        <v>184</v>
      </c>
      <c r="AA171" s="242">
        <v>401</v>
      </c>
      <c r="AB171" s="140" t="s">
        <v>166</v>
      </c>
      <c r="AC171" s="140">
        <v>14</v>
      </c>
      <c r="AD171" s="140">
        <v>2</v>
      </c>
      <c r="AE171" s="140">
        <v>8</v>
      </c>
      <c r="AF171" s="140">
        <f t="shared" si="176"/>
        <v>10</v>
      </c>
      <c r="AG171" s="140" t="s">
        <v>166</v>
      </c>
      <c r="AH171" s="243">
        <v>200.09</v>
      </c>
      <c r="AI171" s="140" t="s">
        <v>498</v>
      </c>
      <c r="AJ171" s="140" t="s">
        <v>499</v>
      </c>
      <c r="AK171" s="210">
        <v>47.427500000000002</v>
      </c>
      <c r="AL171" s="210">
        <v>-8.8102999999999998</v>
      </c>
      <c r="AM171" s="244">
        <v>42</v>
      </c>
      <c r="AN171" s="244">
        <v>21</v>
      </c>
      <c r="AO171" s="244">
        <v>-2495</v>
      </c>
      <c r="AP171" s="140">
        <v>-2000</v>
      </c>
      <c r="AQ171" s="140" t="s">
        <v>500</v>
      </c>
      <c r="AR171" s="140" t="s">
        <v>166</v>
      </c>
      <c r="AS171" s="240">
        <v>55.564784784952735</v>
      </c>
      <c r="AT171" s="140" t="s">
        <v>166</v>
      </c>
      <c r="AU171" s="140" t="s">
        <v>166</v>
      </c>
      <c r="AV171" s="140" t="s">
        <v>166</v>
      </c>
      <c r="AW171" s="140" t="s">
        <v>166</v>
      </c>
      <c r="AX171" s="140" t="s">
        <v>501</v>
      </c>
      <c r="AY171" s="140" t="s">
        <v>502</v>
      </c>
      <c r="AZ171" s="215">
        <v>55.568565500506857</v>
      </c>
      <c r="BA171" s="140" t="s">
        <v>166</v>
      </c>
      <c r="BB171" s="140" t="s">
        <v>166</v>
      </c>
      <c r="BC171" s="140" t="s">
        <v>166</v>
      </c>
      <c r="BD171" s="140" t="s">
        <v>166</v>
      </c>
      <c r="BE171" s="140" t="s">
        <v>503</v>
      </c>
      <c r="BF171" s="140" t="s">
        <v>504</v>
      </c>
      <c r="BG171" s="245" t="s">
        <v>505</v>
      </c>
      <c r="BH171" s="207" t="s">
        <v>192</v>
      </c>
      <c r="BI171" s="140" t="s">
        <v>166</v>
      </c>
      <c r="BJ171" s="140" t="s">
        <v>506</v>
      </c>
      <c r="BK171" s="140" t="s">
        <v>226</v>
      </c>
      <c r="BL171" s="140" t="s">
        <v>194</v>
      </c>
      <c r="BM171" s="140" t="s">
        <v>195</v>
      </c>
      <c r="BN171" s="140" t="s">
        <v>466</v>
      </c>
      <c r="BO171" s="140" t="s">
        <v>166</v>
      </c>
      <c r="BP171" s="140" t="s">
        <v>166</v>
      </c>
      <c r="BQ171" s="246">
        <v>14.592606188469359</v>
      </c>
      <c r="BR171" s="140" t="s">
        <v>196</v>
      </c>
      <c r="BS171" s="246">
        <v>0.26723799988409347</v>
      </c>
      <c r="BT171" s="140">
        <v>1</v>
      </c>
      <c r="BU171" s="140" t="s">
        <v>197</v>
      </c>
      <c r="BV171" s="140" t="s">
        <v>166</v>
      </c>
      <c r="BW171" s="140">
        <v>0</v>
      </c>
      <c r="BX171" s="140" t="s">
        <v>197</v>
      </c>
      <c r="BY171" s="140" t="s">
        <v>166</v>
      </c>
      <c r="BZ171" s="140" t="s">
        <v>197</v>
      </c>
      <c r="CA171" s="140" t="s">
        <v>166</v>
      </c>
      <c r="CB171" s="210">
        <f t="shared" si="165"/>
        <v>14.592606188469359</v>
      </c>
      <c r="CC171" s="140" t="s">
        <v>196</v>
      </c>
      <c r="CD171" s="210">
        <f t="shared" si="166"/>
        <v>0.26723799988409347</v>
      </c>
      <c r="CE171" s="140" t="s">
        <v>199</v>
      </c>
      <c r="CF171" s="140" t="s">
        <v>166</v>
      </c>
      <c r="CG171" s="140" t="s">
        <v>474</v>
      </c>
      <c r="CH171" s="140" t="s">
        <v>166</v>
      </c>
      <c r="CI171" s="140" t="s">
        <v>166</v>
      </c>
      <c r="CJ171" s="247">
        <v>32.584857260740243</v>
      </c>
      <c r="CK171" s="140" t="s">
        <v>201</v>
      </c>
      <c r="CL171" s="140">
        <v>2</v>
      </c>
      <c r="CM171" s="140">
        <v>2</v>
      </c>
      <c r="CN171" s="140" t="s">
        <v>166</v>
      </c>
      <c r="CO171" s="248">
        <v>3.4134835214599599</v>
      </c>
      <c r="CP171" s="140" t="s">
        <v>166</v>
      </c>
      <c r="CQ171" s="140" t="s">
        <v>166</v>
      </c>
      <c r="CR171" s="140" t="s">
        <v>166</v>
      </c>
      <c r="CS171" s="249" t="s">
        <v>202</v>
      </c>
      <c r="CT171" s="140" t="s">
        <v>203</v>
      </c>
      <c r="CU171" s="140">
        <v>2.2000000000000002</v>
      </c>
      <c r="CV171" s="140" t="s">
        <v>204</v>
      </c>
      <c r="CW171" s="140" t="s">
        <v>166</v>
      </c>
      <c r="CX171" s="140" t="s">
        <v>166</v>
      </c>
      <c r="CY171" s="140" t="s">
        <v>166</v>
      </c>
      <c r="CZ171" s="140" t="s">
        <v>166</v>
      </c>
      <c r="DA171" s="209" t="s">
        <v>166</v>
      </c>
      <c r="DB171" s="140" t="s">
        <v>166</v>
      </c>
      <c r="DC171" s="140" t="s">
        <v>166</v>
      </c>
      <c r="DD171" s="140" t="s">
        <v>166</v>
      </c>
      <c r="DE171" s="140" t="s">
        <v>166</v>
      </c>
      <c r="DF171" s="140" t="s">
        <v>205</v>
      </c>
      <c r="DG171" s="250">
        <v>35</v>
      </c>
      <c r="DH171" s="250" t="s">
        <v>201</v>
      </c>
      <c r="DI171" s="250">
        <v>1</v>
      </c>
      <c r="DJ171" s="250" t="s">
        <v>206</v>
      </c>
      <c r="DK171" s="250">
        <v>17</v>
      </c>
      <c r="DL171" s="140" t="s">
        <v>166</v>
      </c>
      <c r="DM171" s="140" t="s">
        <v>166</v>
      </c>
      <c r="DN171" s="250" t="s">
        <v>207</v>
      </c>
      <c r="DO171" s="250">
        <v>38</v>
      </c>
      <c r="DP171" s="250" t="s">
        <v>208</v>
      </c>
      <c r="DQ171" s="250">
        <v>3</v>
      </c>
      <c r="DR171" s="250" t="s">
        <v>209</v>
      </c>
      <c r="DS171" s="140" t="s">
        <v>166</v>
      </c>
      <c r="DT171" s="140" t="s">
        <v>166</v>
      </c>
      <c r="DU171" s="140" t="s">
        <v>166</v>
      </c>
      <c r="DV171" s="140" t="s">
        <v>166</v>
      </c>
      <c r="DW171" s="250">
        <v>432.6</v>
      </c>
      <c r="DX171" s="140" t="s">
        <v>166</v>
      </c>
      <c r="DY171" s="140" t="s">
        <v>166</v>
      </c>
      <c r="DZ171" s="140" t="s">
        <v>210</v>
      </c>
      <c r="EA171" s="140" t="s">
        <v>211</v>
      </c>
      <c r="EB171" s="140" t="s">
        <v>212</v>
      </c>
      <c r="EC171" s="140" t="s">
        <v>166</v>
      </c>
      <c r="ED171" s="140" t="s">
        <v>213</v>
      </c>
      <c r="EE171" s="213" t="s">
        <v>214</v>
      </c>
      <c r="EF171" s="213" t="s">
        <v>214</v>
      </c>
      <c r="EG171" s="250">
        <v>1.0271999999999999</v>
      </c>
      <c r="EH171" s="250" t="s">
        <v>215</v>
      </c>
      <c r="EI171" s="250" t="s">
        <v>215</v>
      </c>
      <c r="EJ171" s="250" t="s">
        <v>216</v>
      </c>
      <c r="EK171" s="250" t="s">
        <v>215</v>
      </c>
      <c r="EL171" s="250" t="s">
        <v>215</v>
      </c>
      <c r="EM171" s="250" t="s">
        <v>217</v>
      </c>
      <c r="EN171" s="251" t="s">
        <v>214</v>
      </c>
      <c r="EO171" s="251" t="s">
        <v>214</v>
      </c>
      <c r="EP171" s="251" t="s">
        <v>214</v>
      </c>
      <c r="EQ171" s="251" t="s">
        <v>214</v>
      </c>
      <c r="ER171" s="250"/>
      <c r="ES171" s="250"/>
      <c r="ET171" s="140" t="s">
        <v>218</v>
      </c>
      <c r="EU171" s="250" t="s">
        <v>219</v>
      </c>
      <c r="EV171" s="250" t="s">
        <v>213</v>
      </c>
      <c r="EW171" s="140" t="s">
        <v>166</v>
      </c>
      <c r="EX171" s="140" t="s">
        <v>166</v>
      </c>
      <c r="EY171" s="140" t="s">
        <v>166</v>
      </c>
      <c r="EZ171" s="140" t="s">
        <v>166</v>
      </c>
      <c r="FA171" s="205">
        <v>5.5</v>
      </c>
      <c r="FB171" s="140" t="s">
        <v>220</v>
      </c>
      <c r="FC171" s="205">
        <v>1</v>
      </c>
      <c r="FD171" s="205">
        <v>1</v>
      </c>
      <c r="FE171" s="252">
        <v>7.69602553353754</v>
      </c>
      <c r="FF171" s="140" t="s">
        <v>221</v>
      </c>
      <c r="FG171" s="252">
        <v>4.1145037834779963E-2</v>
      </c>
      <c r="FH171" s="252">
        <v>3.7310682242409854E-2</v>
      </c>
      <c r="FI171" s="201">
        <v>997.19453847601994</v>
      </c>
      <c r="FK171" s="140" t="s">
        <v>166</v>
      </c>
      <c r="FL171" s="217">
        <f t="shared" si="157"/>
        <v>997.19453847601994</v>
      </c>
      <c r="FM171" s="201">
        <v>247.67213751917006</v>
      </c>
      <c r="FN171" s="201">
        <v>199.39263965917098</v>
      </c>
      <c r="FO171" s="140" t="s">
        <v>222</v>
      </c>
      <c r="FP171" s="140" t="s">
        <v>223</v>
      </c>
      <c r="FQ171" s="217" t="s">
        <v>166</v>
      </c>
      <c r="FR171" s="217" t="s">
        <v>166</v>
      </c>
      <c r="FS171" s="217" t="s">
        <v>166</v>
      </c>
      <c r="FT171" s="217" t="s">
        <v>166</v>
      </c>
      <c r="FU171" s="217" t="s">
        <v>166</v>
      </c>
      <c r="FV171" s="217" t="s">
        <v>166</v>
      </c>
      <c r="FW171" s="217" t="s">
        <v>166</v>
      </c>
      <c r="FX171" s="217" t="s">
        <v>166</v>
      </c>
      <c r="FY171" s="217" t="s">
        <v>166</v>
      </c>
      <c r="FZ171" s="217" t="s">
        <v>166</v>
      </c>
      <c r="GA171" s="217" t="s">
        <v>166</v>
      </c>
      <c r="GB171" s="217" t="s">
        <v>166</v>
      </c>
      <c r="GC171" s="202" t="s">
        <v>507</v>
      </c>
    </row>
    <row r="172" spans="1:192" s="140" customFormat="1" ht="17">
      <c r="A172" s="140" t="s">
        <v>162</v>
      </c>
      <c r="B172" s="143" t="s">
        <v>163</v>
      </c>
      <c r="C172" s="140" t="s">
        <v>164</v>
      </c>
      <c r="D172" s="140" t="s">
        <v>165</v>
      </c>
      <c r="E172" s="140">
        <v>2020</v>
      </c>
      <c r="F172" s="140" t="s">
        <v>184</v>
      </c>
      <c r="G172" s="240">
        <v>55590.340340508294</v>
      </c>
      <c r="H172" s="241">
        <f t="shared" ref="H172" si="178">0.0083*G172^(0.9482)</f>
        <v>261.99105266776036</v>
      </c>
      <c r="I172" s="241">
        <f t="shared" si="171"/>
        <v>261.99105266776036</v>
      </c>
      <c r="J172" s="201">
        <v>867.31773302604893</v>
      </c>
      <c r="K172" s="201">
        <v>219.04925581296106</v>
      </c>
      <c r="L172" s="201">
        <v>176.2722266180989</v>
      </c>
      <c r="M172" s="140" t="b">
        <v>1</v>
      </c>
      <c r="N172" s="140">
        <v>1</v>
      </c>
      <c r="O172" s="302" t="s">
        <v>581</v>
      </c>
      <c r="P172" s="140" t="s">
        <v>166</v>
      </c>
      <c r="Q172" s="140" t="s">
        <v>166</v>
      </c>
      <c r="R172" s="140" t="s">
        <v>166</v>
      </c>
      <c r="S172" s="140" t="b">
        <v>1</v>
      </c>
      <c r="T172" s="140" t="b">
        <v>0</v>
      </c>
      <c r="U172" s="140" t="s">
        <v>166</v>
      </c>
      <c r="V172" s="140" t="b">
        <v>0</v>
      </c>
      <c r="W172" s="140" t="b">
        <v>0</v>
      </c>
      <c r="X172" s="140" t="s">
        <v>580</v>
      </c>
      <c r="Y172" s="202" t="s">
        <v>186</v>
      </c>
      <c r="Z172" s="140" t="s">
        <v>184</v>
      </c>
      <c r="AA172" s="242">
        <v>401</v>
      </c>
      <c r="AB172" s="140" t="s">
        <v>166</v>
      </c>
      <c r="AC172" s="140">
        <v>14</v>
      </c>
      <c r="AD172" s="140">
        <v>2</v>
      </c>
      <c r="AE172" s="140">
        <v>31</v>
      </c>
      <c r="AF172" s="140">
        <f t="shared" si="176"/>
        <v>33</v>
      </c>
      <c r="AG172" s="140" t="s">
        <v>166</v>
      </c>
      <c r="AH172" s="243">
        <v>200.32</v>
      </c>
      <c r="AI172" s="140" t="s">
        <v>498</v>
      </c>
      <c r="AJ172" s="140" t="s">
        <v>499</v>
      </c>
      <c r="AK172" s="210">
        <v>47.427500000000002</v>
      </c>
      <c r="AL172" s="210">
        <v>-8.8102999999999998</v>
      </c>
      <c r="AM172" s="244">
        <v>42</v>
      </c>
      <c r="AN172" s="244">
        <v>21</v>
      </c>
      <c r="AO172" s="244">
        <v>-2495</v>
      </c>
      <c r="AP172" s="140">
        <v>-2000</v>
      </c>
      <c r="AQ172" s="140" t="s">
        <v>500</v>
      </c>
      <c r="AR172" s="140" t="s">
        <v>166</v>
      </c>
      <c r="AS172" s="240">
        <v>55.590340340508291</v>
      </c>
      <c r="AT172" s="140" t="s">
        <v>166</v>
      </c>
      <c r="AU172" s="140" t="s">
        <v>166</v>
      </c>
      <c r="AV172" s="140" t="s">
        <v>166</v>
      </c>
      <c r="AW172" s="140" t="s">
        <v>166</v>
      </c>
      <c r="AX172" s="140" t="s">
        <v>501</v>
      </c>
      <c r="AY172" s="140" t="s">
        <v>502</v>
      </c>
      <c r="AZ172" s="215">
        <v>55.598713344821618</v>
      </c>
      <c r="BA172" s="140" t="s">
        <v>166</v>
      </c>
      <c r="BB172" s="140" t="s">
        <v>166</v>
      </c>
      <c r="BC172" s="140" t="s">
        <v>166</v>
      </c>
      <c r="BD172" s="140" t="s">
        <v>166</v>
      </c>
      <c r="BE172" s="140" t="s">
        <v>503</v>
      </c>
      <c r="BF172" s="140" t="s">
        <v>504</v>
      </c>
      <c r="BG172" s="245" t="s">
        <v>505</v>
      </c>
      <c r="BH172" s="207" t="s">
        <v>192</v>
      </c>
      <c r="BI172" s="140" t="s">
        <v>166</v>
      </c>
      <c r="BJ172" s="140" t="s">
        <v>506</v>
      </c>
      <c r="BK172" s="140" t="s">
        <v>226</v>
      </c>
      <c r="BL172" s="140" t="s">
        <v>194</v>
      </c>
      <c r="BM172" s="140" t="s">
        <v>195</v>
      </c>
      <c r="BN172" s="140" t="s">
        <v>466</v>
      </c>
      <c r="BO172" s="140" t="s">
        <v>166</v>
      </c>
      <c r="BP172" s="140" t="s">
        <v>166</v>
      </c>
      <c r="BQ172" s="246">
        <v>14.831854939527322</v>
      </c>
      <c r="BR172" s="140" t="s">
        <v>196</v>
      </c>
      <c r="BS172" s="246">
        <v>0.29872472219021695</v>
      </c>
      <c r="BT172" s="140">
        <v>1</v>
      </c>
      <c r="BU172" s="140" t="s">
        <v>197</v>
      </c>
      <c r="BV172" s="140" t="s">
        <v>166</v>
      </c>
      <c r="BW172" s="140">
        <v>0</v>
      </c>
      <c r="BX172" s="140" t="s">
        <v>197</v>
      </c>
      <c r="BY172" s="140" t="s">
        <v>166</v>
      </c>
      <c r="BZ172" s="140" t="s">
        <v>197</v>
      </c>
      <c r="CA172" s="140" t="s">
        <v>166</v>
      </c>
      <c r="CB172" s="210">
        <f t="shared" si="165"/>
        <v>14.831854939527322</v>
      </c>
      <c r="CC172" s="140" t="s">
        <v>196</v>
      </c>
      <c r="CD172" s="210">
        <f t="shared" si="166"/>
        <v>0.29872472219021695</v>
      </c>
      <c r="CE172" s="140" t="s">
        <v>199</v>
      </c>
      <c r="CF172" s="140" t="s">
        <v>166</v>
      </c>
      <c r="CG172" s="140" t="s">
        <v>474</v>
      </c>
      <c r="CH172" s="140" t="s">
        <v>166</v>
      </c>
      <c r="CI172" s="140" t="s">
        <v>166</v>
      </c>
      <c r="CJ172" s="247">
        <v>33.361775419101107</v>
      </c>
      <c r="CK172" s="140" t="s">
        <v>201</v>
      </c>
      <c r="CL172" s="140">
        <v>2</v>
      </c>
      <c r="CM172" s="140">
        <v>2</v>
      </c>
      <c r="CN172" s="140" t="s">
        <v>166</v>
      </c>
      <c r="CO172" s="248">
        <v>3.5662818179935716</v>
      </c>
      <c r="CP172" s="140" t="s">
        <v>166</v>
      </c>
      <c r="CQ172" s="140" t="s">
        <v>166</v>
      </c>
      <c r="CR172" s="140" t="s">
        <v>166</v>
      </c>
      <c r="CS172" s="249" t="s">
        <v>202</v>
      </c>
      <c r="CT172" s="140" t="s">
        <v>203</v>
      </c>
      <c r="CU172" s="140">
        <v>2.2000000000000002</v>
      </c>
      <c r="CV172" s="140" t="s">
        <v>204</v>
      </c>
      <c r="CW172" s="140" t="s">
        <v>166</v>
      </c>
      <c r="CX172" s="140" t="s">
        <v>166</v>
      </c>
      <c r="CY172" s="140" t="s">
        <v>166</v>
      </c>
      <c r="CZ172" s="140" t="s">
        <v>166</v>
      </c>
      <c r="DA172" s="209" t="s">
        <v>166</v>
      </c>
      <c r="DB172" s="140" t="s">
        <v>166</v>
      </c>
      <c r="DC172" s="140" t="s">
        <v>166</v>
      </c>
      <c r="DD172" s="140" t="s">
        <v>166</v>
      </c>
      <c r="DE172" s="140" t="s">
        <v>166</v>
      </c>
      <c r="DF172" s="140" t="s">
        <v>205</v>
      </c>
      <c r="DG172" s="250">
        <v>35</v>
      </c>
      <c r="DH172" s="250" t="s">
        <v>201</v>
      </c>
      <c r="DI172" s="250">
        <v>1</v>
      </c>
      <c r="DJ172" s="250" t="s">
        <v>206</v>
      </c>
      <c r="DK172" s="250">
        <v>17</v>
      </c>
      <c r="DL172" s="140" t="s">
        <v>166</v>
      </c>
      <c r="DM172" s="140" t="s">
        <v>166</v>
      </c>
      <c r="DN172" s="250" t="s">
        <v>207</v>
      </c>
      <c r="DO172" s="250">
        <v>38</v>
      </c>
      <c r="DP172" s="250" t="s">
        <v>208</v>
      </c>
      <c r="DQ172" s="250">
        <v>3</v>
      </c>
      <c r="DR172" s="250" t="s">
        <v>209</v>
      </c>
      <c r="DS172" s="140" t="s">
        <v>166</v>
      </c>
      <c r="DT172" s="140" t="s">
        <v>166</v>
      </c>
      <c r="DU172" s="140" t="s">
        <v>166</v>
      </c>
      <c r="DV172" s="140" t="s">
        <v>166</v>
      </c>
      <c r="DW172" s="250">
        <v>432.6</v>
      </c>
      <c r="DX172" s="140" t="s">
        <v>166</v>
      </c>
      <c r="DY172" s="140" t="s">
        <v>166</v>
      </c>
      <c r="DZ172" s="140" t="s">
        <v>210</v>
      </c>
      <c r="EA172" s="140" t="s">
        <v>211</v>
      </c>
      <c r="EB172" s="140" t="s">
        <v>212</v>
      </c>
      <c r="EC172" s="140" t="s">
        <v>166</v>
      </c>
      <c r="ED172" s="140" t="s">
        <v>213</v>
      </c>
      <c r="EE172" s="213" t="s">
        <v>214</v>
      </c>
      <c r="EF172" s="213" t="s">
        <v>214</v>
      </c>
      <c r="EG172" s="250">
        <v>1.0271999999999999</v>
      </c>
      <c r="EH172" s="250" t="s">
        <v>215</v>
      </c>
      <c r="EI172" s="250" t="s">
        <v>215</v>
      </c>
      <c r="EJ172" s="250" t="s">
        <v>216</v>
      </c>
      <c r="EK172" s="250" t="s">
        <v>215</v>
      </c>
      <c r="EL172" s="250" t="s">
        <v>215</v>
      </c>
      <c r="EM172" s="250" t="s">
        <v>217</v>
      </c>
      <c r="EN172" s="251" t="s">
        <v>214</v>
      </c>
      <c r="EO172" s="251" t="s">
        <v>214</v>
      </c>
      <c r="EP172" s="251" t="s">
        <v>214</v>
      </c>
      <c r="EQ172" s="251" t="s">
        <v>214</v>
      </c>
      <c r="ER172" s="250"/>
      <c r="ES172" s="250"/>
      <c r="ET172" s="140" t="s">
        <v>218</v>
      </c>
      <c r="EU172" s="250" t="s">
        <v>219</v>
      </c>
      <c r="EV172" s="250" t="s">
        <v>213</v>
      </c>
      <c r="EW172" s="140" t="s">
        <v>166</v>
      </c>
      <c r="EX172" s="140" t="s">
        <v>166</v>
      </c>
      <c r="EY172" s="140" t="s">
        <v>166</v>
      </c>
      <c r="EZ172" s="140" t="s">
        <v>166</v>
      </c>
      <c r="FA172" s="205">
        <v>5.5</v>
      </c>
      <c r="FB172" s="140" t="s">
        <v>220</v>
      </c>
      <c r="FC172" s="205">
        <v>1</v>
      </c>
      <c r="FD172" s="205">
        <v>1</v>
      </c>
      <c r="FE172" s="252">
        <v>7.7198008072719002</v>
      </c>
      <c r="FF172" s="140" t="s">
        <v>221</v>
      </c>
      <c r="FG172" s="252">
        <v>4.0006335096030021E-2</v>
      </c>
      <c r="FH172" s="252">
        <v>3.9317238294569457E-2</v>
      </c>
      <c r="FI172" s="201">
        <v>867.31773302604893</v>
      </c>
      <c r="FK172" s="140" t="s">
        <v>166</v>
      </c>
      <c r="FL172" s="217">
        <f t="shared" si="157"/>
        <v>867.31773302604893</v>
      </c>
      <c r="FM172" s="201">
        <v>219.04925581296106</v>
      </c>
      <c r="FN172" s="201">
        <v>176.2722266180989</v>
      </c>
      <c r="FO172" s="140" t="s">
        <v>222</v>
      </c>
      <c r="FP172" s="140" t="s">
        <v>223</v>
      </c>
      <c r="FQ172" s="217" t="s">
        <v>166</v>
      </c>
      <c r="FR172" s="217" t="s">
        <v>166</v>
      </c>
      <c r="FS172" s="217" t="s">
        <v>166</v>
      </c>
      <c r="FT172" s="217" t="s">
        <v>166</v>
      </c>
      <c r="FU172" s="217" t="s">
        <v>166</v>
      </c>
      <c r="FV172" s="217" t="s">
        <v>166</v>
      </c>
      <c r="FW172" s="217" t="s">
        <v>166</v>
      </c>
      <c r="FX172" s="217" t="s">
        <v>166</v>
      </c>
      <c r="FY172" s="217" t="s">
        <v>166</v>
      </c>
      <c r="FZ172" s="217" t="s">
        <v>166</v>
      </c>
      <c r="GA172" s="217" t="s">
        <v>166</v>
      </c>
      <c r="GB172" s="217" t="s">
        <v>166</v>
      </c>
      <c r="GC172" s="202" t="s">
        <v>507</v>
      </c>
    </row>
    <row r="173" spans="1:192" s="140" customFormat="1" ht="17">
      <c r="A173" s="140" t="s">
        <v>162</v>
      </c>
      <c r="B173" s="143" t="s">
        <v>163</v>
      </c>
      <c r="C173" s="140" t="s">
        <v>164</v>
      </c>
      <c r="D173" s="140" t="s">
        <v>165</v>
      </c>
      <c r="E173" s="140">
        <v>2020</v>
      </c>
      <c r="F173" s="140" t="s">
        <v>184</v>
      </c>
      <c r="G173" s="240">
        <v>55611.451451619403</v>
      </c>
      <c r="H173" s="241">
        <f t="shared" ref="H173" si="179">0.0083*G173^(0.9482)</f>
        <v>262.08539223904756</v>
      </c>
      <c r="I173" s="241">
        <f t="shared" si="171"/>
        <v>262.08539223904756</v>
      </c>
      <c r="J173" s="201">
        <v>1004.1078949412001</v>
      </c>
      <c r="K173" s="201">
        <v>242.20048323896981</v>
      </c>
      <c r="L173" s="201">
        <v>194.60125176852318</v>
      </c>
      <c r="M173" s="140" t="b">
        <v>1</v>
      </c>
      <c r="N173" s="140">
        <v>1</v>
      </c>
      <c r="O173" s="302" t="s">
        <v>581</v>
      </c>
      <c r="P173" s="140" t="s">
        <v>166</v>
      </c>
      <c r="Q173" s="140" t="s">
        <v>166</v>
      </c>
      <c r="R173" s="140" t="s">
        <v>166</v>
      </c>
      <c r="S173" s="140" t="b">
        <v>1</v>
      </c>
      <c r="T173" s="140" t="b">
        <v>0</v>
      </c>
      <c r="U173" s="140" t="s">
        <v>166</v>
      </c>
      <c r="V173" s="140" t="b">
        <v>0</v>
      </c>
      <c r="W173" s="140" t="b">
        <v>0</v>
      </c>
      <c r="X173" s="140" t="s">
        <v>580</v>
      </c>
      <c r="Y173" s="202" t="s">
        <v>186</v>
      </c>
      <c r="Z173" s="140" t="s">
        <v>184</v>
      </c>
      <c r="AA173" s="242">
        <v>401</v>
      </c>
      <c r="AB173" s="140" t="s">
        <v>166</v>
      </c>
      <c r="AC173" s="140">
        <v>14</v>
      </c>
      <c r="AD173" s="140">
        <v>2</v>
      </c>
      <c r="AE173" s="140">
        <v>50</v>
      </c>
      <c r="AF173" s="140">
        <f t="shared" si="176"/>
        <v>52</v>
      </c>
      <c r="AG173" s="140" t="s">
        <v>166</v>
      </c>
      <c r="AH173" s="243">
        <v>200.51</v>
      </c>
      <c r="AI173" s="140" t="s">
        <v>498</v>
      </c>
      <c r="AJ173" s="140" t="s">
        <v>499</v>
      </c>
      <c r="AK173" s="210">
        <v>47.427500000000002</v>
      </c>
      <c r="AL173" s="210">
        <v>-8.8102999999999998</v>
      </c>
      <c r="AM173" s="244">
        <v>42</v>
      </c>
      <c r="AN173" s="244">
        <v>21</v>
      </c>
      <c r="AO173" s="244">
        <v>-2495</v>
      </c>
      <c r="AP173" s="140">
        <v>-2000</v>
      </c>
      <c r="AQ173" s="140" t="s">
        <v>500</v>
      </c>
      <c r="AR173" s="140" t="s">
        <v>166</v>
      </c>
      <c r="AS173" s="240">
        <v>55.611451451619402</v>
      </c>
      <c r="AT173" s="140" t="s">
        <v>166</v>
      </c>
      <c r="AU173" s="140" t="s">
        <v>166</v>
      </c>
      <c r="AV173" s="140" t="s">
        <v>166</v>
      </c>
      <c r="AW173" s="140" t="s">
        <v>166</v>
      </c>
      <c r="AX173" s="140" t="s">
        <v>501</v>
      </c>
      <c r="AY173" s="140" t="s">
        <v>502</v>
      </c>
      <c r="AZ173" s="215">
        <v>55.623618085777302</v>
      </c>
      <c r="BA173" s="140" t="s">
        <v>166</v>
      </c>
      <c r="BB173" s="140" t="s">
        <v>166</v>
      </c>
      <c r="BC173" s="140" t="s">
        <v>166</v>
      </c>
      <c r="BD173" s="140" t="s">
        <v>166</v>
      </c>
      <c r="BE173" s="140" t="s">
        <v>503</v>
      </c>
      <c r="BF173" s="140" t="s">
        <v>504</v>
      </c>
      <c r="BG173" s="245" t="s">
        <v>505</v>
      </c>
      <c r="BH173" s="207" t="s">
        <v>192</v>
      </c>
      <c r="BI173" s="140" t="s">
        <v>166</v>
      </c>
      <c r="BJ173" s="140" t="s">
        <v>506</v>
      </c>
      <c r="BK173" s="140" t="s">
        <v>226</v>
      </c>
      <c r="BL173" s="140" t="s">
        <v>194</v>
      </c>
      <c r="BM173" s="140" t="s">
        <v>195</v>
      </c>
      <c r="BN173" s="140" t="s">
        <v>466</v>
      </c>
      <c r="BO173" s="140" t="s">
        <v>166</v>
      </c>
      <c r="BP173" s="140" t="s">
        <v>166</v>
      </c>
      <c r="BQ173" s="246">
        <v>14.641176022340829</v>
      </c>
      <c r="BR173" s="140" t="s">
        <v>196</v>
      </c>
      <c r="BS173" s="246">
        <v>0.28446222382042152</v>
      </c>
      <c r="BT173" s="140">
        <v>1</v>
      </c>
      <c r="BU173" s="140" t="s">
        <v>197</v>
      </c>
      <c r="BV173" s="140" t="s">
        <v>166</v>
      </c>
      <c r="BW173" s="140">
        <v>0</v>
      </c>
      <c r="BX173" s="140" t="s">
        <v>197</v>
      </c>
      <c r="BY173" s="140" t="s">
        <v>166</v>
      </c>
      <c r="BZ173" s="140" t="s">
        <v>197</v>
      </c>
      <c r="CA173" s="140" t="s">
        <v>166</v>
      </c>
      <c r="CB173" s="210">
        <f t="shared" si="165"/>
        <v>14.641176022340829</v>
      </c>
      <c r="CC173" s="140" t="s">
        <v>196</v>
      </c>
      <c r="CD173" s="210">
        <f t="shared" si="166"/>
        <v>0.28446222382042152</v>
      </c>
      <c r="CE173" s="140" t="s">
        <v>199</v>
      </c>
      <c r="CF173" s="140" t="s">
        <v>166</v>
      </c>
      <c r="CG173" s="140" t="s">
        <v>474</v>
      </c>
      <c r="CH173" s="140" t="s">
        <v>166</v>
      </c>
      <c r="CI173" s="140" t="s">
        <v>166</v>
      </c>
      <c r="CJ173" s="247">
        <v>34.23728107872298</v>
      </c>
      <c r="CK173" s="140" t="s">
        <v>201</v>
      </c>
      <c r="CL173" s="140">
        <v>2</v>
      </c>
      <c r="CM173" s="140">
        <v>2</v>
      </c>
      <c r="CN173" s="140" t="s">
        <v>166</v>
      </c>
      <c r="CO173" s="248">
        <v>3.7466816184529561</v>
      </c>
      <c r="CP173" s="140" t="s">
        <v>166</v>
      </c>
      <c r="CQ173" s="140" t="s">
        <v>166</v>
      </c>
      <c r="CR173" s="140" t="s">
        <v>166</v>
      </c>
      <c r="CS173" s="249" t="s">
        <v>202</v>
      </c>
      <c r="CT173" s="140" t="s">
        <v>203</v>
      </c>
      <c r="CU173" s="140">
        <v>2.2000000000000002</v>
      </c>
      <c r="CV173" s="140" t="s">
        <v>204</v>
      </c>
      <c r="CW173" s="140" t="s">
        <v>166</v>
      </c>
      <c r="CX173" s="140" t="s">
        <v>166</v>
      </c>
      <c r="CY173" s="140" t="s">
        <v>166</v>
      </c>
      <c r="CZ173" s="140" t="s">
        <v>166</v>
      </c>
      <c r="DA173" s="209" t="s">
        <v>166</v>
      </c>
      <c r="DB173" s="140" t="s">
        <v>166</v>
      </c>
      <c r="DC173" s="140" t="s">
        <v>166</v>
      </c>
      <c r="DD173" s="140" t="s">
        <v>166</v>
      </c>
      <c r="DE173" s="140" t="s">
        <v>166</v>
      </c>
      <c r="DF173" s="140" t="s">
        <v>205</v>
      </c>
      <c r="DG173" s="250">
        <v>35</v>
      </c>
      <c r="DH173" s="250" t="s">
        <v>201</v>
      </c>
      <c r="DI173" s="250">
        <v>1</v>
      </c>
      <c r="DJ173" s="250" t="s">
        <v>206</v>
      </c>
      <c r="DK173" s="250">
        <v>17</v>
      </c>
      <c r="DL173" s="140" t="s">
        <v>166</v>
      </c>
      <c r="DM173" s="140" t="s">
        <v>166</v>
      </c>
      <c r="DN173" s="250" t="s">
        <v>207</v>
      </c>
      <c r="DO173" s="250">
        <v>38</v>
      </c>
      <c r="DP173" s="250" t="s">
        <v>208</v>
      </c>
      <c r="DQ173" s="250">
        <v>3</v>
      </c>
      <c r="DR173" s="250" t="s">
        <v>209</v>
      </c>
      <c r="DS173" s="140" t="s">
        <v>166</v>
      </c>
      <c r="DT173" s="140" t="s">
        <v>166</v>
      </c>
      <c r="DU173" s="140" t="s">
        <v>166</v>
      </c>
      <c r="DV173" s="140" t="s">
        <v>166</v>
      </c>
      <c r="DW173" s="250">
        <v>432.6</v>
      </c>
      <c r="DX173" s="140" t="s">
        <v>166</v>
      </c>
      <c r="DY173" s="140" t="s">
        <v>166</v>
      </c>
      <c r="DZ173" s="140" t="s">
        <v>210</v>
      </c>
      <c r="EA173" s="140" t="s">
        <v>211</v>
      </c>
      <c r="EB173" s="140" t="s">
        <v>212</v>
      </c>
      <c r="EC173" s="140" t="s">
        <v>166</v>
      </c>
      <c r="ED173" s="140" t="s">
        <v>213</v>
      </c>
      <c r="EE173" s="213" t="s">
        <v>214</v>
      </c>
      <c r="EF173" s="213" t="s">
        <v>214</v>
      </c>
      <c r="EG173" s="250">
        <v>1.0271999999999999</v>
      </c>
      <c r="EH173" s="250" t="s">
        <v>215</v>
      </c>
      <c r="EI173" s="250" t="s">
        <v>215</v>
      </c>
      <c r="EJ173" s="250" t="s">
        <v>216</v>
      </c>
      <c r="EK173" s="250" t="s">
        <v>215</v>
      </c>
      <c r="EL173" s="250" t="s">
        <v>215</v>
      </c>
      <c r="EM173" s="250" t="s">
        <v>217</v>
      </c>
      <c r="EN173" s="251" t="s">
        <v>214</v>
      </c>
      <c r="EO173" s="251" t="s">
        <v>214</v>
      </c>
      <c r="EP173" s="251" t="s">
        <v>214</v>
      </c>
      <c r="EQ173" s="251" t="s">
        <v>214</v>
      </c>
      <c r="ER173" s="250"/>
      <c r="ES173" s="250"/>
      <c r="ET173" s="140" t="s">
        <v>218</v>
      </c>
      <c r="EU173" s="250" t="s">
        <v>219</v>
      </c>
      <c r="EV173" s="250" t="s">
        <v>213</v>
      </c>
      <c r="EW173" s="140" t="s">
        <v>166</v>
      </c>
      <c r="EX173" s="140" t="s">
        <v>166</v>
      </c>
      <c r="EY173" s="140" t="s">
        <v>166</v>
      </c>
      <c r="EZ173" s="140" t="s">
        <v>166</v>
      </c>
      <c r="FA173" s="205">
        <v>5.5</v>
      </c>
      <c r="FB173" s="140" t="s">
        <v>220</v>
      </c>
      <c r="FC173" s="205">
        <v>1</v>
      </c>
      <c r="FD173" s="205">
        <v>1</v>
      </c>
      <c r="FE173" s="252">
        <v>7.6808373330824402</v>
      </c>
      <c r="FF173" s="140" t="s">
        <v>221</v>
      </c>
      <c r="FG173" s="252">
        <v>3.8276809980500204E-2</v>
      </c>
      <c r="FH173" s="252">
        <v>4.3289318403910038E-2</v>
      </c>
      <c r="FI173" s="201">
        <v>1004.1078949412001</v>
      </c>
      <c r="FK173" s="140" t="s">
        <v>166</v>
      </c>
      <c r="FL173" s="217">
        <f t="shared" si="157"/>
        <v>1004.1078949412001</v>
      </c>
      <c r="FM173" s="201">
        <v>242.20048323896981</v>
      </c>
      <c r="FN173" s="201">
        <v>194.60125176852318</v>
      </c>
      <c r="FO173" s="140" t="s">
        <v>222</v>
      </c>
      <c r="FP173" s="140" t="s">
        <v>223</v>
      </c>
      <c r="FQ173" s="217" t="s">
        <v>166</v>
      </c>
      <c r="FR173" s="217" t="s">
        <v>166</v>
      </c>
      <c r="FS173" s="217" t="s">
        <v>166</v>
      </c>
      <c r="FT173" s="217" t="s">
        <v>166</v>
      </c>
      <c r="FU173" s="217" t="s">
        <v>166</v>
      </c>
      <c r="FV173" s="217" t="s">
        <v>166</v>
      </c>
      <c r="FW173" s="217" t="s">
        <v>166</v>
      </c>
      <c r="FX173" s="217" t="s">
        <v>166</v>
      </c>
      <c r="FY173" s="217" t="s">
        <v>166</v>
      </c>
      <c r="FZ173" s="217" t="s">
        <v>166</v>
      </c>
      <c r="GA173" s="217" t="s">
        <v>166</v>
      </c>
      <c r="GB173" s="217" t="s">
        <v>166</v>
      </c>
      <c r="GC173" s="202" t="s">
        <v>507</v>
      </c>
    </row>
    <row r="174" spans="1:192" s="140" customFormat="1" ht="17">
      <c r="A174" s="140" t="s">
        <v>162</v>
      </c>
      <c r="B174" s="143" t="s">
        <v>163</v>
      </c>
      <c r="C174" s="140" t="s">
        <v>164</v>
      </c>
      <c r="D174" s="140" t="s">
        <v>165</v>
      </c>
      <c r="E174" s="140">
        <v>2020</v>
      </c>
      <c r="F174" s="140" t="s">
        <v>184</v>
      </c>
      <c r="G174" s="240">
        <v>55635.895896063841</v>
      </c>
      <c r="H174" s="241">
        <f t="shared" ref="H174" si="180">0.0083*G174^(0.9482)</f>
        <v>262.19462521458041</v>
      </c>
      <c r="I174" s="241">
        <f t="shared" si="171"/>
        <v>262.19462521458041</v>
      </c>
      <c r="J174" s="201">
        <v>1137.5660117467198</v>
      </c>
      <c r="K174" s="201">
        <v>328.76197723174027</v>
      </c>
      <c r="L174" s="201">
        <v>237.04824424517687</v>
      </c>
      <c r="M174" s="140" t="b">
        <v>1</v>
      </c>
      <c r="N174" s="140">
        <v>1</v>
      </c>
      <c r="O174" s="302" t="s">
        <v>581</v>
      </c>
      <c r="P174" s="140" t="s">
        <v>166</v>
      </c>
      <c r="Q174" s="140" t="s">
        <v>166</v>
      </c>
      <c r="R174" s="140" t="s">
        <v>166</v>
      </c>
      <c r="S174" s="140" t="b">
        <v>1</v>
      </c>
      <c r="T174" s="140" t="b">
        <v>0</v>
      </c>
      <c r="U174" s="140" t="s">
        <v>166</v>
      </c>
      <c r="V174" s="140" t="b">
        <v>0</v>
      </c>
      <c r="W174" s="140" t="b">
        <v>0</v>
      </c>
      <c r="X174" s="140" t="s">
        <v>580</v>
      </c>
      <c r="Y174" s="202" t="s">
        <v>186</v>
      </c>
      <c r="Z174" s="140" t="s">
        <v>184</v>
      </c>
      <c r="AA174" s="242">
        <v>401</v>
      </c>
      <c r="AB174" s="140" t="s">
        <v>166</v>
      </c>
      <c r="AC174" s="140">
        <v>14</v>
      </c>
      <c r="AD174" s="140">
        <v>2</v>
      </c>
      <c r="AE174" s="140">
        <v>72</v>
      </c>
      <c r="AF174" s="140">
        <f t="shared" si="176"/>
        <v>74</v>
      </c>
      <c r="AG174" s="140" t="s">
        <v>166</v>
      </c>
      <c r="AH174" s="243">
        <v>200.73</v>
      </c>
      <c r="AI174" s="140" t="s">
        <v>498</v>
      </c>
      <c r="AJ174" s="140" t="s">
        <v>499</v>
      </c>
      <c r="AK174" s="210">
        <v>47.427500000000002</v>
      </c>
      <c r="AL174" s="210">
        <v>-8.8102999999999998</v>
      </c>
      <c r="AM174" s="244">
        <v>42</v>
      </c>
      <c r="AN174" s="244">
        <v>21</v>
      </c>
      <c r="AO174" s="244">
        <v>-2495</v>
      </c>
      <c r="AP174" s="140">
        <v>-2000</v>
      </c>
      <c r="AQ174" s="140" t="s">
        <v>500</v>
      </c>
      <c r="AR174" s="140" t="s">
        <v>166</v>
      </c>
      <c r="AS174" s="240">
        <v>55.635895896063843</v>
      </c>
      <c r="AT174" s="140" t="s">
        <v>166</v>
      </c>
      <c r="AU174" s="140" t="s">
        <v>166</v>
      </c>
      <c r="AV174" s="140" t="s">
        <v>166</v>
      </c>
      <c r="AW174" s="140" t="s">
        <v>166</v>
      </c>
      <c r="AX174" s="140" t="s">
        <v>501</v>
      </c>
      <c r="AY174" s="140" t="s">
        <v>502</v>
      </c>
      <c r="AZ174" s="215">
        <v>55.652455154252294</v>
      </c>
      <c r="BA174" s="140" t="s">
        <v>166</v>
      </c>
      <c r="BB174" s="140" t="s">
        <v>166</v>
      </c>
      <c r="BC174" s="140" t="s">
        <v>166</v>
      </c>
      <c r="BD174" s="140" t="s">
        <v>166</v>
      </c>
      <c r="BE174" s="140" t="s">
        <v>503</v>
      </c>
      <c r="BF174" s="140" t="s">
        <v>504</v>
      </c>
      <c r="BG174" s="245" t="s">
        <v>505</v>
      </c>
      <c r="BH174" s="207" t="s">
        <v>192</v>
      </c>
      <c r="BI174" s="140" t="s">
        <v>166</v>
      </c>
      <c r="BJ174" s="140" t="s">
        <v>506</v>
      </c>
      <c r="BK174" s="140" t="s">
        <v>226</v>
      </c>
      <c r="BL174" s="140" t="s">
        <v>194</v>
      </c>
      <c r="BM174" s="140" t="s">
        <v>195</v>
      </c>
      <c r="BN174" s="140" t="s">
        <v>466</v>
      </c>
      <c r="BO174" s="140" t="s">
        <v>166</v>
      </c>
      <c r="BP174" s="140" t="s">
        <v>166</v>
      </c>
      <c r="BQ174" s="246">
        <v>14.358475558323258</v>
      </c>
      <c r="BR174" s="140" t="s">
        <v>196</v>
      </c>
      <c r="BS174" s="246">
        <v>0.33268591304613182</v>
      </c>
      <c r="BT174" s="140">
        <v>1</v>
      </c>
      <c r="BU174" s="140" t="s">
        <v>197</v>
      </c>
      <c r="BV174" s="140" t="s">
        <v>166</v>
      </c>
      <c r="BW174" s="140">
        <v>0</v>
      </c>
      <c r="BX174" s="140" t="s">
        <v>197</v>
      </c>
      <c r="BY174" s="140" t="s">
        <v>166</v>
      </c>
      <c r="BZ174" s="140" t="s">
        <v>197</v>
      </c>
      <c r="CA174" s="140" t="s">
        <v>166</v>
      </c>
      <c r="CB174" s="210">
        <f t="shared" si="165"/>
        <v>14.358475558323258</v>
      </c>
      <c r="CC174" s="140" t="s">
        <v>196</v>
      </c>
      <c r="CD174" s="210">
        <f t="shared" si="166"/>
        <v>0.33268591304613182</v>
      </c>
      <c r="CE174" s="140" t="s">
        <v>199</v>
      </c>
      <c r="CF174" s="140" t="s">
        <v>166</v>
      </c>
      <c r="CG174" s="140" t="s">
        <v>474</v>
      </c>
      <c r="CH174" s="140" t="s">
        <v>166</v>
      </c>
      <c r="CI174" s="140" t="s">
        <v>166</v>
      </c>
      <c r="CJ174" s="247">
        <v>32.376812529946434</v>
      </c>
      <c r="CK174" s="140" t="s">
        <v>201</v>
      </c>
      <c r="CL174" s="140">
        <v>2</v>
      </c>
      <c r="CM174" s="140">
        <v>2</v>
      </c>
      <c r="CN174" s="140" t="s">
        <v>166</v>
      </c>
      <c r="CO174" s="248">
        <v>3.3736899877506978</v>
      </c>
      <c r="CP174" s="140" t="s">
        <v>166</v>
      </c>
      <c r="CQ174" s="140" t="s">
        <v>166</v>
      </c>
      <c r="CR174" s="140" t="s">
        <v>166</v>
      </c>
      <c r="CS174" s="249" t="s">
        <v>202</v>
      </c>
      <c r="CT174" s="140" t="s">
        <v>203</v>
      </c>
      <c r="CU174" s="140">
        <v>2.2000000000000002</v>
      </c>
      <c r="CV174" s="140" t="s">
        <v>204</v>
      </c>
      <c r="CW174" s="140" t="s">
        <v>166</v>
      </c>
      <c r="CX174" s="140" t="s">
        <v>166</v>
      </c>
      <c r="CY174" s="140" t="s">
        <v>166</v>
      </c>
      <c r="CZ174" s="140" t="s">
        <v>166</v>
      </c>
      <c r="DA174" s="209" t="s">
        <v>166</v>
      </c>
      <c r="DB174" s="140" t="s">
        <v>166</v>
      </c>
      <c r="DC174" s="140" t="s">
        <v>166</v>
      </c>
      <c r="DD174" s="140" t="s">
        <v>166</v>
      </c>
      <c r="DE174" s="140" t="s">
        <v>166</v>
      </c>
      <c r="DF174" s="140" t="s">
        <v>205</v>
      </c>
      <c r="DG174" s="250">
        <v>35</v>
      </c>
      <c r="DH174" s="250" t="s">
        <v>201</v>
      </c>
      <c r="DI174" s="250">
        <v>1</v>
      </c>
      <c r="DJ174" s="250" t="s">
        <v>206</v>
      </c>
      <c r="DK174" s="250">
        <v>17</v>
      </c>
      <c r="DL174" s="140" t="s">
        <v>166</v>
      </c>
      <c r="DM174" s="140" t="s">
        <v>166</v>
      </c>
      <c r="DN174" s="250" t="s">
        <v>207</v>
      </c>
      <c r="DO174" s="250">
        <v>38</v>
      </c>
      <c r="DP174" s="250" t="s">
        <v>208</v>
      </c>
      <c r="DQ174" s="250">
        <v>3</v>
      </c>
      <c r="DR174" s="250" t="s">
        <v>209</v>
      </c>
      <c r="DS174" s="140" t="s">
        <v>166</v>
      </c>
      <c r="DT174" s="140" t="s">
        <v>166</v>
      </c>
      <c r="DU174" s="140" t="s">
        <v>166</v>
      </c>
      <c r="DV174" s="140" t="s">
        <v>166</v>
      </c>
      <c r="DW174" s="250">
        <v>432.6</v>
      </c>
      <c r="DX174" s="140" t="s">
        <v>166</v>
      </c>
      <c r="DY174" s="140" t="s">
        <v>166</v>
      </c>
      <c r="DZ174" s="140" t="s">
        <v>210</v>
      </c>
      <c r="EA174" s="140" t="s">
        <v>211</v>
      </c>
      <c r="EB174" s="140" t="s">
        <v>212</v>
      </c>
      <c r="EC174" s="140" t="s">
        <v>166</v>
      </c>
      <c r="ED174" s="140" t="s">
        <v>213</v>
      </c>
      <c r="EE174" s="213" t="s">
        <v>214</v>
      </c>
      <c r="EF174" s="213" t="s">
        <v>214</v>
      </c>
      <c r="EG174" s="250">
        <v>1.0271999999999999</v>
      </c>
      <c r="EH174" s="250" t="s">
        <v>215</v>
      </c>
      <c r="EI174" s="250" t="s">
        <v>215</v>
      </c>
      <c r="EJ174" s="250" t="s">
        <v>216</v>
      </c>
      <c r="EK174" s="250" t="s">
        <v>215</v>
      </c>
      <c r="EL174" s="250" t="s">
        <v>215</v>
      </c>
      <c r="EM174" s="250" t="s">
        <v>217</v>
      </c>
      <c r="EN174" s="251" t="s">
        <v>214</v>
      </c>
      <c r="EO174" s="251" t="s">
        <v>214</v>
      </c>
      <c r="EP174" s="251" t="s">
        <v>214</v>
      </c>
      <c r="EQ174" s="251" t="s">
        <v>214</v>
      </c>
      <c r="ER174" s="250"/>
      <c r="ES174" s="250"/>
      <c r="ET174" s="140" t="s">
        <v>218</v>
      </c>
      <c r="EU174" s="250" t="s">
        <v>219</v>
      </c>
      <c r="EV174" s="250" t="s">
        <v>213</v>
      </c>
      <c r="EW174" s="140" t="s">
        <v>166</v>
      </c>
      <c r="EX174" s="140" t="s">
        <v>166</v>
      </c>
      <c r="EY174" s="140" t="s">
        <v>166</v>
      </c>
      <c r="EZ174" s="140" t="s">
        <v>166</v>
      </c>
      <c r="FA174" s="205">
        <v>5.5</v>
      </c>
      <c r="FB174" s="140" t="s">
        <v>220</v>
      </c>
      <c r="FC174" s="205">
        <v>1</v>
      </c>
      <c r="FD174" s="205">
        <v>1</v>
      </c>
      <c r="FE174" s="252">
        <v>7.6656926050546303</v>
      </c>
      <c r="FF174" s="140" t="s">
        <v>221</v>
      </c>
      <c r="FG174" s="252">
        <v>4.643649004981043E-2</v>
      </c>
      <c r="FH174" s="252">
        <v>4.7029209333069311E-2</v>
      </c>
      <c r="FI174" s="201">
        <v>1137.5660117467198</v>
      </c>
      <c r="FK174" s="140" t="s">
        <v>166</v>
      </c>
      <c r="FL174" s="217">
        <f t="shared" si="157"/>
        <v>1137.5660117467198</v>
      </c>
      <c r="FM174" s="201">
        <v>328.76197723174027</v>
      </c>
      <c r="FN174" s="201">
        <v>237.04824424517687</v>
      </c>
      <c r="FO174" s="140" t="s">
        <v>222</v>
      </c>
      <c r="FP174" s="140" t="s">
        <v>223</v>
      </c>
      <c r="FQ174" s="217" t="s">
        <v>166</v>
      </c>
      <c r="FR174" s="217" t="s">
        <v>166</v>
      </c>
      <c r="FS174" s="217" t="s">
        <v>166</v>
      </c>
      <c r="FT174" s="217" t="s">
        <v>166</v>
      </c>
      <c r="FU174" s="217" t="s">
        <v>166</v>
      </c>
      <c r="FV174" s="217" t="s">
        <v>166</v>
      </c>
      <c r="FW174" s="217" t="s">
        <v>166</v>
      </c>
      <c r="FX174" s="217" t="s">
        <v>166</v>
      </c>
      <c r="FY174" s="217" t="s">
        <v>166</v>
      </c>
      <c r="FZ174" s="217" t="s">
        <v>166</v>
      </c>
      <c r="GA174" s="217" t="s">
        <v>166</v>
      </c>
      <c r="GB174" s="217" t="s">
        <v>166</v>
      </c>
      <c r="GC174" s="202" t="s">
        <v>507</v>
      </c>
    </row>
    <row r="175" spans="1:192" s="140" customFormat="1" ht="17">
      <c r="A175" s="140" t="s">
        <v>162</v>
      </c>
      <c r="B175" s="143" t="s">
        <v>163</v>
      </c>
      <c r="C175" s="140" t="s">
        <v>164</v>
      </c>
      <c r="D175" s="140" t="s">
        <v>165</v>
      </c>
      <c r="E175" s="140">
        <v>2020</v>
      </c>
      <c r="F175" s="140" t="s">
        <v>184</v>
      </c>
      <c r="G175" s="240">
        <v>55657.007007174951</v>
      </c>
      <c r="H175" s="241">
        <f t="shared" ref="H175" si="181">0.0083*G175^(0.9482)</f>
        <v>262.28896078369178</v>
      </c>
      <c r="I175" s="241">
        <f t="shared" si="171"/>
        <v>262.28896078369178</v>
      </c>
      <c r="J175" s="201">
        <v>1046.4381424626599</v>
      </c>
      <c r="K175" s="201">
        <v>279.36018693526989</v>
      </c>
      <c r="L175" s="201">
        <v>214.25455372705392</v>
      </c>
      <c r="M175" s="140" t="b">
        <v>1</v>
      </c>
      <c r="N175" s="140">
        <v>1</v>
      </c>
      <c r="O175" s="302" t="s">
        <v>581</v>
      </c>
      <c r="P175" s="140" t="s">
        <v>166</v>
      </c>
      <c r="Q175" s="140" t="s">
        <v>166</v>
      </c>
      <c r="R175" s="140" t="s">
        <v>166</v>
      </c>
      <c r="S175" s="140" t="b">
        <v>1</v>
      </c>
      <c r="T175" s="140" t="b">
        <v>0</v>
      </c>
      <c r="U175" s="140" t="s">
        <v>166</v>
      </c>
      <c r="V175" s="140" t="b">
        <v>0</v>
      </c>
      <c r="W175" s="140" t="b">
        <v>0</v>
      </c>
      <c r="X175" s="140" t="s">
        <v>580</v>
      </c>
      <c r="Y175" s="202" t="s">
        <v>186</v>
      </c>
      <c r="Z175" s="140" t="s">
        <v>184</v>
      </c>
      <c r="AA175" s="242">
        <v>401</v>
      </c>
      <c r="AB175" s="140" t="s">
        <v>166</v>
      </c>
      <c r="AC175" s="140">
        <v>14</v>
      </c>
      <c r="AD175" s="140">
        <v>2</v>
      </c>
      <c r="AE175" s="140">
        <v>91</v>
      </c>
      <c r="AF175" s="140">
        <f t="shared" si="176"/>
        <v>93</v>
      </c>
      <c r="AG175" s="140" t="s">
        <v>166</v>
      </c>
      <c r="AH175" s="243">
        <v>200.92</v>
      </c>
      <c r="AI175" s="140" t="s">
        <v>498</v>
      </c>
      <c r="AJ175" s="140" t="s">
        <v>499</v>
      </c>
      <c r="AK175" s="210">
        <v>47.427500000000002</v>
      </c>
      <c r="AL175" s="210">
        <v>-8.8102999999999998</v>
      </c>
      <c r="AM175" s="244">
        <v>42</v>
      </c>
      <c r="AN175" s="244">
        <v>21</v>
      </c>
      <c r="AO175" s="244">
        <v>-2495</v>
      </c>
      <c r="AP175" s="140">
        <v>-2000</v>
      </c>
      <c r="AQ175" s="140" t="s">
        <v>500</v>
      </c>
      <c r="AR175" s="140" t="s">
        <v>166</v>
      </c>
      <c r="AS175" s="240">
        <v>55.657007007174954</v>
      </c>
      <c r="AT175" s="140" t="s">
        <v>166</v>
      </c>
      <c r="AU175" s="140" t="s">
        <v>166</v>
      </c>
      <c r="AV175" s="140" t="s">
        <v>166</v>
      </c>
      <c r="AW175" s="140" t="s">
        <v>166</v>
      </c>
      <c r="AX175" s="140" t="s">
        <v>501</v>
      </c>
      <c r="AY175" s="140" t="s">
        <v>502</v>
      </c>
      <c r="AZ175" s="215">
        <v>55.677359895207971</v>
      </c>
      <c r="BA175" s="140" t="s">
        <v>166</v>
      </c>
      <c r="BB175" s="140" t="s">
        <v>166</v>
      </c>
      <c r="BC175" s="140" t="s">
        <v>166</v>
      </c>
      <c r="BD175" s="140" t="s">
        <v>166</v>
      </c>
      <c r="BE175" s="140" t="s">
        <v>503</v>
      </c>
      <c r="BF175" s="140" t="s">
        <v>504</v>
      </c>
      <c r="BG175" s="245" t="s">
        <v>505</v>
      </c>
      <c r="BH175" s="207" t="s">
        <v>192</v>
      </c>
      <c r="BI175" s="140" t="s">
        <v>166</v>
      </c>
      <c r="BJ175" s="140" t="s">
        <v>506</v>
      </c>
      <c r="BK175" s="140" t="s">
        <v>226</v>
      </c>
      <c r="BL175" s="140" t="s">
        <v>194</v>
      </c>
      <c r="BM175" s="140" t="s">
        <v>195</v>
      </c>
      <c r="BN175" s="140" t="s">
        <v>466</v>
      </c>
      <c r="BO175" s="140" t="s">
        <v>166</v>
      </c>
      <c r="BP175" s="140" t="s">
        <v>166</v>
      </c>
      <c r="BQ175" s="246">
        <v>14.542721566933924</v>
      </c>
      <c r="BR175" s="140" t="s">
        <v>196</v>
      </c>
      <c r="BS175" s="246">
        <v>0.2969815096111339</v>
      </c>
      <c r="BT175" s="140">
        <v>1</v>
      </c>
      <c r="BU175" s="140" t="s">
        <v>197</v>
      </c>
      <c r="BV175" s="140" t="s">
        <v>166</v>
      </c>
      <c r="BW175" s="140">
        <v>0</v>
      </c>
      <c r="BX175" s="140" t="s">
        <v>197</v>
      </c>
      <c r="BY175" s="140" t="s">
        <v>166</v>
      </c>
      <c r="BZ175" s="140" t="s">
        <v>197</v>
      </c>
      <c r="CA175" s="140" t="s">
        <v>166</v>
      </c>
      <c r="CB175" s="210">
        <f t="shared" si="165"/>
        <v>14.542721566933924</v>
      </c>
      <c r="CC175" s="140" t="s">
        <v>196</v>
      </c>
      <c r="CD175" s="210">
        <f t="shared" si="166"/>
        <v>0.2969815096111339</v>
      </c>
      <c r="CE175" s="140" t="s">
        <v>199</v>
      </c>
      <c r="CF175" s="140" t="s">
        <v>166</v>
      </c>
      <c r="CG175" s="140" t="s">
        <v>474</v>
      </c>
      <c r="CH175" s="140" t="s">
        <v>166</v>
      </c>
      <c r="CI175" s="140" t="s">
        <v>166</v>
      </c>
      <c r="CJ175" s="247">
        <v>33.610602338779067</v>
      </c>
      <c r="CK175" s="140" t="s">
        <v>201</v>
      </c>
      <c r="CL175" s="140">
        <v>2</v>
      </c>
      <c r="CM175" s="140">
        <v>2</v>
      </c>
      <c r="CN175" s="140" t="s">
        <v>166</v>
      </c>
      <c r="CO175" s="248">
        <v>3.6166508787330538</v>
      </c>
      <c r="CP175" s="140" t="s">
        <v>166</v>
      </c>
      <c r="CQ175" s="140" t="s">
        <v>166</v>
      </c>
      <c r="CR175" s="140" t="s">
        <v>166</v>
      </c>
      <c r="CS175" s="249" t="s">
        <v>202</v>
      </c>
      <c r="CT175" s="140" t="s">
        <v>203</v>
      </c>
      <c r="CU175" s="140">
        <v>2.2000000000000002</v>
      </c>
      <c r="CV175" s="140" t="s">
        <v>204</v>
      </c>
      <c r="CW175" s="140" t="s">
        <v>166</v>
      </c>
      <c r="CX175" s="140" t="s">
        <v>166</v>
      </c>
      <c r="CY175" s="140" t="s">
        <v>166</v>
      </c>
      <c r="CZ175" s="140" t="s">
        <v>166</v>
      </c>
      <c r="DA175" s="209" t="s">
        <v>166</v>
      </c>
      <c r="DB175" s="140" t="s">
        <v>166</v>
      </c>
      <c r="DC175" s="140" t="s">
        <v>166</v>
      </c>
      <c r="DD175" s="140" t="s">
        <v>166</v>
      </c>
      <c r="DE175" s="140" t="s">
        <v>166</v>
      </c>
      <c r="DF175" s="140" t="s">
        <v>205</v>
      </c>
      <c r="DG175" s="250">
        <v>35</v>
      </c>
      <c r="DH175" s="250" t="s">
        <v>201</v>
      </c>
      <c r="DI175" s="250">
        <v>1</v>
      </c>
      <c r="DJ175" s="250" t="s">
        <v>206</v>
      </c>
      <c r="DK175" s="250">
        <v>17</v>
      </c>
      <c r="DL175" s="140" t="s">
        <v>166</v>
      </c>
      <c r="DM175" s="140" t="s">
        <v>166</v>
      </c>
      <c r="DN175" s="250" t="s">
        <v>207</v>
      </c>
      <c r="DO175" s="250">
        <v>38</v>
      </c>
      <c r="DP175" s="250" t="s">
        <v>208</v>
      </c>
      <c r="DQ175" s="250">
        <v>3</v>
      </c>
      <c r="DR175" s="250" t="s">
        <v>209</v>
      </c>
      <c r="DS175" s="140" t="s">
        <v>166</v>
      </c>
      <c r="DT175" s="140" t="s">
        <v>166</v>
      </c>
      <c r="DU175" s="140" t="s">
        <v>166</v>
      </c>
      <c r="DV175" s="140" t="s">
        <v>166</v>
      </c>
      <c r="DW175" s="250">
        <v>432.6</v>
      </c>
      <c r="DX175" s="140" t="s">
        <v>166</v>
      </c>
      <c r="DY175" s="140" t="s">
        <v>166</v>
      </c>
      <c r="DZ175" s="140" t="s">
        <v>210</v>
      </c>
      <c r="EA175" s="140" t="s">
        <v>211</v>
      </c>
      <c r="EB175" s="140" t="s">
        <v>212</v>
      </c>
      <c r="EC175" s="140" t="s">
        <v>166</v>
      </c>
      <c r="ED175" s="140" t="s">
        <v>213</v>
      </c>
      <c r="EE175" s="213" t="s">
        <v>214</v>
      </c>
      <c r="EF175" s="213" t="s">
        <v>214</v>
      </c>
      <c r="EG175" s="250">
        <v>1.0271999999999999</v>
      </c>
      <c r="EH175" s="250" t="s">
        <v>215</v>
      </c>
      <c r="EI175" s="250" t="s">
        <v>215</v>
      </c>
      <c r="EJ175" s="250" t="s">
        <v>216</v>
      </c>
      <c r="EK175" s="250" t="s">
        <v>215</v>
      </c>
      <c r="EL175" s="250" t="s">
        <v>215</v>
      </c>
      <c r="EM175" s="250" t="s">
        <v>217</v>
      </c>
      <c r="EN175" s="251" t="s">
        <v>214</v>
      </c>
      <c r="EO175" s="251" t="s">
        <v>214</v>
      </c>
      <c r="EP175" s="251" t="s">
        <v>214</v>
      </c>
      <c r="EQ175" s="251" t="s">
        <v>214</v>
      </c>
      <c r="ER175" s="250"/>
      <c r="ES175" s="250"/>
      <c r="ET175" s="140" t="s">
        <v>218</v>
      </c>
      <c r="EU175" s="250" t="s">
        <v>219</v>
      </c>
      <c r="EV175" s="250" t="s">
        <v>213</v>
      </c>
      <c r="EW175" s="140" t="s">
        <v>166</v>
      </c>
      <c r="EX175" s="140" t="s">
        <v>166</v>
      </c>
      <c r="EY175" s="140" t="s">
        <v>166</v>
      </c>
      <c r="EZ175" s="140" t="s">
        <v>166</v>
      </c>
      <c r="FA175" s="205">
        <v>5.5</v>
      </c>
      <c r="FB175" s="140" t="s">
        <v>220</v>
      </c>
      <c r="FC175" s="205">
        <v>1</v>
      </c>
      <c r="FD175" s="205">
        <v>1</v>
      </c>
      <c r="FE175" s="252">
        <v>7.6765497973490699</v>
      </c>
      <c r="FF175" s="140" t="s">
        <v>221</v>
      </c>
      <c r="FG175" s="252">
        <v>4.2146379457549621E-2</v>
      </c>
      <c r="FH175" s="252">
        <v>4.1603503613940163E-2</v>
      </c>
      <c r="FI175" s="201">
        <v>1046.4381424626599</v>
      </c>
      <c r="FK175" s="140" t="s">
        <v>166</v>
      </c>
      <c r="FL175" s="217">
        <f t="shared" si="157"/>
        <v>1046.4381424626599</v>
      </c>
      <c r="FM175" s="201">
        <v>279.36018693526989</v>
      </c>
      <c r="FN175" s="201">
        <v>214.25455372705392</v>
      </c>
      <c r="FO175" s="140" t="s">
        <v>222</v>
      </c>
      <c r="FP175" s="140" t="s">
        <v>223</v>
      </c>
      <c r="FQ175" s="217" t="s">
        <v>166</v>
      </c>
      <c r="FR175" s="217" t="s">
        <v>166</v>
      </c>
      <c r="FS175" s="217" t="s">
        <v>166</v>
      </c>
      <c r="FT175" s="217" t="s">
        <v>166</v>
      </c>
      <c r="FU175" s="217" t="s">
        <v>166</v>
      </c>
      <c r="FV175" s="217" t="s">
        <v>166</v>
      </c>
      <c r="FW175" s="217" t="s">
        <v>166</v>
      </c>
      <c r="FX175" s="217" t="s">
        <v>166</v>
      </c>
      <c r="FY175" s="217" t="s">
        <v>166</v>
      </c>
      <c r="FZ175" s="217" t="s">
        <v>166</v>
      </c>
      <c r="GA175" s="217" t="s">
        <v>166</v>
      </c>
      <c r="GB175" s="217" t="s">
        <v>166</v>
      </c>
      <c r="GC175" s="202" t="s">
        <v>507</v>
      </c>
    </row>
    <row r="176" spans="1:192" s="140" customFormat="1" ht="17">
      <c r="A176" s="140" t="s">
        <v>162</v>
      </c>
      <c r="B176" s="143" t="s">
        <v>163</v>
      </c>
      <c r="C176" s="140" t="s">
        <v>164</v>
      </c>
      <c r="D176" s="140" t="s">
        <v>165</v>
      </c>
      <c r="E176" s="140">
        <v>2020</v>
      </c>
      <c r="F176" s="140" t="s">
        <v>184</v>
      </c>
      <c r="G176" s="240">
        <v>55678.118118286075</v>
      </c>
      <c r="H176" s="241">
        <f t="shared" ref="H176" si="182">0.0083*G176^(0.9482)</f>
        <v>262.38329449930416</v>
      </c>
      <c r="I176" s="241">
        <f t="shared" si="171"/>
        <v>262.38329449930416</v>
      </c>
      <c r="J176" s="201">
        <v>1388.3455420176201</v>
      </c>
      <c r="K176" s="201">
        <v>375.98410131697983</v>
      </c>
      <c r="L176" s="201">
        <v>293.79387323238029</v>
      </c>
      <c r="M176" s="140" t="b">
        <v>1</v>
      </c>
      <c r="N176" s="140">
        <v>1</v>
      </c>
      <c r="O176" s="302" t="s">
        <v>581</v>
      </c>
      <c r="P176" s="140" t="s">
        <v>166</v>
      </c>
      <c r="Q176" s="140" t="s">
        <v>166</v>
      </c>
      <c r="R176" s="140" t="s">
        <v>166</v>
      </c>
      <c r="S176" s="140" t="b">
        <v>1</v>
      </c>
      <c r="T176" s="140" t="b">
        <v>0</v>
      </c>
      <c r="U176" s="140" t="s">
        <v>166</v>
      </c>
      <c r="V176" s="140" t="b">
        <v>0</v>
      </c>
      <c r="W176" s="140" t="b">
        <v>0</v>
      </c>
      <c r="X176" s="140" t="s">
        <v>580</v>
      </c>
      <c r="Y176" s="202" t="s">
        <v>186</v>
      </c>
      <c r="Z176" s="140" t="s">
        <v>184</v>
      </c>
      <c r="AA176" s="242">
        <v>401</v>
      </c>
      <c r="AB176" s="140" t="s">
        <v>166</v>
      </c>
      <c r="AC176" s="140">
        <v>14</v>
      </c>
      <c r="AD176" s="140">
        <v>2</v>
      </c>
      <c r="AE176" s="140">
        <v>110</v>
      </c>
      <c r="AF176" s="140">
        <f t="shared" si="176"/>
        <v>112</v>
      </c>
      <c r="AG176" s="140" t="s">
        <v>166</v>
      </c>
      <c r="AH176" s="243">
        <v>201.11</v>
      </c>
      <c r="AI176" s="140" t="s">
        <v>498</v>
      </c>
      <c r="AJ176" s="140" t="s">
        <v>499</v>
      </c>
      <c r="AK176" s="210">
        <v>47.427500000000002</v>
      </c>
      <c r="AL176" s="210">
        <v>-8.8102999999999998</v>
      </c>
      <c r="AM176" s="244">
        <v>42</v>
      </c>
      <c r="AN176" s="244">
        <v>21</v>
      </c>
      <c r="AO176" s="244">
        <v>-2495</v>
      </c>
      <c r="AP176" s="140">
        <v>-2000</v>
      </c>
      <c r="AQ176" s="140" t="s">
        <v>500</v>
      </c>
      <c r="AR176" s="140" t="s">
        <v>166</v>
      </c>
      <c r="AS176" s="240">
        <v>55.678118118286072</v>
      </c>
      <c r="AT176" s="140" t="s">
        <v>166</v>
      </c>
      <c r="AU176" s="140" t="s">
        <v>166</v>
      </c>
      <c r="AV176" s="140" t="s">
        <v>166</v>
      </c>
      <c r="AW176" s="140" t="s">
        <v>166</v>
      </c>
      <c r="AX176" s="140" t="s">
        <v>501</v>
      </c>
      <c r="AY176" s="140" t="s">
        <v>502</v>
      </c>
      <c r="AZ176" s="215">
        <v>55.702264636163655</v>
      </c>
      <c r="BA176" s="140" t="s">
        <v>166</v>
      </c>
      <c r="BB176" s="140" t="s">
        <v>166</v>
      </c>
      <c r="BC176" s="140" t="s">
        <v>166</v>
      </c>
      <c r="BD176" s="140" t="s">
        <v>166</v>
      </c>
      <c r="BE176" s="140" t="s">
        <v>503</v>
      </c>
      <c r="BF176" s="140" t="s">
        <v>504</v>
      </c>
      <c r="BG176" s="245" t="s">
        <v>505</v>
      </c>
      <c r="BH176" s="207" t="s">
        <v>192</v>
      </c>
      <c r="BI176" s="140" t="s">
        <v>166</v>
      </c>
      <c r="BJ176" s="140" t="s">
        <v>506</v>
      </c>
      <c r="BK176" s="140" t="s">
        <v>226</v>
      </c>
      <c r="BL176" s="140" t="s">
        <v>194</v>
      </c>
      <c r="BM176" s="140" t="s">
        <v>195</v>
      </c>
      <c r="BN176" s="140" t="s">
        <v>466</v>
      </c>
      <c r="BO176" s="140" t="s">
        <v>166</v>
      </c>
      <c r="BP176" s="140" t="s">
        <v>166</v>
      </c>
      <c r="BQ176" s="246">
        <v>14.090250993323172</v>
      </c>
      <c r="BR176" s="140" t="s">
        <v>196</v>
      </c>
      <c r="BS176" s="246">
        <v>0.30337279574437703</v>
      </c>
      <c r="BT176" s="140">
        <v>1</v>
      </c>
      <c r="BU176" s="140" t="s">
        <v>197</v>
      </c>
      <c r="BV176" s="140" t="s">
        <v>166</v>
      </c>
      <c r="BW176" s="140">
        <v>0</v>
      </c>
      <c r="BX176" s="140" t="s">
        <v>197</v>
      </c>
      <c r="BY176" s="140" t="s">
        <v>166</v>
      </c>
      <c r="BZ176" s="140" t="s">
        <v>197</v>
      </c>
      <c r="CA176" s="140" t="s">
        <v>166</v>
      </c>
      <c r="CB176" s="210">
        <f t="shared" si="165"/>
        <v>14.090250993323172</v>
      </c>
      <c r="CC176" s="140" t="s">
        <v>196</v>
      </c>
      <c r="CD176" s="210">
        <f t="shared" si="166"/>
        <v>0.30337279574437703</v>
      </c>
      <c r="CE176" s="140" t="s">
        <v>199</v>
      </c>
      <c r="CF176" s="140" t="s">
        <v>166</v>
      </c>
      <c r="CG176" s="140" t="s">
        <v>474</v>
      </c>
      <c r="CH176" s="140" t="s">
        <v>166</v>
      </c>
      <c r="CI176" s="140" t="s">
        <v>166</v>
      </c>
      <c r="CJ176" s="247">
        <v>32.423606567243013</v>
      </c>
      <c r="CK176" s="140" t="s">
        <v>201</v>
      </c>
      <c r="CL176" s="140">
        <v>2</v>
      </c>
      <c r="CM176" s="140">
        <v>2</v>
      </c>
      <c r="CN176" s="140" t="s">
        <v>166</v>
      </c>
      <c r="CO176" s="248">
        <v>3.3825998368129007</v>
      </c>
      <c r="CP176" s="140" t="s">
        <v>166</v>
      </c>
      <c r="CQ176" s="140" t="s">
        <v>166</v>
      </c>
      <c r="CR176" s="140" t="s">
        <v>166</v>
      </c>
      <c r="CS176" s="249" t="s">
        <v>202</v>
      </c>
      <c r="CT176" s="140" t="s">
        <v>203</v>
      </c>
      <c r="CU176" s="140">
        <v>2.2000000000000002</v>
      </c>
      <c r="CV176" s="140" t="s">
        <v>204</v>
      </c>
      <c r="CW176" s="140" t="s">
        <v>166</v>
      </c>
      <c r="CX176" s="140" t="s">
        <v>166</v>
      </c>
      <c r="CY176" s="140" t="s">
        <v>166</v>
      </c>
      <c r="CZ176" s="140" t="s">
        <v>166</v>
      </c>
      <c r="DA176" s="209" t="s">
        <v>166</v>
      </c>
      <c r="DB176" s="140" t="s">
        <v>166</v>
      </c>
      <c r="DC176" s="140" t="s">
        <v>166</v>
      </c>
      <c r="DD176" s="140" t="s">
        <v>166</v>
      </c>
      <c r="DE176" s="140" t="s">
        <v>166</v>
      </c>
      <c r="DF176" s="140" t="s">
        <v>205</v>
      </c>
      <c r="DG176" s="250">
        <v>35</v>
      </c>
      <c r="DH176" s="250" t="s">
        <v>201</v>
      </c>
      <c r="DI176" s="250">
        <v>1</v>
      </c>
      <c r="DJ176" s="250" t="s">
        <v>206</v>
      </c>
      <c r="DK176" s="250">
        <v>17</v>
      </c>
      <c r="DL176" s="140" t="s">
        <v>166</v>
      </c>
      <c r="DM176" s="140" t="s">
        <v>166</v>
      </c>
      <c r="DN176" s="250" t="s">
        <v>207</v>
      </c>
      <c r="DO176" s="250">
        <v>38</v>
      </c>
      <c r="DP176" s="250" t="s">
        <v>208</v>
      </c>
      <c r="DQ176" s="250">
        <v>3</v>
      </c>
      <c r="DR176" s="250" t="s">
        <v>209</v>
      </c>
      <c r="DS176" s="140" t="s">
        <v>166</v>
      </c>
      <c r="DT176" s="140" t="s">
        <v>166</v>
      </c>
      <c r="DU176" s="140" t="s">
        <v>166</v>
      </c>
      <c r="DV176" s="140" t="s">
        <v>166</v>
      </c>
      <c r="DW176" s="250">
        <v>432.6</v>
      </c>
      <c r="DX176" s="140" t="s">
        <v>166</v>
      </c>
      <c r="DY176" s="140" t="s">
        <v>166</v>
      </c>
      <c r="DZ176" s="140" t="s">
        <v>210</v>
      </c>
      <c r="EA176" s="140" t="s">
        <v>211</v>
      </c>
      <c r="EB176" s="140" t="s">
        <v>212</v>
      </c>
      <c r="EC176" s="140" t="s">
        <v>166</v>
      </c>
      <c r="ED176" s="140" t="s">
        <v>213</v>
      </c>
      <c r="EE176" s="213" t="s">
        <v>214</v>
      </c>
      <c r="EF176" s="213" t="s">
        <v>214</v>
      </c>
      <c r="EG176" s="250">
        <v>1.0271999999999999</v>
      </c>
      <c r="EH176" s="250" t="s">
        <v>215</v>
      </c>
      <c r="EI176" s="250" t="s">
        <v>215</v>
      </c>
      <c r="EJ176" s="250" t="s">
        <v>216</v>
      </c>
      <c r="EK176" s="250" t="s">
        <v>215</v>
      </c>
      <c r="EL176" s="250" t="s">
        <v>215</v>
      </c>
      <c r="EM176" s="250" t="s">
        <v>217</v>
      </c>
      <c r="EN176" s="251" t="s">
        <v>214</v>
      </c>
      <c r="EO176" s="251" t="s">
        <v>214</v>
      </c>
      <c r="EP176" s="251" t="s">
        <v>214</v>
      </c>
      <c r="EQ176" s="251" t="s">
        <v>214</v>
      </c>
      <c r="ER176" s="250"/>
      <c r="ES176" s="250"/>
      <c r="ET176" s="140" t="s">
        <v>218</v>
      </c>
      <c r="EU176" s="250" t="s">
        <v>219</v>
      </c>
      <c r="EV176" s="250" t="s">
        <v>213</v>
      </c>
      <c r="EW176" s="140" t="s">
        <v>166</v>
      </c>
      <c r="EX176" s="140" t="s">
        <v>166</v>
      </c>
      <c r="EY176" s="140" t="s">
        <v>166</v>
      </c>
      <c r="EZ176" s="140" t="s">
        <v>166</v>
      </c>
      <c r="FA176" s="205">
        <v>5.5</v>
      </c>
      <c r="FB176" s="140" t="s">
        <v>220</v>
      </c>
      <c r="FC176" s="205">
        <v>1</v>
      </c>
      <c r="FD176" s="205">
        <v>1</v>
      </c>
      <c r="FE176" s="252">
        <v>7.6238199776916398</v>
      </c>
      <c r="FF176" s="140" t="s">
        <v>221</v>
      </c>
      <c r="FG176" s="252">
        <v>4.7043830498769701E-2</v>
      </c>
      <c r="FH176" s="252">
        <v>4.4211443278970641E-2</v>
      </c>
      <c r="FI176" s="201">
        <v>1388.3455420176201</v>
      </c>
      <c r="FK176" s="140" t="s">
        <v>166</v>
      </c>
      <c r="FL176" s="217">
        <f t="shared" si="157"/>
        <v>1388.3455420176201</v>
      </c>
      <c r="FM176" s="201">
        <v>375.98410131697983</v>
      </c>
      <c r="FN176" s="201">
        <v>293.79387323238029</v>
      </c>
      <c r="FO176" s="140" t="s">
        <v>222</v>
      </c>
      <c r="FP176" s="140" t="s">
        <v>223</v>
      </c>
      <c r="FQ176" s="217" t="s">
        <v>166</v>
      </c>
      <c r="FR176" s="217" t="s">
        <v>166</v>
      </c>
      <c r="FS176" s="217" t="s">
        <v>166</v>
      </c>
      <c r="FT176" s="217" t="s">
        <v>166</v>
      </c>
      <c r="FU176" s="217" t="s">
        <v>166</v>
      </c>
      <c r="FV176" s="217" t="s">
        <v>166</v>
      </c>
      <c r="FW176" s="217" t="s">
        <v>166</v>
      </c>
      <c r="FX176" s="217" t="s">
        <v>166</v>
      </c>
      <c r="FY176" s="217" t="s">
        <v>166</v>
      </c>
      <c r="FZ176" s="217" t="s">
        <v>166</v>
      </c>
      <c r="GA176" s="217" t="s">
        <v>166</v>
      </c>
      <c r="GB176" s="217" t="s">
        <v>166</v>
      </c>
      <c r="GC176" s="202" t="s">
        <v>507</v>
      </c>
    </row>
    <row r="177" spans="1:185" s="140" customFormat="1" ht="17">
      <c r="A177" s="140" t="s">
        <v>162</v>
      </c>
      <c r="B177" s="143" t="s">
        <v>163</v>
      </c>
      <c r="C177" s="140" t="s">
        <v>164</v>
      </c>
      <c r="D177" s="140" t="s">
        <v>165</v>
      </c>
      <c r="E177" s="140">
        <v>2020</v>
      </c>
      <c r="F177" s="140" t="s">
        <v>184</v>
      </c>
      <c r="G177" s="240">
        <v>55699.289016723589</v>
      </c>
      <c r="H177" s="241">
        <f t="shared" ref="H177" si="183">0.0083*G177^(0.9482)</f>
        <v>262.47789351031071</v>
      </c>
      <c r="I177" s="241">
        <f t="shared" si="171"/>
        <v>262.47789351031071</v>
      </c>
      <c r="J177" s="201">
        <v>982.36693246607501</v>
      </c>
      <c r="K177" s="201">
        <v>249.9472568880949</v>
      </c>
      <c r="L177" s="201">
        <v>222.54196286931801</v>
      </c>
      <c r="M177" s="140" t="b">
        <v>1</v>
      </c>
      <c r="N177" s="140">
        <v>1</v>
      </c>
      <c r="O177" s="302" t="s">
        <v>581</v>
      </c>
      <c r="P177" s="140" t="s">
        <v>166</v>
      </c>
      <c r="Q177" s="140" t="s">
        <v>166</v>
      </c>
      <c r="R177" s="140" t="s">
        <v>166</v>
      </c>
      <c r="S177" s="140" t="b">
        <v>1</v>
      </c>
      <c r="T177" s="140" t="b">
        <v>0</v>
      </c>
      <c r="U177" s="140" t="s">
        <v>166</v>
      </c>
      <c r="V177" s="140" t="b">
        <v>0</v>
      </c>
      <c r="W177" s="140" t="b">
        <v>0</v>
      </c>
      <c r="X177" s="140" t="s">
        <v>580</v>
      </c>
      <c r="Y177" s="202" t="s">
        <v>186</v>
      </c>
      <c r="Z177" s="140" t="s">
        <v>184</v>
      </c>
      <c r="AA177" s="242">
        <v>401</v>
      </c>
      <c r="AB177" s="140" t="s">
        <v>166</v>
      </c>
      <c r="AC177" s="140">
        <v>14</v>
      </c>
      <c r="AD177" s="140">
        <v>2</v>
      </c>
      <c r="AE177" s="140">
        <v>129</v>
      </c>
      <c r="AF177" s="140">
        <f t="shared" si="176"/>
        <v>131</v>
      </c>
      <c r="AG177" s="140" t="s">
        <v>166</v>
      </c>
      <c r="AH177" s="243">
        <v>201.3</v>
      </c>
      <c r="AI177" s="140" t="s">
        <v>498</v>
      </c>
      <c r="AJ177" s="140" t="s">
        <v>499</v>
      </c>
      <c r="AK177" s="210">
        <v>47.427500000000002</v>
      </c>
      <c r="AL177" s="210">
        <v>-8.8102999999999998</v>
      </c>
      <c r="AM177" s="244">
        <v>42</v>
      </c>
      <c r="AN177" s="244">
        <v>21</v>
      </c>
      <c r="AO177" s="244">
        <v>-2495</v>
      </c>
      <c r="AP177" s="140">
        <v>-2000</v>
      </c>
      <c r="AQ177" s="140" t="s">
        <v>500</v>
      </c>
      <c r="AR177" s="140" t="s">
        <v>166</v>
      </c>
      <c r="AS177" s="240">
        <v>55.69928901672359</v>
      </c>
      <c r="AT177" s="140" t="s">
        <v>166</v>
      </c>
      <c r="AU177" s="140" t="s">
        <v>166</v>
      </c>
      <c r="AV177" s="140" t="s">
        <v>166</v>
      </c>
      <c r="AW177" s="140" t="s">
        <v>166</v>
      </c>
      <c r="AX177" s="140" t="s">
        <v>501</v>
      </c>
      <c r="AY177" s="140" t="s">
        <v>502</v>
      </c>
      <c r="AZ177" s="215">
        <v>55.727169377119338</v>
      </c>
      <c r="BA177" s="140" t="s">
        <v>166</v>
      </c>
      <c r="BB177" s="140" t="s">
        <v>166</v>
      </c>
      <c r="BC177" s="140" t="s">
        <v>166</v>
      </c>
      <c r="BD177" s="140" t="s">
        <v>166</v>
      </c>
      <c r="BE177" s="140" t="s">
        <v>503</v>
      </c>
      <c r="BF177" s="140" t="s">
        <v>504</v>
      </c>
      <c r="BG177" s="245" t="s">
        <v>505</v>
      </c>
      <c r="BH177" s="207" t="s">
        <v>192</v>
      </c>
      <c r="BI177" s="140" t="s">
        <v>166</v>
      </c>
      <c r="BJ177" s="140" t="s">
        <v>506</v>
      </c>
      <c r="BK177" s="140" t="s">
        <v>226</v>
      </c>
      <c r="BL177" s="140" t="s">
        <v>194</v>
      </c>
      <c r="BM177" s="140" t="s">
        <v>195</v>
      </c>
      <c r="BN177" s="140" t="s">
        <v>466</v>
      </c>
      <c r="BO177" s="140" t="s">
        <v>166</v>
      </c>
      <c r="BP177" s="140" t="s">
        <v>166</v>
      </c>
      <c r="BQ177" s="246">
        <v>14.672544191317582</v>
      </c>
      <c r="BR177" s="140" t="s">
        <v>196</v>
      </c>
      <c r="BS177" s="246">
        <v>0.36982445237437039</v>
      </c>
      <c r="BT177" s="140">
        <v>1</v>
      </c>
      <c r="BU177" s="140" t="s">
        <v>197</v>
      </c>
      <c r="BV177" s="140" t="s">
        <v>166</v>
      </c>
      <c r="BW177" s="140">
        <v>0</v>
      </c>
      <c r="BX177" s="140" t="s">
        <v>197</v>
      </c>
      <c r="BY177" s="140" t="s">
        <v>166</v>
      </c>
      <c r="BZ177" s="140" t="s">
        <v>197</v>
      </c>
      <c r="CA177" s="140" t="s">
        <v>166</v>
      </c>
      <c r="CB177" s="210">
        <f t="shared" si="165"/>
        <v>14.672544191317582</v>
      </c>
      <c r="CC177" s="140" t="s">
        <v>196</v>
      </c>
      <c r="CD177" s="210">
        <f t="shared" si="166"/>
        <v>0.36982445237437039</v>
      </c>
      <c r="CE177" s="140" t="s">
        <v>199</v>
      </c>
      <c r="CF177" s="140" t="s">
        <v>166</v>
      </c>
      <c r="CG177" s="140" t="s">
        <v>474</v>
      </c>
      <c r="CH177" s="140" t="s">
        <v>166</v>
      </c>
      <c r="CI177" s="140" t="s">
        <v>166</v>
      </c>
      <c r="CJ177" s="247">
        <v>34.018546526037433</v>
      </c>
      <c r="CK177" s="140" t="s">
        <v>201</v>
      </c>
      <c r="CL177" s="140">
        <v>2</v>
      </c>
      <c r="CM177" s="140">
        <v>2</v>
      </c>
      <c r="CN177" s="140" t="s">
        <v>166</v>
      </c>
      <c r="CO177" s="248">
        <v>3.7007732790516759</v>
      </c>
      <c r="CP177" s="140" t="s">
        <v>166</v>
      </c>
      <c r="CQ177" s="140" t="s">
        <v>166</v>
      </c>
      <c r="CR177" s="140" t="s">
        <v>166</v>
      </c>
      <c r="CS177" s="249" t="s">
        <v>202</v>
      </c>
      <c r="CT177" s="140" t="s">
        <v>203</v>
      </c>
      <c r="CU177" s="140">
        <v>2.2000000000000002</v>
      </c>
      <c r="CV177" s="140" t="s">
        <v>204</v>
      </c>
      <c r="CW177" s="140" t="s">
        <v>166</v>
      </c>
      <c r="CX177" s="140" t="s">
        <v>166</v>
      </c>
      <c r="CY177" s="140" t="s">
        <v>166</v>
      </c>
      <c r="CZ177" s="140" t="s">
        <v>166</v>
      </c>
      <c r="DA177" s="209" t="s">
        <v>166</v>
      </c>
      <c r="DB177" s="140" t="s">
        <v>166</v>
      </c>
      <c r="DC177" s="140" t="s">
        <v>166</v>
      </c>
      <c r="DD177" s="140" t="s">
        <v>166</v>
      </c>
      <c r="DE177" s="140" t="s">
        <v>166</v>
      </c>
      <c r="DF177" s="140" t="s">
        <v>205</v>
      </c>
      <c r="DG177" s="250">
        <v>35</v>
      </c>
      <c r="DH177" s="250" t="s">
        <v>201</v>
      </c>
      <c r="DI177" s="250">
        <v>1</v>
      </c>
      <c r="DJ177" s="250" t="s">
        <v>206</v>
      </c>
      <c r="DK177" s="250">
        <v>17</v>
      </c>
      <c r="DL177" s="140" t="s">
        <v>166</v>
      </c>
      <c r="DM177" s="140" t="s">
        <v>166</v>
      </c>
      <c r="DN177" s="250" t="s">
        <v>207</v>
      </c>
      <c r="DO177" s="250">
        <v>38</v>
      </c>
      <c r="DP177" s="250" t="s">
        <v>208</v>
      </c>
      <c r="DQ177" s="250">
        <v>3</v>
      </c>
      <c r="DR177" s="250" t="s">
        <v>209</v>
      </c>
      <c r="DS177" s="140" t="s">
        <v>166</v>
      </c>
      <c r="DT177" s="140" t="s">
        <v>166</v>
      </c>
      <c r="DU177" s="140" t="s">
        <v>166</v>
      </c>
      <c r="DV177" s="140" t="s">
        <v>166</v>
      </c>
      <c r="DW177" s="250">
        <v>432.6</v>
      </c>
      <c r="DX177" s="140" t="s">
        <v>166</v>
      </c>
      <c r="DY177" s="140" t="s">
        <v>166</v>
      </c>
      <c r="DZ177" s="140" t="s">
        <v>210</v>
      </c>
      <c r="EA177" s="140" t="s">
        <v>211</v>
      </c>
      <c r="EB177" s="140" t="s">
        <v>212</v>
      </c>
      <c r="EC177" s="140" t="s">
        <v>166</v>
      </c>
      <c r="ED177" s="140" t="s">
        <v>213</v>
      </c>
      <c r="EE177" s="213" t="s">
        <v>214</v>
      </c>
      <c r="EF177" s="213" t="s">
        <v>214</v>
      </c>
      <c r="EG177" s="250">
        <v>1.0271999999999999</v>
      </c>
      <c r="EH177" s="250" t="s">
        <v>215</v>
      </c>
      <c r="EI177" s="250" t="s">
        <v>215</v>
      </c>
      <c r="EJ177" s="250" t="s">
        <v>216</v>
      </c>
      <c r="EK177" s="250" t="s">
        <v>215</v>
      </c>
      <c r="EL177" s="250" t="s">
        <v>215</v>
      </c>
      <c r="EM177" s="250" t="s">
        <v>217</v>
      </c>
      <c r="EN177" s="251" t="s">
        <v>214</v>
      </c>
      <c r="EO177" s="251" t="s">
        <v>214</v>
      </c>
      <c r="EP177" s="251" t="s">
        <v>214</v>
      </c>
      <c r="EQ177" s="251" t="s">
        <v>214</v>
      </c>
      <c r="ER177" s="250"/>
      <c r="ES177" s="250"/>
      <c r="ET177" s="140" t="s">
        <v>218</v>
      </c>
      <c r="EU177" s="250" t="s">
        <v>219</v>
      </c>
      <c r="EV177" s="250" t="s">
        <v>213</v>
      </c>
      <c r="EW177" s="140" t="s">
        <v>166</v>
      </c>
      <c r="EX177" s="140" t="s">
        <v>166</v>
      </c>
      <c r="EY177" s="140" t="s">
        <v>166</v>
      </c>
      <c r="EZ177" s="140" t="s">
        <v>166</v>
      </c>
      <c r="FA177" s="205">
        <v>5.5</v>
      </c>
      <c r="FB177" s="140" t="s">
        <v>220</v>
      </c>
      <c r="FC177" s="205">
        <v>1</v>
      </c>
      <c r="FD177" s="205">
        <v>1</v>
      </c>
      <c r="FE177" s="252">
        <v>7.6892991885886799</v>
      </c>
      <c r="FF177" s="140" t="s">
        <v>221</v>
      </c>
      <c r="FG177" s="252">
        <v>4.7503784136860183E-2</v>
      </c>
      <c r="FH177" s="252">
        <v>4.8029329071709981E-2</v>
      </c>
      <c r="FI177" s="201">
        <v>982.36693246607501</v>
      </c>
      <c r="FK177" s="140" t="s">
        <v>166</v>
      </c>
      <c r="FL177" s="217">
        <f t="shared" si="157"/>
        <v>982.36693246607501</v>
      </c>
      <c r="FM177" s="201">
        <v>249.9472568880949</v>
      </c>
      <c r="FN177" s="201">
        <v>222.54196286931801</v>
      </c>
      <c r="FO177" s="140" t="s">
        <v>222</v>
      </c>
      <c r="FP177" s="140" t="s">
        <v>223</v>
      </c>
      <c r="FQ177" s="217" t="s">
        <v>166</v>
      </c>
      <c r="FR177" s="217" t="s">
        <v>166</v>
      </c>
      <c r="FS177" s="217" t="s">
        <v>166</v>
      </c>
      <c r="FT177" s="217" t="s">
        <v>166</v>
      </c>
      <c r="FU177" s="217" t="s">
        <v>166</v>
      </c>
      <c r="FV177" s="217" t="s">
        <v>166</v>
      </c>
      <c r="FW177" s="217" t="s">
        <v>166</v>
      </c>
      <c r="FX177" s="217" t="s">
        <v>166</v>
      </c>
      <c r="FY177" s="217" t="s">
        <v>166</v>
      </c>
      <c r="FZ177" s="217" t="s">
        <v>166</v>
      </c>
      <c r="GA177" s="217" t="s">
        <v>166</v>
      </c>
      <c r="GB177" s="217" t="s">
        <v>166</v>
      </c>
      <c r="GC177" s="202" t="s">
        <v>507</v>
      </c>
    </row>
    <row r="178" spans="1:185" s="140" customFormat="1" ht="17">
      <c r="A178" s="140" t="s">
        <v>162</v>
      </c>
      <c r="B178" s="143" t="s">
        <v>163</v>
      </c>
      <c r="C178" s="140" t="s">
        <v>164</v>
      </c>
      <c r="D178" s="140" t="s">
        <v>165</v>
      </c>
      <c r="E178" s="140">
        <v>2020</v>
      </c>
      <c r="F178" s="140" t="s">
        <v>184</v>
      </c>
      <c r="G178" s="240">
        <v>55720.459915161111</v>
      </c>
      <c r="H178" s="241">
        <f t="shared" ref="H178" si="184">0.0083*G178^(0.9482)</f>
        <v>262.57249065879432</v>
      </c>
      <c r="I178" s="241">
        <f t="shared" si="171"/>
        <v>262.57249065879432</v>
      </c>
      <c r="J178" s="201">
        <v>1477.9986226563401</v>
      </c>
      <c r="K178" s="201">
        <v>678.42938350034001</v>
      </c>
      <c r="L178" s="201">
        <v>450.67447904160008</v>
      </c>
      <c r="M178" s="140" t="b">
        <v>1</v>
      </c>
      <c r="N178" s="140">
        <v>1</v>
      </c>
      <c r="O178" s="302" t="s">
        <v>581</v>
      </c>
      <c r="P178" s="140" t="s">
        <v>166</v>
      </c>
      <c r="Q178" s="140" t="s">
        <v>166</v>
      </c>
      <c r="R178" s="140" t="s">
        <v>166</v>
      </c>
      <c r="S178" s="140" t="b">
        <v>1</v>
      </c>
      <c r="T178" s="140" t="b">
        <v>0</v>
      </c>
      <c r="U178" s="140" t="s">
        <v>166</v>
      </c>
      <c r="V178" s="140" t="b">
        <v>0</v>
      </c>
      <c r="W178" s="140" t="b">
        <v>0</v>
      </c>
      <c r="X178" s="140" t="s">
        <v>580</v>
      </c>
      <c r="Y178" s="202" t="s">
        <v>186</v>
      </c>
      <c r="Z178" s="140" t="s">
        <v>184</v>
      </c>
      <c r="AA178" s="242">
        <v>401</v>
      </c>
      <c r="AB178" s="140" t="s">
        <v>166</v>
      </c>
      <c r="AC178" s="140">
        <v>14</v>
      </c>
      <c r="AD178" s="140">
        <v>2</v>
      </c>
      <c r="AE178" s="140">
        <v>148</v>
      </c>
      <c r="AF178" s="140">
        <f t="shared" si="176"/>
        <v>150</v>
      </c>
      <c r="AG178" s="140" t="s">
        <v>166</v>
      </c>
      <c r="AH178" s="243">
        <v>201.49</v>
      </c>
      <c r="AI178" s="140" t="s">
        <v>498</v>
      </c>
      <c r="AJ178" s="140" t="s">
        <v>499</v>
      </c>
      <c r="AK178" s="210">
        <v>47.427500000000002</v>
      </c>
      <c r="AL178" s="210">
        <v>-8.8102999999999998</v>
      </c>
      <c r="AM178" s="244">
        <v>42</v>
      </c>
      <c r="AN178" s="244">
        <v>21</v>
      </c>
      <c r="AO178" s="244">
        <v>-2495</v>
      </c>
      <c r="AP178" s="140">
        <v>-2000</v>
      </c>
      <c r="AQ178" s="140" t="s">
        <v>500</v>
      </c>
      <c r="AR178" s="140" t="s">
        <v>166</v>
      </c>
      <c r="AS178" s="240">
        <v>55.720459915161108</v>
      </c>
      <c r="AT178" s="140" t="s">
        <v>166</v>
      </c>
      <c r="AU178" s="140" t="s">
        <v>166</v>
      </c>
      <c r="AV178" s="140" t="s">
        <v>166</v>
      </c>
      <c r="AW178" s="140" t="s">
        <v>166</v>
      </c>
      <c r="AX178" s="140" t="s">
        <v>501</v>
      </c>
      <c r="AY178" s="140" t="s">
        <v>502</v>
      </c>
      <c r="AZ178" s="215">
        <v>55.752074118075015</v>
      </c>
      <c r="BA178" s="140" t="s">
        <v>166</v>
      </c>
      <c r="BB178" s="140" t="s">
        <v>166</v>
      </c>
      <c r="BC178" s="140" t="s">
        <v>166</v>
      </c>
      <c r="BD178" s="140" t="s">
        <v>166</v>
      </c>
      <c r="BE178" s="140" t="s">
        <v>503</v>
      </c>
      <c r="BF178" s="140" t="s">
        <v>504</v>
      </c>
      <c r="BG178" s="245" t="s">
        <v>505</v>
      </c>
      <c r="BH178" s="207" t="s">
        <v>192</v>
      </c>
      <c r="BI178" s="140" t="s">
        <v>166</v>
      </c>
      <c r="BJ178" s="140" t="s">
        <v>506</v>
      </c>
      <c r="BK178" s="140" t="s">
        <v>226</v>
      </c>
      <c r="BL178" s="140" t="s">
        <v>194</v>
      </c>
      <c r="BM178" s="140" t="s">
        <v>195</v>
      </c>
      <c r="BN178" s="140" t="s">
        <v>466</v>
      </c>
      <c r="BO178" s="140" t="s">
        <v>166</v>
      </c>
      <c r="BP178" s="140" t="s">
        <v>166</v>
      </c>
      <c r="BQ178" s="246">
        <v>14.054225249274577</v>
      </c>
      <c r="BR178" s="140" t="s">
        <v>196</v>
      </c>
      <c r="BS178" s="246">
        <v>0.57162662878548687</v>
      </c>
      <c r="BT178" s="140">
        <v>1</v>
      </c>
      <c r="BU178" s="140" t="s">
        <v>197</v>
      </c>
      <c r="BV178" s="140" t="s">
        <v>166</v>
      </c>
      <c r="BW178" s="140">
        <v>0</v>
      </c>
      <c r="BX178" s="140" t="s">
        <v>197</v>
      </c>
      <c r="BY178" s="140" t="s">
        <v>166</v>
      </c>
      <c r="BZ178" s="140" t="s">
        <v>197</v>
      </c>
      <c r="CA178" s="140" t="s">
        <v>166</v>
      </c>
      <c r="CB178" s="210">
        <f t="shared" si="165"/>
        <v>14.054225249274577</v>
      </c>
      <c r="CC178" s="140" t="s">
        <v>196</v>
      </c>
      <c r="CD178" s="210">
        <f t="shared" si="166"/>
        <v>0.57162662878548687</v>
      </c>
      <c r="CE178" s="140" t="s">
        <v>199</v>
      </c>
      <c r="CF178" s="140" t="s">
        <v>166</v>
      </c>
      <c r="CG178" s="140" t="s">
        <v>474</v>
      </c>
      <c r="CH178" s="140" t="s">
        <v>166</v>
      </c>
      <c r="CI178" s="140" t="s">
        <v>166</v>
      </c>
      <c r="CJ178" s="247">
        <v>33.37940084423073</v>
      </c>
      <c r="CK178" s="140" t="s">
        <v>201</v>
      </c>
      <c r="CL178" s="140">
        <v>2</v>
      </c>
      <c r="CM178" s="140">
        <v>2</v>
      </c>
      <c r="CN178" s="140" t="s">
        <v>166</v>
      </c>
      <c r="CO178" s="248">
        <v>3.5698264634880341</v>
      </c>
      <c r="CP178" s="140" t="s">
        <v>166</v>
      </c>
      <c r="CQ178" s="140" t="s">
        <v>166</v>
      </c>
      <c r="CR178" s="140" t="s">
        <v>166</v>
      </c>
      <c r="CS178" s="249" t="s">
        <v>202</v>
      </c>
      <c r="CT178" s="140" t="s">
        <v>203</v>
      </c>
      <c r="CU178" s="140">
        <v>2.2000000000000002</v>
      </c>
      <c r="CV178" s="140" t="s">
        <v>204</v>
      </c>
      <c r="CW178" s="140" t="s">
        <v>166</v>
      </c>
      <c r="CX178" s="140" t="s">
        <v>166</v>
      </c>
      <c r="CY178" s="140" t="s">
        <v>166</v>
      </c>
      <c r="CZ178" s="140" t="s">
        <v>166</v>
      </c>
      <c r="DA178" s="209" t="s">
        <v>166</v>
      </c>
      <c r="DB178" s="140" t="s">
        <v>166</v>
      </c>
      <c r="DC178" s="140" t="s">
        <v>166</v>
      </c>
      <c r="DD178" s="140" t="s">
        <v>166</v>
      </c>
      <c r="DE178" s="140" t="s">
        <v>166</v>
      </c>
      <c r="DF178" s="140" t="s">
        <v>205</v>
      </c>
      <c r="DG178" s="250">
        <v>35</v>
      </c>
      <c r="DH178" s="250" t="s">
        <v>201</v>
      </c>
      <c r="DI178" s="250">
        <v>1</v>
      </c>
      <c r="DJ178" s="250" t="s">
        <v>206</v>
      </c>
      <c r="DK178" s="250">
        <v>17</v>
      </c>
      <c r="DL178" s="140" t="s">
        <v>166</v>
      </c>
      <c r="DM178" s="140" t="s">
        <v>166</v>
      </c>
      <c r="DN178" s="250" t="s">
        <v>207</v>
      </c>
      <c r="DO178" s="250">
        <v>38</v>
      </c>
      <c r="DP178" s="250" t="s">
        <v>208</v>
      </c>
      <c r="DQ178" s="250">
        <v>3</v>
      </c>
      <c r="DR178" s="250" t="s">
        <v>209</v>
      </c>
      <c r="DS178" s="140" t="s">
        <v>166</v>
      </c>
      <c r="DT178" s="140" t="s">
        <v>166</v>
      </c>
      <c r="DU178" s="140" t="s">
        <v>166</v>
      </c>
      <c r="DV178" s="140" t="s">
        <v>166</v>
      </c>
      <c r="DW178" s="250">
        <v>432.6</v>
      </c>
      <c r="DX178" s="140" t="s">
        <v>166</v>
      </c>
      <c r="DY178" s="140" t="s">
        <v>166</v>
      </c>
      <c r="DZ178" s="140" t="s">
        <v>210</v>
      </c>
      <c r="EA178" s="140" t="s">
        <v>211</v>
      </c>
      <c r="EB178" s="140" t="s">
        <v>212</v>
      </c>
      <c r="EC178" s="140" t="s">
        <v>166</v>
      </c>
      <c r="ED178" s="140" t="s">
        <v>213</v>
      </c>
      <c r="EE178" s="213" t="s">
        <v>214</v>
      </c>
      <c r="EF178" s="213" t="s">
        <v>214</v>
      </c>
      <c r="EG178" s="250">
        <v>1.0271999999999999</v>
      </c>
      <c r="EH178" s="250" t="s">
        <v>215</v>
      </c>
      <c r="EI178" s="250" t="s">
        <v>215</v>
      </c>
      <c r="EJ178" s="250" t="s">
        <v>216</v>
      </c>
      <c r="EK178" s="250" t="s">
        <v>215</v>
      </c>
      <c r="EL178" s="250" t="s">
        <v>215</v>
      </c>
      <c r="EM178" s="250" t="s">
        <v>217</v>
      </c>
      <c r="EN178" s="251" t="s">
        <v>214</v>
      </c>
      <c r="EO178" s="251" t="s">
        <v>214</v>
      </c>
      <c r="EP178" s="251" t="s">
        <v>214</v>
      </c>
      <c r="EQ178" s="251" t="s">
        <v>214</v>
      </c>
      <c r="ER178" s="250"/>
      <c r="ES178" s="250"/>
      <c r="ET178" s="140" t="s">
        <v>218</v>
      </c>
      <c r="EU178" s="250" t="s">
        <v>219</v>
      </c>
      <c r="EV178" s="250" t="s">
        <v>213</v>
      </c>
      <c r="EW178" s="140" t="s">
        <v>166</v>
      </c>
      <c r="EX178" s="140" t="s">
        <v>166</v>
      </c>
      <c r="EY178" s="140" t="s">
        <v>166</v>
      </c>
      <c r="EZ178" s="140" t="s">
        <v>166</v>
      </c>
      <c r="FA178" s="205">
        <v>5.5</v>
      </c>
      <c r="FB178" s="140" t="s">
        <v>220</v>
      </c>
      <c r="FC178" s="205">
        <v>1</v>
      </c>
      <c r="FD178" s="205">
        <v>1</v>
      </c>
      <c r="FE178" s="252">
        <v>7.6052666207704798</v>
      </c>
      <c r="FF178" s="140" t="s">
        <v>221</v>
      </c>
      <c r="FG178" s="252">
        <v>7.8984366914060189E-2</v>
      </c>
      <c r="FH178" s="252">
        <v>7.3619453599070184E-2</v>
      </c>
      <c r="FI178" s="201">
        <v>1477.9986226563401</v>
      </c>
      <c r="FK178" s="140" t="s">
        <v>166</v>
      </c>
      <c r="FL178" s="217">
        <f t="shared" si="157"/>
        <v>1477.9986226563401</v>
      </c>
      <c r="FM178" s="201">
        <v>678.42938350034001</v>
      </c>
      <c r="FN178" s="201">
        <v>450.67447904160008</v>
      </c>
      <c r="FO178" s="140" t="s">
        <v>222</v>
      </c>
      <c r="FP178" s="140" t="s">
        <v>223</v>
      </c>
      <c r="FQ178" s="217" t="s">
        <v>166</v>
      </c>
      <c r="FR178" s="217" t="s">
        <v>166</v>
      </c>
      <c r="FS178" s="217" t="s">
        <v>166</v>
      </c>
      <c r="FT178" s="217" t="s">
        <v>166</v>
      </c>
      <c r="FU178" s="217" t="s">
        <v>166</v>
      </c>
      <c r="FV178" s="217" t="s">
        <v>166</v>
      </c>
      <c r="FW178" s="217" t="s">
        <v>166</v>
      </c>
      <c r="FX178" s="217" t="s">
        <v>166</v>
      </c>
      <c r="FY178" s="217" t="s">
        <v>166</v>
      </c>
      <c r="FZ178" s="217" t="s">
        <v>166</v>
      </c>
      <c r="GA178" s="217" t="s">
        <v>166</v>
      </c>
      <c r="GB178" s="217" t="s">
        <v>166</v>
      </c>
      <c r="GC178" s="202" t="s">
        <v>507</v>
      </c>
    </row>
    <row r="179" spans="1:185" s="140" customFormat="1" ht="17">
      <c r="A179" s="140" t="s">
        <v>162</v>
      </c>
      <c r="B179" s="143" t="s">
        <v>163</v>
      </c>
      <c r="C179" s="140" t="s">
        <v>164</v>
      </c>
      <c r="D179" s="140" t="s">
        <v>165</v>
      </c>
      <c r="E179" s="140">
        <v>2020</v>
      </c>
      <c r="F179" s="140" t="s">
        <v>184</v>
      </c>
      <c r="G179" s="240">
        <v>55734.945266723618</v>
      </c>
      <c r="H179" s="241">
        <f t="shared" ref="H179" si="185">0.0083*G179^(0.9482)</f>
        <v>262.63721395078619</v>
      </c>
      <c r="I179" s="241">
        <f t="shared" si="171"/>
        <v>262.63721395078619</v>
      </c>
      <c r="J179" s="201">
        <v>1409.6481799440201</v>
      </c>
      <c r="K179" s="201">
        <v>352.92882982513993</v>
      </c>
      <c r="L179" s="201">
        <v>280.58667241285002</v>
      </c>
      <c r="M179" s="140" t="b">
        <v>1</v>
      </c>
      <c r="N179" s="140">
        <v>1</v>
      </c>
      <c r="O179" s="302" t="s">
        <v>581</v>
      </c>
      <c r="P179" s="140" t="s">
        <v>166</v>
      </c>
      <c r="Q179" s="140" t="s">
        <v>166</v>
      </c>
      <c r="R179" s="140" t="s">
        <v>166</v>
      </c>
      <c r="S179" s="140" t="b">
        <v>1</v>
      </c>
      <c r="T179" s="140" t="b">
        <v>0</v>
      </c>
      <c r="U179" s="140" t="s">
        <v>166</v>
      </c>
      <c r="V179" s="140" t="b">
        <v>0</v>
      </c>
      <c r="W179" s="140" t="b">
        <v>0</v>
      </c>
      <c r="X179" s="140" t="s">
        <v>580</v>
      </c>
      <c r="Y179" s="202" t="s">
        <v>186</v>
      </c>
      <c r="Z179" s="140" t="s">
        <v>184</v>
      </c>
      <c r="AA179" s="242">
        <v>401</v>
      </c>
      <c r="AB179" s="140" t="s">
        <v>166</v>
      </c>
      <c r="AC179" s="140">
        <v>14</v>
      </c>
      <c r="AD179" s="140">
        <v>3</v>
      </c>
      <c r="AE179" s="140">
        <v>11</v>
      </c>
      <c r="AF179" s="140">
        <f t="shared" si="176"/>
        <v>13</v>
      </c>
      <c r="AG179" s="140" t="s">
        <v>166</v>
      </c>
      <c r="AH179" s="243">
        <v>201.62</v>
      </c>
      <c r="AI179" s="140" t="s">
        <v>498</v>
      </c>
      <c r="AJ179" s="140" t="s">
        <v>499</v>
      </c>
      <c r="AK179" s="210">
        <v>47.427500000000002</v>
      </c>
      <c r="AL179" s="210">
        <v>-8.8102999999999998</v>
      </c>
      <c r="AM179" s="244">
        <v>42</v>
      </c>
      <c r="AN179" s="244">
        <v>21</v>
      </c>
      <c r="AO179" s="244">
        <v>-2495</v>
      </c>
      <c r="AP179" s="140">
        <v>-2000</v>
      </c>
      <c r="AQ179" s="140" t="s">
        <v>500</v>
      </c>
      <c r="AR179" s="140" t="s">
        <v>166</v>
      </c>
      <c r="AS179" s="240">
        <v>55.734945266723621</v>
      </c>
      <c r="AT179" s="140" t="s">
        <v>166</v>
      </c>
      <c r="AU179" s="140" t="s">
        <v>166</v>
      </c>
      <c r="AV179" s="140" t="s">
        <v>166</v>
      </c>
      <c r="AW179" s="140" t="s">
        <v>166</v>
      </c>
      <c r="AX179" s="140" t="s">
        <v>501</v>
      </c>
      <c r="AY179" s="140" t="s">
        <v>502</v>
      </c>
      <c r="AZ179" s="215">
        <v>55.769114203992054</v>
      </c>
      <c r="BA179" s="140" t="s">
        <v>166</v>
      </c>
      <c r="BB179" s="140" t="s">
        <v>166</v>
      </c>
      <c r="BC179" s="140" t="s">
        <v>166</v>
      </c>
      <c r="BD179" s="140" t="s">
        <v>166</v>
      </c>
      <c r="BE179" s="140" t="s">
        <v>503</v>
      </c>
      <c r="BF179" s="140" t="s">
        <v>504</v>
      </c>
      <c r="BG179" s="245" t="s">
        <v>505</v>
      </c>
      <c r="BH179" s="207" t="s">
        <v>192</v>
      </c>
      <c r="BI179" s="140" t="s">
        <v>166</v>
      </c>
      <c r="BJ179" s="140" t="s">
        <v>506</v>
      </c>
      <c r="BK179" s="140" t="s">
        <v>226</v>
      </c>
      <c r="BL179" s="140" t="s">
        <v>194</v>
      </c>
      <c r="BM179" s="140" t="s">
        <v>195</v>
      </c>
      <c r="BN179" s="140" t="s">
        <v>466</v>
      </c>
      <c r="BO179" s="140" t="s">
        <v>166</v>
      </c>
      <c r="BP179" s="140" t="s">
        <v>166</v>
      </c>
      <c r="BQ179" s="246">
        <v>14.092253702551517</v>
      </c>
      <c r="BR179" s="140" t="s">
        <v>196</v>
      </c>
      <c r="BS179" s="246">
        <v>0.22137453024067613</v>
      </c>
      <c r="BT179" s="140">
        <v>1</v>
      </c>
      <c r="BU179" s="140" t="s">
        <v>197</v>
      </c>
      <c r="BV179" s="140" t="s">
        <v>166</v>
      </c>
      <c r="BW179" s="140">
        <v>0</v>
      </c>
      <c r="BX179" s="140" t="s">
        <v>197</v>
      </c>
      <c r="BY179" s="140" t="s">
        <v>166</v>
      </c>
      <c r="BZ179" s="140" t="s">
        <v>197</v>
      </c>
      <c r="CA179" s="140" t="s">
        <v>166</v>
      </c>
      <c r="CB179" s="210">
        <f t="shared" si="165"/>
        <v>14.092253702551517</v>
      </c>
      <c r="CC179" s="140" t="s">
        <v>196</v>
      </c>
      <c r="CD179" s="210">
        <f t="shared" si="166"/>
        <v>0.22137453024067613</v>
      </c>
      <c r="CE179" s="140" t="s">
        <v>199</v>
      </c>
      <c r="CF179" s="140" t="s">
        <v>166</v>
      </c>
      <c r="CG179" s="140" t="s">
        <v>474</v>
      </c>
      <c r="CH179" s="140" t="s">
        <v>166</v>
      </c>
      <c r="CI179" s="140" t="s">
        <v>166</v>
      </c>
      <c r="CJ179" s="247">
        <v>33.288426218849715</v>
      </c>
      <c r="CK179" s="140" t="s">
        <v>201</v>
      </c>
      <c r="CL179" s="140">
        <v>2</v>
      </c>
      <c r="CM179" s="140">
        <v>2</v>
      </c>
      <c r="CN179" s="140" t="s">
        <v>166</v>
      </c>
      <c r="CO179" s="253">
        <v>3.5515683375626104</v>
      </c>
      <c r="CP179" s="140" t="s">
        <v>166</v>
      </c>
      <c r="CQ179" s="140" t="s">
        <v>166</v>
      </c>
      <c r="CR179" s="140" t="s">
        <v>166</v>
      </c>
      <c r="CS179" s="249" t="s">
        <v>202</v>
      </c>
      <c r="CT179" s="140" t="s">
        <v>203</v>
      </c>
      <c r="CU179" s="140">
        <v>2.2000000000000002</v>
      </c>
      <c r="CV179" s="140" t="s">
        <v>204</v>
      </c>
      <c r="CW179" s="140" t="s">
        <v>166</v>
      </c>
      <c r="CX179" s="140" t="s">
        <v>166</v>
      </c>
      <c r="CY179" s="140" t="s">
        <v>166</v>
      </c>
      <c r="CZ179" s="140" t="s">
        <v>166</v>
      </c>
      <c r="DA179" s="209" t="s">
        <v>166</v>
      </c>
      <c r="DB179" s="140" t="s">
        <v>166</v>
      </c>
      <c r="DC179" s="140" t="s">
        <v>166</v>
      </c>
      <c r="DD179" s="140" t="s">
        <v>166</v>
      </c>
      <c r="DE179" s="140" t="s">
        <v>166</v>
      </c>
      <c r="DF179" s="140" t="s">
        <v>205</v>
      </c>
      <c r="DG179" s="250">
        <v>35</v>
      </c>
      <c r="DH179" s="250" t="s">
        <v>201</v>
      </c>
      <c r="DI179" s="250">
        <v>1</v>
      </c>
      <c r="DJ179" s="250" t="s">
        <v>206</v>
      </c>
      <c r="DK179" s="250">
        <v>17</v>
      </c>
      <c r="DL179" s="140" t="s">
        <v>166</v>
      </c>
      <c r="DM179" s="140" t="s">
        <v>166</v>
      </c>
      <c r="DN179" s="250" t="s">
        <v>207</v>
      </c>
      <c r="DO179" s="250">
        <v>38</v>
      </c>
      <c r="DP179" s="250" t="s">
        <v>208</v>
      </c>
      <c r="DQ179" s="250">
        <v>3</v>
      </c>
      <c r="DR179" s="250" t="s">
        <v>209</v>
      </c>
      <c r="DS179" s="140" t="s">
        <v>166</v>
      </c>
      <c r="DT179" s="140" t="s">
        <v>166</v>
      </c>
      <c r="DU179" s="140" t="s">
        <v>166</v>
      </c>
      <c r="DV179" s="140" t="s">
        <v>166</v>
      </c>
      <c r="DW179" s="250">
        <v>432.6</v>
      </c>
      <c r="DX179" s="140" t="s">
        <v>166</v>
      </c>
      <c r="DY179" s="140" t="s">
        <v>166</v>
      </c>
      <c r="DZ179" s="140" t="s">
        <v>210</v>
      </c>
      <c r="EA179" s="140" t="s">
        <v>211</v>
      </c>
      <c r="EB179" s="140" t="s">
        <v>212</v>
      </c>
      <c r="EC179" s="140" t="s">
        <v>166</v>
      </c>
      <c r="ED179" s="140" t="s">
        <v>213</v>
      </c>
      <c r="EE179" s="213" t="s">
        <v>214</v>
      </c>
      <c r="EF179" s="213" t="s">
        <v>214</v>
      </c>
      <c r="EG179" s="250">
        <v>1.0271999999999999</v>
      </c>
      <c r="EH179" s="250" t="s">
        <v>215</v>
      </c>
      <c r="EI179" s="250" t="s">
        <v>215</v>
      </c>
      <c r="EJ179" s="250" t="s">
        <v>216</v>
      </c>
      <c r="EK179" s="250" t="s">
        <v>215</v>
      </c>
      <c r="EL179" s="250" t="s">
        <v>215</v>
      </c>
      <c r="EM179" s="250" t="s">
        <v>217</v>
      </c>
      <c r="EN179" s="251" t="s">
        <v>214</v>
      </c>
      <c r="EO179" s="251" t="s">
        <v>214</v>
      </c>
      <c r="EP179" s="251" t="s">
        <v>214</v>
      </c>
      <c r="EQ179" s="251" t="s">
        <v>214</v>
      </c>
      <c r="ER179" s="250"/>
      <c r="ES179" s="250"/>
      <c r="ET179" s="140" t="s">
        <v>218</v>
      </c>
      <c r="EU179" s="250" t="s">
        <v>219</v>
      </c>
      <c r="EV179" s="250" t="s">
        <v>213</v>
      </c>
      <c r="EW179" s="140" t="s">
        <v>166</v>
      </c>
      <c r="EX179" s="140" t="s">
        <v>166</v>
      </c>
      <c r="EY179" s="140" t="s">
        <v>166</v>
      </c>
      <c r="EZ179" s="140" t="s">
        <v>166</v>
      </c>
      <c r="FA179" s="205">
        <v>5.5</v>
      </c>
      <c r="FB179" s="140" t="s">
        <v>220</v>
      </c>
      <c r="FC179" s="205">
        <v>1</v>
      </c>
      <c r="FD179" s="205">
        <v>1</v>
      </c>
      <c r="FE179" s="252">
        <v>7.6140262101373004</v>
      </c>
      <c r="FF179" s="140" t="s">
        <v>221</v>
      </c>
      <c r="FG179" s="252">
        <v>4.0674650785670785E-2</v>
      </c>
      <c r="FH179" s="252">
        <v>3.9360496295079983E-2</v>
      </c>
      <c r="FI179" s="201">
        <v>1409.6481799440201</v>
      </c>
      <c r="FK179" s="140" t="s">
        <v>166</v>
      </c>
      <c r="FL179" s="217">
        <f t="shared" si="157"/>
        <v>1409.6481799440201</v>
      </c>
      <c r="FM179" s="201">
        <v>352.92882982513993</v>
      </c>
      <c r="FN179" s="201">
        <v>280.58667241285002</v>
      </c>
      <c r="FO179" s="140" t="s">
        <v>222</v>
      </c>
      <c r="FP179" s="140" t="s">
        <v>223</v>
      </c>
      <c r="FQ179" s="217" t="s">
        <v>166</v>
      </c>
      <c r="FR179" s="217" t="s">
        <v>166</v>
      </c>
      <c r="FS179" s="217" t="s">
        <v>166</v>
      </c>
      <c r="FT179" s="217" t="s">
        <v>166</v>
      </c>
      <c r="FU179" s="217" t="s">
        <v>166</v>
      </c>
      <c r="FV179" s="217" t="s">
        <v>166</v>
      </c>
      <c r="FW179" s="217" t="s">
        <v>166</v>
      </c>
      <c r="FX179" s="217" t="s">
        <v>166</v>
      </c>
      <c r="FY179" s="217" t="s">
        <v>166</v>
      </c>
      <c r="FZ179" s="217" t="s">
        <v>166</v>
      </c>
      <c r="GA179" s="217" t="s">
        <v>166</v>
      </c>
      <c r="GB179" s="217" t="s">
        <v>166</v>
      </c>
      <c r="GC179" s="202" t="s">
        <v>507</v>
      </c>
    </row>
    <row r="180" spans="1:185" s="140" customFormat="1" ht="17">
      <c r="A180" s="140" t="s">
        <v>162</v>
      </c>
      <c r="B180" s="143" t="s">
        <v>163</v>
      </c>
      <c r="C180" s="140" t="s">
        <v>164</v>
      </c>
      <c r="D180" s="140" t="s">
        <v>165</v>
      </c>
      <c r="E180" s="140">
        <v>2020</v>
      </c>
      <c r="F180" s="140" t="s">
        <v>184</v>
      </c>
      <c r="G180" s="240">
        <v>55740.516555786133</v>
      </c>
      <c r="H180" s="241">
        <f t="shared" ref="H180" si="186">0.0083*G180^(0.9482)</f>
        <v>262.66210729260212</v>
      </c>
      <c r="I180" s="241">
        <f t="shared" si="171"/>
        <v>262.66210729260212</v>
      </c>
      <c r="J180" s="201">
        <v>1996.73168075842</v>
      </c>
      <c r="K180" s="201">
        <v>748.69416784528016</v>
      </c>
      <c r="L180" s="201">
        <v>539.3897237020899</v>
      </c>
      <c r="M180" s="140" t="b">
        <v>1</v>
      </c>
      <c r="N180" s="140">
        <v>1</v>
      </c>
      <c r="O180" s="302" t="s">
        <v>581</v>
      </c>
      <c r="P180" s="140" t="s">
        <v>166</v>
      </c>
      <c r="Q180" s="140" t="s">
        <v>166</v>
      </c>
      <c r="R180" s="140" t="s">
        <v>166</v>
      </c>
      <c r="S180" s="140" t="b">
        <v>1</v>
      </c>
      <c r="T180" s="140" t="b">
        <v>0</v>
      </c>
      <c r="U180" s="140" t="s">
        <v>166</v>
      </c>
      <c r="V180" s="140" t="b">
        <v>0</v>
      </c>
      <c r="W180" s="140" t="b">
        <v>0</v>
      </c>
      <c r="X180" s="140" t="s">
        <v>580</v>
      </c>
      <c r="Y180" s="202" t="s">
        <v>186</v>
      </c>
      <c r="Z180" s="140" t="s">
        <v>184</v>
      </c>
      <c r="AA180" s="242">
        <v>401</v>
      </c>
      <c r="AB180" s="140" t="s">
        <v>166</v>
      </c>
      <c r="AC180" s="140">
        <v>14</v>
      </c>
      <c r="AD180" s="140">
        <v>3</v>
      </c>
      <c r="AE180" s="140">
        <v>16</v>
      </c>
      <c r="AF180" s="140">
        <f t="shared" si="176"/>
        <v>18</v>
      </c>
      <c r="AG180" s="140" t="s">
        <v>166</v>
      </c>
      <c r="AH180" s="243">
        <v>201.67</v>
      </c>
      <c r="AI180" s="140" t="s">
        <v>498</v>
      </c>
      <c r="AJ180" s="140" t="s">
        <v>499</v>
      </c>
      <c r="AK180" s="210">
        <v>47.427500000000002</v>
      </c>
      <c r="AL180" s="210">
        <v>-8.8102999999999998</v>
      </c>
      <c r="AM180" s="244">
        <v>42</v>
      </c>
      <c r="AN180" s="244">
        <v>21</v>
      </c>
      <c r="AO180" s="244">
        <v>-2495</v>
      </c>
      <c r="AP180" s="140">
        <v>-2000</v>
      </c>
      <c r="AQ180" s="140" t="s">
        <v>500</v>
      </c>
      <c r="AR180" s="140" t="s">
        <v>166</v>
      </c>
      <c r="AS180" s="240">
        <v>55.74051655578613</v>
      </c>
      <c r="AT180" s="140" t="s">
        <v>166</v>
      </c>
      <c r="AU180" s="140" t="s">
        <v>166</v>
      </c>
      <c r="AV180" s="140" t="s">
        <v>166</v>
      </c>
      <c r="AW180" s="140" t="s">
        <v>166</v>
      </c>
      <c r="AX180" s="140" t="s">
        <v>501</v>
      </c>
      <c r="AY180" s="140" t="s">
        <v>502</v>
      </c>
      <c r="AZ180" s="215">
        <v>55.775668083190915</v>
      </c>
      <c r="BA180" s="140" t="s">
        <v>166</v>
      </c>
      <c r="BB180" s="140" t="s">
        <v>166</v>
      </c>
      <c r="BC180" s="140" t="s">
        <v>166</v>
      </c>
      <c r="BD180" s="140" t="s">
        <v>166</v>
      </c>
      <c r="BE180" s="140" t="s">
        <v>503</v>
      </c>
      <c r="BF180" s="140" t="s">
        <v>504</v>
      </c>
      <c r="BG180" s="245" t="s">
        <v>505</v>
      </c>
      <c r="BH180" s="207" t="s">
        <v>192</v>
      </c>
      <c r="BI180" s="140" t="s">
        <v>166</v>
      </c>
      <c r="BJ180" s="140" t="s">
        <v>506</v>
      </c>
      <c r="BK180" s="140" t="s">
        <v>226</v>
      </c>
      <c r="BL180" s="140" t="s">
        <v>194</v>
      </c>
      <c r="BM180" s="140" t="s">
        <v>195</v>
      </c>
      <c r="BN180" s="140" t="s">
        <v>466</v>
      </c>
      <c r="BO180" s="140" t="s">
        <v>166</v>
      </c>
      <c r="BP180" s="140" t="s">
        <v>166</v>
      </c>
      <c r="BQ180" s="246">
        <v>13.649911361995336</v>
      </c>
      <c r="BR180" s="140" t="s">
        <v>196</v>
      </c>
      <c r="BS180" s="246">
        <v>0.38926479664189839</v>
      </c>
      <c r="BT180" s="140">
        <v>1</v>
      </c>
      <c r="BU180" s="140" t="s">
        <v>197</v>
      </c>
      <c r="BV180" s="140" t="s">
        <v>166</v>
      </c>
      <c r="BW180" s="140">
        <v>0</v>
      </c>
      <c r="BX180" s="140" t="s">
        <v>197</v>
      </c>
      <c r="BY180" s="140" t="s">
        <v>166</v>
      </c>
      <c r="BZ180" s="140" t="s">
        <v>197</v>
      </c>
      <c r="CA180" s="140" t="s">
        <v>166</v>
      </c>
      <c r="CB180" s="210">
        <f t="shared" si="165"/>
        <v>13.649911361995336</v>
      </c>
      <c r="CC180" s="140" t="s">
        <v>196</v>
      </c>
      <c r="CD180" s="210">
        <f t="shared" si="166"/>
        <v>0.38926479664189839</v>
      </c>
      <c r="CE180" s="140" t="s">
        <v>199</v>
      </c>
      <c r="CF180" s="140" t="s">
        <v>166</v>
      </c>
      <c r="CG180" s="140" t="s">
        <v>474</v>
      </c>
      <c r="CH180" s="140" t="s">
        <v>166</v>
      </c>
      <c r="CI180" s="140" t="s">
        <v>166</v>
      </c>
      <c r="CJ180" s="247">
        <v>34.137581408566753</v>
      </c>
      <c r="CK180" s="140" t="s">
        <v>201</v>
      </c>
      <c r="CL180" s="140">
        <v>2</v>
      </c>
      <c r="CM180" s="140">
        <v>2</v>
      </c>
      <c r="CN180" s="140" t="s">
        <v>166</v>
      </c>
      <c r="CO180" s="248">
        <v>3.7256862918005753</v>
      </c>
      <c r="CP180" s="140" t="s">
        <v>166</v>
      </c>
      <c r="CQ180" s="140" t="s">
        <v>166</v>
      </c>
      <c r="CR180" s="140" t="s">
        <v>166</v>
      </c>
      <c r="CS180" s="249" t="s">
        <v>202</v>
      </c>
      <c r="CT180" s="140" t="s">
        <v>203</v>
      </c>
      <c r="CU180" s="140">
        <v>2.2000000000000002</v>
      </c>
      <c r="CV180" s="140" t="s">
        <v>204</v>
      </c>
      <c r="CW180" s="140" t="s">
        <v>166</v>
      </c>
      <c r="CX180" s="140" t="s">
        <v>166</v>
      </c>
      <c r="CY180" s="140" t="s">
        <v>166</v>
      </c>
      <c r="CZ180" s="140" t="s">
        <v>166</v>
      </c>
      <c r="DA180" s="209" t="s">
        <v>166</v>
      </c>
      <c r="DB180" s="140" t="s">
        <v>166</v>
      </c>
      <c r="DC180" s="140" t="s">
        <v>166</v>
      </c>
      <c r="DD180" s="140" t="s">
        <v>166</v>
      </c>
      <c r="DE180" s="140" t="s">
        <v>166</v>
      </c>
      <c r="DF180" s="140" t="s">
        <v>205</v>
      </c>
      <c r="DG180" s="250">
        <v>35</v>
      </c>
      <c r="DH180" s="250" t="s">
        <v>201</v>
      </c>
      <c r="DI180" s="250">
        <v>1</v>
      </c>
      <c r="DJ180" s="250" t="s">
        <v>206</v>
      </c>
      <c r="DK180" s="250">
        <v>17</v>
      </c>
      <c r="DL180" s="140" t="s">
        <v>166</v>
      </c>
      <c r="DM180" s="140" t="s">
        <v>166</v>
      </c>
      <c r="DN180" s="250" t="s">
        <v>207</v>
      </c>
      <c r="DO180" s="250">
        <v>38</v>
      </c>
      <c r="DP180" s="250" t="s">
        <v>208</v>
      </c>
      <c r="DQ180" s="250">
        <v>3</v>
      </c>
      <c r="DR180" s="250" t="s">
        <v>209</v>
      </c>
      <c r="DS180" s="140" t="s">
        <v>166</v>
      </c>
      <c r="DT180" s="140" t="s">
        <v>166</v>
      </c>
      <c r="DU180" s="140" t="s">
        <v>166</v>
      </c>
      <c r="DV180" s="140" t="s">
        <v>166</v>
      </c>
      <c r="DW180" s="250">
        <v>432.6</v>
      </c>
      <c r="DX180" s="140" t="s">
        <v>166</v>
      </c>
      <c r="DY180" s="140" t="s">
        <v>166</v>
      </c>
      <c r="DZ180" s="140" t="s">
        <v>210</v>
      </c>
      <c r="EA180" s="140" t="s">
        <v>211</v>
      </c>
      <c r="EB180" s="140" t="s">
        <v>212</v>
      </c>
      <c r="EC180" s="140" t="s">
        <v>166</v>
      </c>
      <c r="ED180" s="140" t="s">
        <v>213</v>
      </c>
      <c r="EE180" s="213" t="s">
        <v>214</v>
      </c>
      <c r="EF180" s="213" t="s">
        <v>214</v>
      </c>
      <c r="EG180" s="250">
        <v>1.0271999999999999</v>
      </c>
      <c r="EH180" s="250" t="s">
        <v>215</v>
      </c>
      <c r="EI180" s="250" t="s">
        <v>215</v>
      </c>
      <c r="EJ180" s="250" t="s">
        <v>216</v>
      </c>
      <c r="EK180" s="250" t="s">
        <v>215</v>
      </c>
      <c r="EL180" s="250" t="s">
        <v>215</v>
      </c>
      <c r="EM180" s="250" t="s">
        <v>217</v>
      </c>
      <c r="EN180" s="251" t="s">
        <v>214</v>
      </c>
      <c r="EO180" s="251" t="s">
        <v>214</v>
      </c>
      <c r="EP180" s="251" t="s">
        <v>214</v>
      </c>
      <c r="EQ180" s="251" t="s">
        <v>214</v>
      </c>
      <c r="ER180" s="250"/>
      <c r="ES180" s="250"/>
      <c r="ET180" s="140" t="s">
        <v>218</v>
      </c>
      <c r="EU180" s="250" t="s">
        <v>219</v>
      </c>
      <c r="EV180" s="250" t="s">
        <v>213</v>
      </c>
      <c r="EW180" s="140" t="s">
        <v>166</v>
      </c>
      <c r="EX180" s="140" t="s">
        <v>166</v>
      </c>
      <c r="EY180" s="140" t="s">
        <v>166</v>
      </c>
      <c r="EZ180" s="140" t="s">
        <v>166</v>
      </c>
      <c r="FA180" s="205">
        <v>5.5</v>
      </c>
      <c r="FB180" s="140" t="s">
        <v>220</v>
      </c>
      <c r="FC180" s="205">
        <v>1</v>
      </c>
      <c r="FD180" s="205">
        <v>1</v>
      </c>
      <c r="FE180" s="252">
        <v>7.5338621929205303</v>
      </c>
      <c r="FF180" s="140" t="s">
        <v>221</v>
      </c>
      <c r="FG180" s="252">
        <v>6.8106164537960368E-2</v>
      </c>
      <c r="FH180" s="252">
        <v>5.9870305449670091E-2</v>
      </c>
      <c r="FI180" s="201">
        <v>1996.73168075842</v>
      </c>
      <c r="FK180" s="140" t="s">
        <v>166</v>
      </c>
      <c r="FL180" s="217">
        <f t="shared" si="157"/>
        <v>1996.73168075842</v>
      </c>
      <c r="FM180" s="201">
        <v>748.69416784528016</v>
      </c>
      <c r="FN180" s="201">
        <v>539.3897237020899</v>
      </c>
      <c r="FO180" s="140" t="s">
        <v>222</v>
      </c>
      <c r="FP180" s="140" t="s">
        <v>223</v>
      </c>
      <c r="FQ180" s="217" t="s">
        <v>166</v>
      </c>
      <c r="FR180" s="217" t="s">
        <v>166</v>
      </c>
      <c r="FS180" s="217" t="s">
        <v>166</v>
      </c>
      <c r="FT180" s="217" t="s">
        <v>166</v>
      </c>
      <c r="FU180" s="217" t="s">
        <v>166</v>
      </c>
      <c r="FV180" s="217" t="s">
        <v>166</v>
      </c>
      <c r="FW180" s="217" t="s">
        <v>166</v>
      </c>
      <c r="FX180" s="217" t="s">
        <v>166</v>
      </c>
      <c r="FY180" s="217" t="s">
        <v>166</v>
      </c>
      <c r="FZ180" s="217" t="s">
        <v>166</v>
      </c>
      <c r="GA180" s="217" t="s">
        <v>166</v>
      </c>
      <c r="GB180" s="217" t="s">
        <v>166</v>
      </c>
      <c r="GC180" s="202" t="s">
        <v>507</v>
      </c>
    </row>
    <row r="181" spans="1:185" s="140" customFormat="1" ht="17">
      <c r="A181" s="140" t="s">
        <v>162</v>
      </c>
      <c r="B181" s="143" t="s">
        <v>163</v>
      </c>
      <c r="C181" s="140" t="s">
        <v>164</v>
      </c>
      <c r="D181" s="140" t="s">
        <v>165</v>
      </c>
      <c r="E181" s="140">
        <v>2020</v>
      </c>
      <c r="F181" s="140" t="s">
        <v>184</v>
      </c>
      <c r="G181" s="240">
        <v>55747.541809082031</v>
      </c>
      <c r="H181" s="241">
        <f t="shared" ref="H181" si="187">0.0083*G181^(0.9482)</f>
        <v>262.6934969774843</v>
      </c>
      <c r="I181" s="241">
        <f t="shared" si="171"/>
        <v>262.6934969774843</v>
      </c>
      <c r="J181" s="201">
        <v>973.64566165946701</v>
      </c>
      <c r="K181" s="201">
        <v>251.67787305706281</v>
      </c>
      <c r="L181" s="201">
        <v>216.118148516053</v>
      </c>
      <c r="M181" s="140" t="b">
        <v>1</v>
      </c>
      <c r="N181" s="140">
        <v>1</v>
      </c>
      <c r="O181" s="302" t="s">
        <v>581</v>
      </c>
      <c r="P181" s="140" t="s">
        <v>166</v>
      </c>
      <c r="Q181" s="140" t="s">
        <v>166</v>
      </c>
      <c r="R181" s="140" t="s">
        <v>166</v>
      </c>
      <c r="S181" s="140" t="b">
        <v>1</v>
      </c>
      <c r="T181" s="140" t="b">
        <v>0</v>
      </c>
      <c r="U181" s="140" t="s">
        <v>166</v>
      </c>
      <c r="V181" s="140" t="b">
        <v>0</v>
      </c>
      <c r="W181" s="140" t="b">
        <v>0</v>
      </c>
      <c r="X181" s="140" t="s">
        <v>580</v>
      </c>
      <c r="Y181" s="202" t="s">
        <v>186</v>
      </c>
      <c r="Z181" s="140" t="s">
        <v>184</v>
      </c>
      <c r="AA181" s="242">
        <v>401</v>
      </c>
      <c r="AB181" s="140" t="s">
        <v>166</v>
      </c>
      <c r="AC181" s="140">
        <v>14</v>
      </c>
      <c r="AD181" s="140">
        <v>3</v>
      </c>
      <c r="AE181" s="140">
        <v>21</v>
      </c>
      <c r="AF181" s="140">
        <f t="shared" si="176"/>
        <v>23</v>
      </c>
      <c r="AG181" s="140" t="s">
        <v>166</v>
      </c>
      <c r="AH181" s="243">
        <v>201.72</v>
      </c>
      <c r="AI181" s="140" t="s">
        <v>498</v>
      </c>
      <c r="AJ181" s="140" t="s">
        <v>499</v>
      </c>
      <c r="AK181" s="210">
        <v>47.427500000000002</v>
      </c>
      <c r="AL181" s="210">
        <v>-8.8102999999999998</v>
      </c>
      <c r="AM181" s="244">
        <v>42</v>
      </c>
      <c r="AN181" s="244">
        <v>21</v>
      </c>
      <c r="AO181" s="244">
        <v>-2495</v>
      </c>
      <c r="AP181" s="140">
        <v>-2000</v>
      </c>
      <c r="AQ181" s="140" t="s">
        <v>500</v>
      </c>
      <c r="AR181" s="140" t="s">
        <v>166</v>
      </c>
      <c r="AS181" s="240">
        <v>55.74754180908203</v>
      </c>
      <c r="AT181" s="140" t="s">
        <v>166</v>
      </c>
      <c r="AU181" s="140" t="s">
        <v>166</v>
      </c>
      <c r="AV181" s="140" t="s">
        <v>166</v>
      </c>
      <c r="AW181" s="140" t="s">
        <v>166</v>
      </c>
      <c r="AX181" s="140" t="s">
        <v>501</v>
      </c>
      <c r="AY181" s="140" t="s">
        <v>502</v>
      </c>
      <c r="AZ181" s="215">
        <v>55.782346923828122</v>
      </c>
      <c r="BA181" s="140" t="s">
        <v>166</v>
      </c>
      <c r="BB181" s="140" t="s">
        <v>166</v>
      </c>
      <c r="BC181" s="140" t="s">
        <v>166</v>
      </c>
      <c r="BD181" s="140" t="s">
        <v>166</v>
      </c>
      <c r="BE181" s="140" t="s">
        <v>503</v>
      </c>
      <c r="BF181" s="140" t="s">
        <v>504</v>
      </c>
      <c r="BG181" s="245" t="s">
        <v>505</v>
      </c>
      <c r="BH181" s="207" t="s">
        <v>192</v>
      </c>
      <c r="BI181" s="140" t="s">
        <v>166</v>
      </c>
      <c r="BJ181" s="140" t="s">
        <v>506</v>
      </c>
      <c r="BK181" s="140" t="s">
        <v>226</v>
      </c>
      <c r="BL181" s="140" t="s">
        <v>194</v>
      </c>
      <c r="BM181" s="140" t="s">
        <v>195</v>
      </c>
      <c r="BN181" s="140" t="s">
        <v>466</v>
      </c>
      <c r="BO181" s="140" t="s">
        <v>166</v>
      </c>
      <c r="BP181" s="140" t="s">
        <v>166</v>
      </c>
      <c r="BQ181" s="246">
        <v>14.669539462247583</v>
      </c>
      <c r="BR181" s="140" t="s">
        <v>196</v>
      </c>
      <c r="BS181" s="246">
        <v>0.30173321270461578</v>
      </c>
      <c r="BT181" s="140">
        <v>1</v>
      </c>
      <c r="BU181" s="140" t="s">
        <v>197</v>
      </c>
      <c r="BV181" s="140" t="s">
        <v>166</v>
      </c>
      <c r="BW181" s="140">
        <v>0</v>
      </c>
      <c r="BX181" s="140" t="s">
        <v>197</v>
      </c>
      <c r="BY181" s="140" t="s">
        <v>166</v>
      </c>
      <c r="BZ181" s="140" t="s">
        <v>197</v>
      </c>
      <c r="CA181" s="140" t="s">
        <v>166</v>
      </c>
      <c r="CB181" s="210">
        <f t="shared" si="165"/>
        <v>14.669539462247583</v>
      </c>
      <c r="CC181" s="140" t="s">
        <v>196</v>
      </c>
      <c r="CD181" s="210">
        <f t="shared" si="166"/>
        <v>0.30173321270461578</v>
      </c>
      <c r="CE181" s="140" t="s">
        <v>199</v>
      </c>
      <c r="CF181" s="140" t="s">
        <v>166</v>
      </c>
      <c r="CG181" s="140" t="s">
        <v>474</v>
      </c>
      <c r="CH181" s="140" t="s">
        <v>166</v>
      </c>
      <c r="CI181" s="140" t="s">
        <v>166</v>
      </c>
      <c r="CJ181" s="247">
        <v>33.767370116850508</v>
      </c>
      <c r="CK181" s="140" t="s">
        <v>201</v>
      </c>
      <c r="CL181" s="140">
        <v>2</v>
      </c>
      <c r="CM181" s="140">
        <v>2</v>
      </c>
      <c r="CN181" s="140" t="s">
        <v>166</v>
      </c>
      <c r="CO181" s="253">
        <v>3.6487494229086228</v>
      </c>
      <c r="CP181" s="140" t="s">
        <v>166</v>
      </c>
      <c r="CQ181" s="140" t="s">
        <v>166</v>
      </c>
      <c r="CR181" s="140" t="s">
        <v>166</v>
      </c>
      <c r="CS181" s="249" t="s">
        <v>202</v>
      </c>
      <c r="CT181" s="140" t="s">
        <v>203</v>
      </c>
      <c r="CU181" s="140">
        <v>2.2000000000000002</v>
      </c>
      <c r="CV181" s="140" t="s">
        <v>204</v>
      </c>
      <c r="CW181" s="140" t="s">
        <v>166</v>
      </c>
      <c r="CX181" s="140" t="s">
        <v>166</v>
      </c>
      <c r="CY181" s="140" t="s">
        <v>166</v>
      </c>
      <c r="CZ181" s="140" t="s">
        <v>166</v>
      </c>
      <c r="DA181" s="209" t="s">
        <v>166</v>
      </c>
      <c r="DB181" s="140" t="s">
        <v>166</v>
      </c>
      <c r="DC181" s="140" t="s">
        <v>166</v>
      </c>
      <c r="DD181" s="140" t="s">
        <v>166</v>
      </c>
      <c r="DE181" s="140" t="s">
        <v>166</v>
      </c>
      <c r="DF181" s="140" t="s">
        <v>205</v>
      </c>
      <c r="DG181" s="250">
        <v>35</v>
      </c>
      <c r="DH181" s="250" t="s">
        <v>201</v>
      </c>
      <c r="DI181" s="250">
        <v>1</v>
      </c>
      <c r="DJ181" s="250" t="s">
        <v>206</v>
      </c>
      <c r="DK181" s="250">
        <v>17</v>
      </c>
      <c r="DL181" s="140" t="s">
        <v>166</v>
      </c>
      <c r="DM181" s="140" t="s">
        <v>166</v>
      </c>
      <c r="DN181" s="250" t="s">
        <v>207</v>
      </c>
      <c r="DO181" s="250">
        <v>38</v>
      </c>
      <c r="DP181" s="250" t="s">
        <v>208</v>
      </c>
      <c r="DQ181" s="250">
        <v>3</v>
      </c>
      <c r="DR181" s="250" t="s">
        <v>209</v>
      </c>
      <c r="DS181" s="140" t="s">
        <v>166</v>
      </c>
      <c r="DT181" s="140" t="s">
        <v>166</v>
      </c>
      <c r="DU181" s="140" t="s">
        <v>166</v>
      </c>
      <c r="DV181" s="140" t="s">
        <v>166</v>
      </c>
      <c r="DW181" s="250">
        <v>432.6</v>
      </c>
      <c r="DX181" s="140" t="s">
        <v>166</v>
      </c>
      <c r="DY181" s="140" t="s">
        <v>166</v>
      </c>
      <c r="DZ181" s="140" t="s">
        <v>210</v>
      </c>
      <c r="EA181" s="140" t="s">
        <v>211</v>
      </c>
      <c r="EB181" s="140" t="s">
        <v>212</v>
      </c>
      <c r="EC181" s="140" t="s">
        <v>166</v>
      </c>
      <c r="ED181" s="140" t="s">
        <v>213</v>
      </c>
      <c r="EE181" s="213" t="s">
        <v>214</v>
      </c>
      <c r="EF181" s="213" t="s">
        <v>214</v>
      </c>
      <c r="EG181" s="250">
        <v>1.0271999999999999</v>
      </c>
      <c r="EH181" s="250" t="s">
        <v>215</v>
      </c>
      <c r="EI181" s="250" t="s">
        <v>215</v>
      </c>
      <c r="EJ181" s="250" t="s">
        <v>216</v>
      </c>
      <c r="EK181" s="250" t="s">
        <v>215</v>
      </c>
      <c r="EL181" s="250" t="s">
        <v>215</v>
      </c>
      <c r="EM181" s="250" t="s">
        <v>217</v>
      </c>
      <c r="EN181" s="251" t="s">
        <v>214</v>
      </c>
      <c r="EO181" s="251" t="s">
        <v>214</v>
      </c>
      <c r="EP181" s="251" t="s">
        <v>214</v>
      </c>
      <c r="EQ181" s="251" t="s">
        <v>214</v>
      </c>
      <c r="ER181" s="250"/>
      <c r="ES181" s="250"/>
      <c r="ET181" s="140" t="s">
        <v>218</v>
      </c>
      <c r="EU181" s="250" t="s">
        <v>219</v>
      </c>
      <c r="EV181" s="250" t="s">
        <v>213</v>
      </c>
      <c r="EW181" s="140" t="s">
        <v>166</v>
      </c>
      <c r="EX181" s="140" t="s">
        <v>166</v>
      </c>
      <c r="EY181" s="140" t="s">
        <v>166</v>
      </c>
      <c r="EZ181" s="140" t="s">
        <v>166</v>
      </c>
      <c r="FA181" s="205">
        <v>5.5</v>
      </c>
      <c r="FB181" s="140" t="s">
        <v>220</v>
      </c>
      <c r="FC181" s="205">
        <v>1</v>
      </c>
      <c r="FD181" s="205">
        <v>1</v>
      </c>
      <c r="FE181" s="252">
        <v>7.6929323375627403</v>
      </c>
      <c r="FF181" s="140" t="s">
        <v>221</v>
      </c>
      <c r="FG181" s="252">
        <v>4.4030315634900674E-2</v>
      </c>
      <c r="FH181" s="252">
        <v>4.2045666868999909E-2</v>
      </c>
      <c r="FI181" s="201">
        <v>973.64566165946701</v>
      </c>
      <c r="FK181" s="140" t="s">
        <v>166</v>
      </c>
      <c r="FL181" s="217">
        <f t="shared" si="157"/>
        <v>973.64566165946701</v>
      </c>
      <c r="FM181" s="201">
        <v>251.67787305706281</v>
      </c>
      <c r="FN181" s="201">
        <v>216.118148516053</v>
      </c>
      <c r="FO181" s="140" t="s">
        <v>222</v>
      </c>
      <c r="FP181" s="140" t="s">
        <v>223</v>
      </c>
      <c r="FQ181" s="217" t="s">
        <v>166</v>
      </c>
      <c r="FR181" s="217" t="s">
        <v>166</v>
      </c>
      <c r="FS181" s="217" t="s">
        <v>166</v>
      </c>
      <c r="FT181" s="217" t="s">
        <v>166</v>
      </c>
      <c r="FU181" s="217" t="s">
        <v>166</v>
      </c>
      <c r="FV181" s="217" t="s">
        <v>166</v>
      </c>
      <c r="FW181" s="217" t="s">
        <v>166</v>
      </c>
      <c r="FX181" s="217" t="s">
        <v>166</v>
      </c>
      <c r="FY181" s="217" t="s">
        <v>166</v>
      </c>
      <c r="FZ181" s="217" t="s">
        <v>166</v>
      </c>
      <c r="GA181" s="217" t="s">
        <v>166</v>
      </c>
      <c r="GB181" s="217" t="s">
        <v>166</v>
      </c>
      <c r="GC181" s="202" t="s">
        <v>507</v>
      </c>
    </row>
    <row r="182" spans="1:185" s="140" customFormat="1" ht="17">
      <c r="A182" s="140" t="s">
        <v>162</v>
      </c>
      <c r="B182" s="143" t="s">
        <v>163</v>
      </c>
      <c r="C182" s="140" t="s">
        <v>164</v>
      </c>
      <c r="D182" s="140" t="s">
        <v>165</v>
      </c>
      <c r="E182" s="140">
        <v>2020</v>
      </c>
      <c r="F182" s="140" t="s">
        <v>184</v>
      </c>
      <c r="G182" s="240">
        <v>55760.337417602539</v>
      </c>
      <c r="H182" s="241">
        <f t="shared" ref="H182" si="188">0.0083*G182^(0.9482)</f>
        <v>262.75066878381017</v>
      </c>
      <c r="I182" s="241">
        <f t="shared" si="171"/>
        <v>262.75066878381017</v>
      </c>
      <c r="J182" s="201">
        <v>1257.6441121217799</v>
      </c>
      <c r="K182" s="201">
        <v>950.96985427708023</v>
      </c>
      <c r="L182" s="201">
        <v>460.74957283649394</v>
      </c>
      <c r="M182" s="140" t="b">
        <v>1</v>
      </c>
      <c r="N182" s="140">
        <v>1</v>
      </c>
      <c r="O182" s="302" t="s">
        <v>581</v>
      </c>
      <c r="P182" s="140" t="s">
        <v>166</v>
      </c>
      <c r="Q182" s="140" t="s">
        <v>166</v>
      </c>
      <c r="R182" s="140" t="s">
        <v>166</v>
      </c>
      <c r="S182" s="140" t="b">
        <v>1</v>
      </c>
      <c r="T182" s="140" t="b">
        <v>0</v>
      </c>
      <c r="U182" s="140" t="s">
        <v>166</v>
      </c>
      <c r="V182" s="140" t="b">
        <v>0</v>
      </c>
      <c r="W182" s="140" t="b">
        <v>0</v>
      </c>
      <c r="X182" s="140" t="s">
        <v>580</v>
      </c>
      <c r="Y182" s="202" t="s">
        <v>186</v>
      </c>
      <c r="Z182" s="140" t="s">
        <v>184</v>
      </c>
      <c r="AA182" s="242">
        <v>401</v>
      </c>
      <c r="AB182" s="140" t="s">
        <v>166</v>
      </c>
      <c r="AC182" s="140">
        <v>14</v>
      </c>
      <c r="AD182" s="140">
        <v>3</v>
      </c>
      <c r="AE182" s="140">
        <v>26</v>
      </c>
      <c r="AF182" s="140">
        <v>27</v>
      </c>
      <c r="AG182" s="140" t="s">
        <v>166</v>
      </c>
      <c r="AH182" s="243">
        <v>201.76499999999999</v>
      </c>
      <c r="AI182" s="140" t="s">
        <v>498</v>
      </c>
      <c r="AJ182" s="140" t="s">
        <v>499</v>
      </c>
      <c r="AK182" s="210">
        <v>47.427500000000002</v>
      </c>
      <c r="AL182" s="210">
        <v>-8.8102999999999998</v>
      </c>
      <c r="AM182" s="244">
        <v>42</v>
      </c>
      <c r="AN182" s="244">
        <v>21</v>
      </c>
      <c r="AO182" s="244">
        <v>-2495</v>
      </c>
      <c r="AP182" s="140">
        <v>-2000</v>
      </c>
      <c r="AQ182" s="140" t="s">
        <v>500</v>
      </c>
      <c r="AR182" s="140" t="s">
        <v>166</v>
      </c>
      <c r="AS182" s="240">
        <v>55.760337417602535</v>
      </c>
      <c r="AT182" s="140" t="s">
        <v>166</v>
      </c>
      <c r="AU182" s="140" t="s">
        <v>166</v>
      </c>
      <c r="AV182" s="140" t="s">
        <v>166</v>
      </c>
      <c r="AW182" s="140" t="s">
        <v>166</v>
      </c>
      <c r="AX182" s="140" t="s">
        <v>501</v>
      </c>
      <c r="AY182" s="140" t="s">
        <v>502</v>
      </c>
      <c r="AZ182" s="215">
        <v>55.786328834533691</v>
      </c>
      <c r="BA182" s="140" t="s">
        <v>166</v>
      </c>
      <c r="BB182" s="140" t="s">
        <v>166</v>
      </c>
      <c r="BC182" s="140" t="s">
        <v>166</v>
      </c>
      <c r="BD182" s="140" t="s">
        <v>166</v>
      </c>
      <c r="BE182" s="140" t="s">
        <v>503</v>
      </c>
      <c r="BF182" s="140" t="s">
        <v>504</v>
      </c>
      <c r="BG182" s="245" t="s">
        <v>505</v>
      </c>
      <c r="BH182" s="207" t="s">
        <v>192</v>
      </c>
      <c r="BI182" s="140" t="s">
        <v>166</v>
      </c>
      <c r="BJ182" s="140" t="s">
        <v>506</v>
      </c>
      <c r="BK182" s="140" t="s">
        <v>226</v>
      </c>
      <c r="BL182" s="140" t="s">
        <v>194</v>
      </c>
      <c r="BM182" s="140" t="s">
        <v>195</v>
      </c>
      <c r="BN182" s="140" t="s">
        <v>466</v>
      </c>
      <c r="BO182" s="140" t="s">
        <v>166</v>
      </c>
      <c r="BP182" s="140" t="s">
        <v>166</v>
      </c>
      <c r="BQ182" s="246">
        <v>14.285845519584894</v>
      </c>
      <c r="BR182" s="140" t="s">
        <v>196</v>
      </c>
      <c r="BS182" s="246">
        <v>0.82302246378333577</v>
      </c>
      <c r="BT182" s="140">
        <v>1</v>
      </c>
      <c r="BU182" s="140" t="s">
        <v>197</v>
      </c>
      <c r="BV182" s="140" t="s">
        <v>166</v>
      </c>
      <c r="BW182" s="140">
        <v>0</v>
      </c>
      <c r="BX182" s="140" t="s">
        <v>197</v>
      </c>
      <c r="BY182" s="140" t="s">
        <v>166</v>
      </c>
      <c r="BZ182" s="140" t="s">
        <v>197</v>
      </c>
      <c r="CA182" s="140" t="s">
        <v>166</v>
      </c>
      <c r="CB182" s="210">
        <f t="shared" si="165"/>
        <v>14.285845519584894</v>
      </c>
      <c r="CC182" s="140" t="s">
        <v>196</v>
      </c>
      <c r="CD182" s="210">
        <f t="shared" si="166"/>
        <v>0.82302246378333577</v>
      </c>
      <c r="CE182" s="140" t="s">
        <v>199</v>
      </c>
      <c r="CF182" s="140" t="s">
        <v>166</v>
      </c>
      <c r="CG182" s="140" t="s">
        <v>474</v>
      </c>
      <c r="CH182" s="140" t="s">
        <v>166</v>
      </c>
      <c r="CI182" s="140" t="s">
        <v>166</v>
      </c>
      <c r="CJ182" s="247">
        <v>34.807026934120636</v>
      </c>
      <c r="CK182" s="140" t="s">
        <v>201</v>
      </c>
      <c r="CL182" s="140">
        <v>2</v>
      </c>
      <c r="CM182" s="140">
        <v>2</v>
      </c>
      <c r="CN182" s="140" t="s">
        <v>166</v>
      </c>
      <c r="CO182" s="248">
        <v>3.8689521258899693</v>
      </c>
      <c r="CP182" s="140" t="s">
        <v>166</v>
      </c>
      <c r="CQ182" s="140" t="s">
        <v>166</v>
      </c>
      <c r="CR182" s="140" t="s">
        <v>166</v>
      </c>
      <c r="CS182" s="249" t="s">
        <v>202</v>
      </c>
      <c r="CT182" s="140" t="s">
        <v>203</v>
      </c>
      <c r="CU182" s="140">
        <v>2.2000000000000002</v>
      </c>
      <c r="CV182" s="140" t="s">
        <v>204</v>
      </c>
      <c r="CW182" s="140" t="s">
        <v>166</v>
      </c>
      <c r="CX182" s="140" t="s">
        <v>166</v>
      </c>
      <c r="CY182" s="140" t="s">
        <v>166</v>
      </c>
      <c r="CZ182" s="140" t="s">
        <v>166</v>
      </c>
      <c r="DA182" s="209" t="s">
        <v>166</v>
      </c>
      <c r="DB182" s="140" t="s">
        <v>166</v>
      </c>
      <c r="DC182" s="140" t="s">
        <v>166</v>
      </c>
      <c r="DD182" s="140" t="s">
        <v>166</v>
      </c>
      <c r="DE182" s="140" t="s">
        <v>166</v>
      </c>
      <c r="DF182" s="140" t="s">
        <v>205</v>
      </c>
      <c r="DG182" s="250">
        <v>35</v>
      </c>
      <c r="DH182" s="250" t="s">
        <v>201</v>
      </c>
      <c r="DI182" s="250">
        <v>1</v>
      </c>
      <c r="DJ182" s="250" t="s">
        <v>206</v>
      </c>
      <c r="DK182" s="250">
        <v>17</v>
      </c>
      <c r="DL182" s="140" t="s">
        <v>166</v>
      </c>
      <c r="DM182" s="140" t="s">
        <v>166</v>
      </c>
      <c r="DN182" s="250" t="s">
        <v>207</v>
      </c>
      <c r="DO182" s="250">
        <v>38</v>
      </c>
      <c r="DP182" s="250" t="s">
        <v>208</v>
      </c>
      <c r="DQ182" s="250">
        <v>3</v>
      </c>
      <c r="DR182" s="250" t="s">
        <v>209</v>
      </c>
      <c r="DS182" s="140" t="s">
        <v>166</v>
      </c>
      <c r="DT182" s="140" t="s">
        <v>166</v>
      </c>
      <c r="DU182" s="140" t="s">
        <v>166</v>
      </c>
      <c r="DV182" s="140" t="s">
        <v>166</v>
      </c>
      <c r="DW182" s="250">
        <v>432.6</v>
      </c>
      <c r="DX182" s="140" t="s">
        <v>166</v>
      </c>
      <c r="DY182" s="140" t="s">
        <v>166</v>
      </c>
      <c r="DZ182" s="140" t="s">
        <v>210</v>
      </c>
      <c r="EA182" s="140" t="s">
        <v>211</v>
      </c>
      <c r="EB182" s="140" t="s">
        <v>212</v>
      </c>
      <c r="EC182" s="140" t="s">
        <v>166</v>
      </c>
      <c r="ED182" s="140" t="s">
        <v>213</v>
      </c>
      <c r="EE182" s="213" t="s">
        <v>214</v>
      </c>
      <c r="EF182" s="213" t="s">
        <v>214</v>
      </c>
      <c r="EG182" s="250">
        <v>1.0271999999999999</v>
      </c>
      <c r="EH182" s="250" t="s">
        <v>215</v>
      </c>
      <c r="EI182" s="250" t="s">
        <v>215</v>
      </c>
      <c r="EJ182" s="250" t="s">
        <v>216</v>
      </c>
      <c r="EK182" s="250" t="s">
        <v>215</v>
      </c>
      <c r="EL182" s="250" t="s">
        <v>215</v>
      </c>
      <c r="EM182" s="250" t="s">
        <v>217</v>
      </c>
      <c r="EN182" s="251" t="s">
        <v>214</v>
      </c>
      <c r="EO182" s="251" t="s">
        <v>214</v>
      </c>
      <c r="EP182" s="251" t="s">
        <v>214</v>
      </c>
      <c r="EQ182" s="251" t="s">
        <v>214</v>
      </c>
      <c r="ER182" s="250"/>
      <c r="ES182" s="250"/>
      <c r="ET182" s="140" t="s">
        <v>218</v>
      </c>
      <c r="EU182" s="250" t="s">
        <v>219</v>
      </c>
      <c r="EV182" s="250" t="s">
        <v>213</v>
      </c>
      <c r="EW182" s="140" t="s">
        <v>166</v>
      </c>
      <c r="EX182" s="140" t="s">
        <v>166</v>
      </c>
      <c r="EY182" s="140" t="s">
        <v>166</v>
      </c>
      <c r="EZ182" s="140" t="s">
        <v>166</v>
      </c>
      <c r="FA182" s="205">
        <v>5.5</v>
      </c>
      <c r="FB182" s="140" t="s">
        <v>220</v>
      </c>
      <c r="FC182" s="205">
        <v>1</v>
      </c>
      <c r="FD182" s="205">
        <v>1</v>
      </c>
      <c r="FE182" s="252">
        <v>7.6275202650296201</v>
      </c>
      <c r="FF182" s="140" t="s">
        <v>221</v>
      </c>
      <c r="FG182" s="252">
        <v>0.11840842833557019</v>
      </c>
      <c r="FH182" s="252">
        <v>9.3081359589030299E-2</v>
      </c>
      <c r="FI182" s="201">
        <v>1257.6441121217799</v>
      </c>
      <c r="FK182" s="140" t="s">
        <v>166</v>
      </c>
      <c r="FL182" s="217">
        <f t="shared" si="157"/>
        <v>1257.6441121217799</v>
      </c>
      <c r="FM182" s="201">
        <v>950.96985427708023</v>
      </c>
      <c r="FN182" s="201">
        <v>460.74957283649394</v>
      </c>
      <c r="FO182" s="140" t="s">
        <v>222</v>
      </c>
      <c r="FP182" s="140" t="s">
        <v>223</v>
      </c>
      <c r="FQ182" s="217" t="s">
        <v>166</v>
      </c>
      <c r="FR182" s="217" t="s">
        <v>166</v>
      </c>
      <c r="FS182" s="217" t="s">
        <v>166</v>
      </c>
      <c r="FT182" s="217" t="s">
        <v>166</v>
      </c>
      <c r="FU182" s="217" t="s">
        <v>166</v>
      </c>
      <c r="FV182" s="217" t="s">
        <v>166</v>
      </c>
      <c r="FW182" s="217" t="s">
        <v>166</v>
      </c>
      <c r="FX182" s="217" t="s">
        <v>166</v>
      </c>
      <c r="FY182" s="217" t="s">
        <v>166</v>
      </c>
      <c r="FZ182" s="217" t="s">
        <v>166</v>
      </c>
      <c r="GA182" s="217" t="s">
        <v>166</v>
      </c>
      <c r="GB182" s="217" t="s">
        <v>166</v>
      </c>
      <c r="GC182" s="202" t="s">
        <v>507</v>
      </c>
    </row>
    <row r="183" spans="1:185" s="140" customFormat="1" ht="17">
      <c r="A183" s="140" t="s">
        <v>162</v>
      </c>
      <c r="B183" s="143" t="s">
        <v>163</v>
      </c>
      <c r="C183" s="140" t="s">
        <v>164</v>
      </c>
      <c r="D183" s="140" t="s">
        <v>165</v>
      </c>
      <c r="E183" s="140">
        <v>2020</v>
      </c>
      <c r="F183" s="140" t="s">
        <v>184</v>
      </c>
      <c r="G183" s="240">
        <v>55776.863971710198</v>
      </c>
      <c r="H183" s="241">
        <f t="shared" ref="H183" si="189">0.0083*G183^(0.9482)</f>
        <v>262.82450974892259</v>
      </c>
      <c r="I183" s="241">
        <f t="shared" si="171"/>
        <v>262.82450974892259</v>
      </c>
      <c r="J183" s="201">
        <v>1151.96979181796</v>
      </c>
      <c r="K183" s="201">
        <v>423.00546571115001</v>
      </c>
      <c r="L183" s="201">
        <v>297.13697090813594</v>
      </c>
      <c r="M183" s="140" t="b">
        <v>1</v>
      </c>
      <c r="N183" s="140">
        <v>1</v>
      </c>
      <c r="O183" s="302" t="s">
        <v>581</v>
      </c>
      <c r="P183" s="140" t="s">
        <v>166</v>
      </c>
      <c r="Q183" s="140" t="s">
        <v>166</v>
      </c>
      <c r="R183" s="140" t="s">
        <v>166</v>
      </c>
      <c r="S183" s="140" t="b">
        <v>1</v>
      </c>
      <c r="T183" s="140" t="b">
        <v>0</v>
      </c>
      <c r="U183" s="140" t="s">
        <v>166</v>
      </c>
      <c r="V183" s="140" t="b">
        <v>0</v>
      </c>
      <c r="W183" s="140" t="b">
        <v>0</v>
      </c>
      <c r="X183" s="140" t="s">
        <v>580</v>
      </c>
      <c r="Y183" s="202" t="s">
        <v>186</v>
      </c>
      <c r="Z183" s="140" t="s">
        <v>184</v>
      </c>
      <c r="AA183" s="242">
        <v>401</v>
      </c>
      <c r="AB183" s="140" t="s">
        <v>166</v>
      </c>
      <c r="AC183" s="140">
        <v>14</v>
      </c>
      <c r="AD183" s="140">
        <v>3</v>
      </c>
      <c r="AE183" s="140">
        <v>37</v>
      </c>
      <c r="AF183" s="140">
        <f t="shared" si="176"/>
        <v>39</v>
      </c>
      <c r="AG183" s="140" t="s">
        <v>166</v>
      </c>
      <c r="AH183" s="243">
        <v>201.88</v>
      </c>
      <c r="AI183" s="140" t="s">
        <v>498</v>
      </c>
      <c r="AJ183" s="140" t="s">
        <v>499</v>
      </c>
      <c r="AK183" s="210">
        <v>47.427500000000002</v>
      </c>
      <c r="AL183" s="210">
        <v>-8.8102999999999998</v>
      </c>
      <c r="AM183" s="244">
        <v>42</v>
      </c>
      <c r="AN183" s="244">
        <v>21</v>
      </c>
      <c r="AO183" s="244">
        <v>-2495</v>
      </c>
      <c r="AP183" s="140">
        <v>-2000</v>
      </c>
      <c r="AQ183" s="140" t="s">
        <v>500</v>
      </c>
      <c r="AR183" s="140" t="s">
        <v>166</v>
      </c>
      <c r="AS183" s="240">
        <v>55.776863971710199</v>
      </c>
      <c r="AT183" s="140" t="s">
        <v>166</v>
      </c>
      <c r="AU183" s="140" t="s">
        <v>166</v>
      </c>
      <c r="AV183" s="140" t="s">
        <v>166</v>
      </c>
      <c r="AW183" s="140" t="s">
        <v>166</v>
      </c>
      <c r="AX183" s="140" t="s">
        <v>501</v>
      </c>
      <c r="AY183" s="140" t="s">
        <v>502</v>
      </c>
      <c r="AZ183" s="215">
        <v>55.791473915100099</v>
      </c>
      <c r="BA183" s="140" t="s">
        <v>166</v>
      </c>
      <c r="BB183" s="140" t="s">
        <v>166</v>
      </c>
      <c r="BC183" s="140" t="s">
        <v>166</v>
      </c>
      <c r="BD183" s="140" t="s">
        <v>166</v>
      </c>
      <c r="BE183" s="140" t="s">
        <v>503</v>
      </c>
      <c r="BF183" s="140" t="s">
        <v>504</v>
      </c>
      <c r="BG183" s="245" t="s">
        <v>505</v>
      </c>
      <c r="BH183" s="207" t="s">
        <v>192</v>
      </c>
      <c r="BI183" s="140" t="s">
        <v>166</v>
      </c>
      <c r="BJ183" s="140" t="s">
        <v>506</v>
      </c>
      <c r="BK183" s="140" t="s">
        <v>226</v>
      </c>
      <c r="BL183" s="140" t="s">
        <v>194</v>
      </c>
      <c r="BM183" s="140" t="s">
        <v>195</v>
      </c>
      <c r="BN183" s="140" t="s">
        <v>466</v>
      </c>
      <c r="BO183" s="140" t="s">
        <v>166</v>
      </c>
      <c r="BP183" s="140" t="s">
        <v>166</v>
      </c>
      <c r="BQ183" s="246">
        <v>14.437189632455327</v>
      </c>
      <c r="BR183" s="140" t="s">
        <v>196</v>
      </c>
      <c r="BS183" s="246">
        <v>0.44811044589017646</v>
      </c>
      <c r="BT183" s="140">
        <v>1</v>
      </c>
      <c r="BU183" s="140" t="s">
        <v>197</v>
      </c>
      <c r="BV183" s="140" t="s">
        <v>166</v>
      </c>
      <c r="BW183" s="140">
        <v>0</v>
      </c>
      <c r="BX183" s="140" t="s">
        <v>197</v>
      </c>
      <c r="BY183" s="140" t="s">
        <v>166</v>
      </c>
      <c r="BZ183" s="140" t="s">
        <v>197</v>
      </c>
      <c r="CA183" s="140" t="s">
        <v>166</v>
      </c>
      <c r="CB183" s="210">
        <f t="shared" si="165"/>
        <v>14.437189632455327</v>
      </c>
      <c r="CC183" s="140" t="s">
        <v>196</v>
      </c>
      <c r="CD183" s="210">
        <f t="shared" si="166"/>
        <v>0.44811044589017646</v>
      </c>
      <c r="CE183" s="140" t="s">
        <v>199</v>
      </c>
      <c r="CF183" s="140" t="s">
        <v>166</v>
      </c>
      <c r="CG183" s="140" t="s">
        <v>474</v>
      </c>
      <c r="CH183" s="140" t="s">
        <v>166</v>
      </c>
      <c r="CI183" s="140" t="s">
        <v>166</v>
      </c>
      <c r="CJ183" s="247">
        <v>34.385154824448421</v>
      </c>
      <c r="CK183" s="140" t="s">
        <v>201</v>
      </c>
      <c r="CL183" s="140">
        <v>2</v>
      </c>
      <c r="CM183" s="140">
        <v>2</v>
      </c>
      <c r="CN183" s="140" t="s">
        <v>166</v>
      </c>
      <c r="CO183" s="248">
        <v>3.7780397946562365</v>
      </c>
      <c r="CP183" s="140" t="s">
        <v>166</v>
      </c>
      <c r="CQ183" s="140" t="s">
        <v>166</v>
      </c>
      <c r="CR183" s="140" t="s">
        <v>166</v>
      </c>
      <c r="CS183" s="249" t="s">
        <v>202</v>
      </c>
      <c r="CT183" s="140" t="s">
        <v>203</v>
      </c>
      <c r="CU183" s="140">
        <v>2.2000000000000002</v>
      </c>
      <c r="CV183" s="140" t="s">
        <v>204</v>
      </c>
      <c r="CW183" s="140" t="s">
        <v>166</v>
      </c>
      <c r="CX183" s="140" t="s">
        <v>166</v>
      </c>
      <c r="CY183" s="140" t="s">
        <v>166</v>
      </c>
      <c r="CZ183" s="140" t="s">
        <v>166</v>
      </c>
      <c r="DA183" s="209" t="s">
        <v>166</v>
      </c>
      <c r="DB183" s="140" t="s">
        <v>166</v>
      </c>
      <c r="DC183" s="140" t="s">
        <v>166</v>
      </c>
      <c r="DD183" s="140" t="s">
        <v>166</v>
      </c>
      <c r="DE183" s="140" t="s">
        <v>166</v>
      </c>
      <c r="DF183" s="140" t="s">
        <v>205</v>
      </c>
      <c r="DG183" s="250">
        <v>35</v>
      </c>
      <c r="DH183" s="250" t="s">
        <v>201</v>
      </c>
      <c r="DI183" s="250">
        <v>1</v>
      </c>
      <c r="DJ183" s="250" t="s">
        <v>206</v>
      </c>
      <c r="DK183" s="250">
        <v>17</v>
      </c>
      <c r="DL183" s="140" t="s">
        <v>166</v>
      </c>
      <c r="DM183" s="140" t="s">
        <v>166</v>
      </c>
      <c r="DN183" s="250" t="s">
        <v>207</v>
      </c>
      <c r="DO183" s="250">
        <v>38</v>
      </c>
      <c r="DP183" s="250" t="s">
        <v>208</v>
      </c>
      <c r="DQ183" s="250">
        <v>3</v>
      </c>
      <c r="DR183" s="250" t="s">
        <v>209</v>
      </c>
      <c r="DS183" s="140" t="s">
        <v>166</v>
      </c>
      <c r="DT183" s="140" t="s">
        <v>166</v>
      </c>
      <c r="DU183" s="140" t="s">
        <v>166</v>
      </c>
      <c r="DV183" s="140" t="s">
        <v>166</v>
      </c>
      <c r="DW183" s="250">
        <v>432.6</v>
      </c>
      <c r="DX183" s="140" t="s">
        <v>166</v>
      </c>
      <c r="DY183" s="140" t="s">
        <v>166</v>
      </c>
      <c r="DZ183" s="140" t="s">
        <v>210</v>
      </c>
      <c r="EA183" s="140" t="s">
        <v>211</v>
      </c>
      <c r="EB183" s="140" t="s">
        <v>212</v>
      </c>
      <c r="EC183" s="140" t="s">
        <v>166</v>
      </c>
      <c r="ED183" s="140" t="s">
        <v>213</v>
      </c>
      <c r="EE183" s="213" t="s">
        <v>214</v>
      </c>
      <c r="EF183" s="213" t="s">
        <v>214</v>
      </c>
      <c r="EG183" s="250">
        <v>1.0271999999999999</v>
      </c>
      <c r="EH183" s="250" t="s">
        <v>215</v>
      </c>
      <c r="EI183" s="250" t="s">
        <v>215</v>
      </c>
      <c r="EJ183" s="250" t="s">
        <v>216</v>
      </c>
      <c r="EK183" s="250" t="s">
        <v>215</v>
      </c>
      <c r="EL183" s="250" t="s">
        <v>215</v>
      </c>
      <c r="EM183" s="250" t="s">
        <v>217</v>
      </c>
      <c r="EN183" s="251" t="s">
        <v>214</v>
      </c>
      <c r="EO183" s="251" t="s">
        <v>214</v>
      </c>
      <c r="EP183" s="251" t="s">
        <v>214</v>
      </c>
      <c r="EQ183" s="251" t="s">
        <v>214</v>
      </c>
      <c r="ER183" s="250"/>
      <c r="ES183" s="250"/>
      <c r="ET183" s="140" t="s">
        <v>218</v>
      </c>
      <c r="EU183" s="250" t="s">
        <v>219</v>
      </c>
      <c r="EV183" s="250" t="s">
        <v>213</v>
      </c>
      <c r="EW183" s="140" t="s">
        <v>166</v>
      </c>
      <c r="EX183" s="140" t="s">
        <v>166</v>
      </c>
      <c r="EY183" s="140" t="s">
        <v>166</v>
      </c>
      <c r="EZ183" s="140" t="s">
        <v>166</v>
      </c>
      <c r="FA183" s="205">
        <v>5.5</v>
      </c>
      <c r="FB183" s="140" t="s">
        <v>220</v>
      </c>
      <c r="FC183" s="205">
        <v>1</v>
      </c>
      <c r="FD183" s="205">
        <v>1</v>
      </c>
      <c r="FE183" s="252">
        <v>7.65141634848798</v>
      </c>
      <c r="FF183" s="140" t="s">
        <v>221</v>
      </c>
      <c r="FG183" s="252">
        <v>6.3821124697890141E-2</v>
      </c>
      <c r="FH183" s="252">
        <v>5.7220811452300069E-2</v>
      </c>
      <c r="FI183" s="201">
        <v>1151.96979181796</v>
      </c>
      <c r="FK183" s="140" t="s">
        <v>166</v>
      </c>
      <c r="FL183" s="217">
        <f t="shared" si="157"/>
        <v>1151.96979181796</v>
      </c>
      <c r="FM183" s="201">
        <v>423.00546571115001</v>
      </c>
      <c r="FN183" s="201">
        <v>297.13697090813594</v>
      </c>
      <c r="FO183" s="140" t="s">
        <v>222</v>
      </c>
      <c r="FP183" s="140" t="s">
        <v>223</v>
      </c>
      <c r="FQ183" s="217" t="s">
        <v>166</v>
      </c>
      <c r="FR183" s="217" t="s">
        <v>166</v>
      </c>
      <c r="FS183" s="217" t="s">
        <v>166</v>
      </c>
      <c r="FT183" s="217" t="s">
        <v>166</v>
      </c>
      <c r="FU183" s="217" t="s">
        <v>166</v>
      </c>
      <c r="FV183" s="217" t="s">
        <v>166</v>
      </c>
      <c r="FW183" s="217" t="s">
        <v>166</v>
      </c>
      <c r="FX183" s="217" t="s">
        <v>166</v>
      </c>
      <c r="FY183" s="217" t="s">
        <v>166</v>
      </c>
      <c r="FZ183" s="217" t="s">
        <v>166</v>
      </c>
      <c r="GA183" s="217" t="s">
        <v>166</v>
      </c>
      <c r="GB183" s="217" t="s">
        <v>166</v>
      </c>
      <c r="GC183" s="202" t="s">
        <v>507</v>
      </c>
    </row>
    <row r="184" spans="1:185" s="140" customFormat="1" ht="17">
      <c r="A184" s="140" t="s">
        <v>162</v>
      </c>
      <c r="B184" s="143" t="s">
        <v>163</v>
      </c>
      <c r="C184" s="140" t="s">
        <v>164</v>
      </c>
      <c r="D184" s="140" t="s">
        <v>165</v>
      </c>
      <c r="E184" s="140">
        <v>2020</v>
      </c>
      <c r="F184" s="140" t="s">
        <v>184</v>
      </c>
      <c r="G184" s="240">
        <v>55791.236038208008</v>
      </c>
      <c r="H184" s="241">
        <f t="shared" ref="H184" si="190">0.0083*G184^(0.9482)</f>
        <v>262.88872350015669</v>
      </c>
      <c r="I184" s="241">
        <f t="shared" si="171"/>
        <v>262.88872350015669</v>
      </c>
      <c r="J184" s="201">
        <v>1231.9401508887399</v>
      </c>
      <c r="K184" s="201">
        <v>297.38259303610994</v>
      </c>
      <c r="L184" s="201">
        <v>265.71825742636895</v>
      </c>
      <c r="M184" s="140" t="b">
        <v>1</v>
      </c>
      <c r="N184" s="140">
        <v>1</v>
      </c>
      <c r="O184" s="302" t="s">
        <v>581</v>
      </c>
      <c r="P184" s="140" t="s">
        <v>166</v>
      </c>
      <c r="Q184" s="140" t="s">
        <v>166</v>
      </c>
      <c r="R184" s="140" t="s">
        <v>166</v>
      </c>
      <c r="S184" s="140" t="b">
        <v>1</v>
      </c>
      <c r="T184" s="140" t="b">
        <v>0</v>
      </c>
      <c r="U184" s="140" t="s">
        <v>166</v>
      </c>
      <c r="V184" s="140" t="b">
        <v>0</v>
      </c>
      <c r="W184" s="140" t="b">
        <v>0</v>
      </c>
      <c r="X184" s="140" t="s">
        <v>580</v>
      </c>
      <c r="Y184" s="202" t="s">
        <v>186</v>
      </c>
      <c r="Z184" s="140" t="s">
        <v>184</v>
      </c>
      <c r="AA184" s="242">
        <v>401</v>
      </c>
      <c r="AB184" s="140" t="s">
        <v>166</v>
      </c>
      <c r="AC184" s="140">
        <v>14</v>
      </c>
      <c r="AD184" s="140">
        <v>3</v>
      </c>
      <c r="AE184" s="140">
        <v>47</v>
      </c>
      <c r="AF184" s="140">
        <f t="shared" si="176"/>
        <v>49</v>
      </c>
      <c r="AG184" s="140" t="s">
        <v>166</v>
      </c>
      <c r="AH184" s="243">
        <v>201.98</v>
      </c>
      <c r="AI184" s="140" t="s">
        <v>498</v>
      </c>
      <c r="AJ184" s="140" t="s">
        <v>499</v>
      </c>
      <c r="AK184" s="210">
        <v>47.427500000000002</v>
      </c>
      <c r="AL184" s="210">
        <v>-8.8102999999999998</v>
      </c>
      <c r="AM184" s="244">
        <v>42</v>
      </c>
      <c r="AN184" s="244">
        <v>21</v>
      </c>
      <c r="AO184" s="244">
        <v>-2495</v>
      </c>
      <c r="AP184" s="140">
        <v>-2000</v>
      </c>
      <c r="AQ184" s="140" t="s">
        <v>500</v>
      </c>
      <c r="AR184" s="140" t="s">
        <v>166</v>
      </c>
      <c r="AS184" s="240">
        <v>55.791236038208005</v>
      </c>
      <c r="AT184" s="140" t="s">
        <v>166</v>
      </c>
      <c r="AU184" s="140" t="s">
        <v>166</v>
      </c>
      <c r="AV184" s="140" t="s">
        <v>166</v>
      </c>
      <c r="AW184" s="140" t="s">
        <v>166</v>
      </c>
      <c r="AX184" s="140" t="s">
        <v>501</v>
      </c>
      <c r="AY184" s="140" t="s">
        <v>502</v>
      </c>
      <c r="AZ184" s="215">
        <v>55.795947280883787</v>
      </c>
      <c r="BA184" s="140" t="s">
        <v>166</v>
      </c>
      <c r="BB184" s="140" t="s">
        <v>166</v>
      </c>
      <c r="BC184" s="140" t="s">
        <v>166</v>
      </c>
      <c r="BD184" s="140" t="s">
        <v>166</v>
      </c>
      <c r="BE184" s="140" t="s">
        <v>503</v>
      </c>
      <c r="BF184" s="140" t="s">
        <v>504</v>
      </c>
      <c r="BG184" s="245" t="s">
        <v>505</v>
      </c>
      <c r="BH184" s="207" t="s">
        <v>192</v>
      </c>
      <c r="BI184" s="140" t="s">
        <v>166</v>
      </c>
      <c r="BJ184" s="140" t="s">
        <v>506</v>
      </c>
      <c r="BK184" s="140" t="s">
        <v>226</v>
      </c>
      <c r="BL184" s="140" t="s">
        <v>194</v>
      </c>
      <c r="BM184" s="140" t="s">
        <v>195</v>
      </c>
      <c r="BN184" s="140" t="s">
        <v>466</v>
      </c>
      <c r="BO184" s="140" t="s">
        <v>166</v>
      </c>
      <c r="BP184" s="140" t="s">
        <v>166</v>
      </c>
      <c r="BQ184" s="246">
        <v>14.336768601592276</v>
      </c>
      <c r="BR184" s="140" t="s">
        <v>196</v>
      </c>
      <c r="BS184" s="246">
        <v>0.31078541096842416</v>
      </c>
      <c r="BT184" s="140">
        <v>1</v>
      </c>
      <c r="BU184" s="140" t="s">
        <v>197</v>
      </c>
      <c r="BV184" s="140" t="s">
        <v>166</v>
      </c>
      <c r="BW184" s="140">
        <v>0</v>
      </c>
      <c r="BX184" s="140" t="s">
        <v>197</v>
      </c>
      <c r="BY184" s="140" t="s">
        <v>166</v>
      </c>
      <c r="BZ184" s="140" t="s">
        <v>197</v>
      </c>
      <c r="CA184" s="140" t="s">
        <v>166</v>
      </c>
      <c r="CB184" s="210">
        <f t="shared" si="165"/>
        <v>14.336768601592276</v>
      </c>
      <c r="CC184" s="140" t="s">
        <v>196</v>
      </c>
      <c r="CD184" s="210">
        <f t="shared" si="166"/>
        <v>0.31078541096842416</v>
      </c>
      <c r="CE184" s="140" t="s">
        <v>199</v>
      </c>
      <c r="CF184" s="140" t="s">
        <v>166</v>
      </c>
      <c r="CG184" s="140" t="s">
        <v>474</v>
      </c>
      <c r="CH184" s="140" t="s">
        <v>166</v>
      </c>
      <c r="CI184" s="140" t="s">
        <v>166</v>
      </c>
      <c r="CJ184" s="247">
        <v>34.919927726315642</v>
      </c>
      <c r="CK184" s="140" t="s">
        <v>201</v>
      </c>
      <c r="CL184" s="140">
        <v>2</v>
      </c>
      <c r="CM184" s="140">
        <v>2</v>
      </c>
      <c r="CN184" s="140" t="s">
        <v>166</v>
      </c>
      <c r="CO184" s="248">
        <v>3.8936508608231439</v>
      </c>
      <c r="CP184" s="140" t="s">
        <v>166</v>
      </c>
      <c r="CQ184" s="140" t="s">
        <v>166</v>
      </c>
      <c r="CR184" s="140" t="s">
        <v>166</v>
      </c>
      <c r="CS184" s="249" t="s">
        <v>202</v>
      </c>
      <c r="CT184" s="140" t="s">
        <v>203</v>
      </c>
      <c r="CU184" s="140">
        <v>2.2000000000000002</v>
      </c>
      <c r="CV184" s="140" t="s">
        <v>204</v>
      </c>
      <c r="CW184" s="140" t="s">
        <v>166</v>
      </c>
      <c r="CX184" s="140" t="s">
        <v>166</v>
      </c>
      <c r="CY184" s="140" t="s">
        <v>166</v>
      </c>
      <c r="CZ184" s="140" t="s">
        <v>166</v>
      </c>
      <c r="DA184" s="209" t="s">
        <v>166</v>
      </c>
      <c r="DB184" s="140" t="s">
        <v>166</v>
      </c>
      <c r="DC184" s="140" t="s">
        <v>166</v>
      </c>
      <c r="DD184" s="140" t="s">
        <v>166</v>
      </c>
      <c r="DE184" s="140" t="s">
        <v>166</v>
      </c>
      <c r="DF184" s="140" t="s">
        <v>205</v>
      </c>
      <c r="DG184" s="250">
        <v>35</v>
      </c>
      <c r="DH184" s="250" t="s">
        <v>201</v>
      </c>
      <c r="DI184" s="250">
        <v>1</v>
      </c>
      <c r="DJ184" s="250" t="s">
        <v>206</v>
      </c>
      <c r="DK184" s="250">
        <v>17</v>
      </c>
      <c r="DL184" s="140" t="s">
        <v>166</v>
      </c>
      <c r="DM184" s="140" t="s">
        <v>166</v>
      </c>
      <c r="DN184" s="250" t="s">
        <v>207</v>
      </c>
      <c r="DO184" s="250">
        <v>38</v>
      </c>
      <c r="DP184" s="250" t="s">
        <v>208</v>
      </c>
      <c r="DQ184" s="250">
        <v>3</v>
      </c>
      <c r="DR184" s="250" t="s">
        <v>209</v>
      </c>
      <c r="DS184" s="140" t="s">
        <v>166</v>
      </c>
      <c r="DT184" s="140" t="s">
        <v>166</v>
      </c>
      <c r="DU184" s="140" t="s">
        <v>166</v>
      </c>
      <c r="DV184" s="140" t="s">
        <v>166</v>
      </c>
      <c r="DW184" s="250">
        <v>432.6</v>
      </c>
      <c r="DX184" s="140" t="s">
        <v>166</v>
      </c>
      <c r="DY184" s="140" t="s">
        <v>166</v>
      </c>
      <c r="DZ184" s="140" t="s">
        <v>210</v>
      </c>
      <c r="EA184" s="140" t="s">
        <v>211</v>
      </c>
      <c r="EB184" s="140" t="s">
        <v>212</v>
      </c>
      <c r="EC184" s="140" t="s">
        <v>166</v>
      </c>
      <c r="ED184" s="140" t="s">
        <v>213</v>
      </c>
      <c r="EE184" s="213" t="s">
        <v>214</v>
      </c>
      <c r="EF184" s="213" t="s">
        <v>214</v>
      </c>
      <c r="EG184" s="250">
        <v>1.0271999999999999</v>
      </c>
      <c r="EH184" s="250" t="s">
        <v>215</v>
      </c>
      <c r="EI184" s="250" t="s">
        <v>215</v>
      </c>
      <c r="EJ184" s="250" t="s">
        <v>216</v>
      </c>
      <c r="EK184" s="250" t="s">
        <v>215</v>
      </c>
      <c r="EL184" s="250" t="s">
        <v>215</v>
      </c>
      <c r="EM184" s="250" t="s">
        <v>217</v>
      </c>
      <c r="EN184" s="251" t="s">
        <v>214</v>
      </c>
      <c r="EO184" s="251" t="s">
        <v>214</v>
      </c>
      <c r="EP184" s="251" t="s">
        <v>214</v>
      </c>
      <c r="EQ184" s="251" t="s">
        <v>214</v>
      </c>
      <c r="ER184" s="250"/>
      <c r="ES184" s="250"/>
      <c r="ET184" s="140" t="s">
        <v>218</v>
      </c>
      <c r="EU184" s="250" t="s">
        <v>219</v>
      </c>
      <c r="EV184" s="250" t="s">
        <v>213</v>
      </c>
      <c r="EW184" s="140" t="s">
        <v>166</v>
      </c>
      <c r="EX184" s="140" t="s">
        <v>166</v>
      </c>
      <c r="EY184" s="140" t="s">
        <v>166</v>
      </c>
      <c r="EZ184" s="140" t="s">
        <v>166</v>
      </c>
      <c r="FA184" s="205">
        <v>5.5</v>
      </c>
      <c r="FB184" s="140" t="s">
        <v>220</v>
      </c>
      <c r="FC184" s="205">
        <v>1</v>
      </c>
      <c r="FD184" s="205">
        <v>1</v>
      </c>
      <c r="FE184" s="252">
        <v>7.6341840345158998</v>
      </c>
      <c r="FF184" s="140" t="s">
        <v>221</v>
      </c>
      <c r="FG184" s="252">
        <v>4.4736287364769645E-2</v>
      </c>
      <c r="FH184" s="252">
        <v>4.3480865924260037E-2</v>
      </c>
      <c r="FI184" s="201">
        <v>1231.9401508887399</v>
      </c>
      <c r="FK184" s="140" t="s">
        <v>166</v>
      </c>
      <c r="FL184" s="217">
        <f t="shared" si="157"/>
        <v>1231.9401508887399</v>
      </c>
      <c r="FM184" s="201">
        <v>297.38259303610994</v>
      </c>
      <c r="FN184" s="201">
        <v>265.71825742636895</v>
      </c>
      <c r="FO184" s="140" t="s">
        <v>222</v>
      </c>
      <c r="FP184" s="140" t="s">
        <v>223</v>
      </c>
      <c r="FQ184" s="217" t="s">
        <v>166</v>
      </c>
      <c r="FR184" s="217" t="s">
        <v>166</v>
      </c>
      <c r="FS184" s="217" t="s">
        <v>166</v>
      </c>
      <c r="FT184" s="217" t="s">
        <v>166</v>
      </c>
      <c r="FU184" s="217" t="s">
        <v>166</v>
      </c>
      <c r="FV184" s="217" t="s">
        <v>166</v>
      </c>
      <c r="FW184" s="217" t="s">
        <v>166</v>
      </c>
      <c r="FX184" s="217" t="s">
        <v>166</v>
      </c>
      <c r="FY184" s="217" t="s">
        <v>166</v>
      </c>
      <c r="FZ184" s="217" t="s">
        <v>166</v>
      </c>
      <c r="GA184" s="217" t="s">
        <v>166</v>
      </c>
      <c r="GB184" s="217" t="s">
        <v>166</v>
      </c>
      <c r="GC184" s="202" t="s">
        <v>507</v>
      </c>
    </row>
    <row r="185" spans="1:185" s="140" customFormat="1" ht="17">
      <c r="A185" s="140" t="s">
        <v>162</v>
      </c>
      <c r="B185" s="143" t="s">
        <v>163</v>
      </c>
      <c r="C185" s="140" t="s">
        <v>164</v>
      </c>
      <c r="D185" s="140" t="s">
        <v>165</v>
      </c>
      <c r="E185" s="140">
        <v>2020</v>
      </c>
      <c r="F185" s="140" t="s">
        <v>184</v>
      </c>
      <c r="G185" s="240">
        <v>55808.016517639153</v>
      </c>
      <c r="H185" s="241">
        <f t="shared" ref="H185" si="191">0.0083*G185^(0.9482)</f>
        <v>262.96369684855961</v>
      </c>
      <c r="I185" s="241">
        <f t="shared" si="171"/>
        <v>262.96369684855961</v>
      </c>
      <c r="J185" s="201">
        <v>1191.6124549486699</v>
      </c>
      <c r="K185" s="201">
        <v>345.66578246338008</v>
      </c>
      <c r="L185" s="201">
        <v>287.37567921279094</v>
      </c>
      <c r="M185" s="140" t="b">
        <v>1</v>
      </c>
      <c r="N185" s="140">
        <v>1</v>
      </c>
      <c r="O185" s="302" t="s">
        <v>581</v>
      </c>
      <c r="P185" s="140" t="s">
        <v>166</v>
      </c>
      <c r="Q185" s="140" t="s">
        <v>166</v>
      </c>
      <c r="R185" s="140" t="s">
        <v>166</v>
      </c>
      <c r="S185" s="140" t="b">
        <v>1</v>
      </c>
      <c r="T185" s="140" t="b">
        <v>0</v>
      </c>
      <c r="U185" s="140" t="s">
        <v>166</v>
      </c>
      <c r="V185" s="140" t="b">
        <v>0</v>
      </c>
      <c r="W185" s="140" t="b">
        <v>0</v>
      </c>
      <c r="X185" s="140" t="s">
        <v>580</v>
      </c>
      <c r="Y185" s="202" t="s">
        <v>186</v>
      </c>
      <c r="Z185" s="140" t="s">
        <v>184</v>
      </c>
      <c r="AA185" s="242">
        <v>401</v>
      </c>
      <c r="AB185" s="140" t="s">
        <v>166</v>
      </c>
      <c r="AC185" s="140">
        <v>14</v>
      </c>
      <c r="AD185" s="140">
        <v>3</v>
      </c>
      <c r="AE185" s="140">
        <v>58</v>
      </c>
      <c r="AF185" s="140">
        <f t="shared" si="176"/>
        <v>60</v>
      </c>
      <c r="AG185" s="140" t="s">
        <v>166</v>
      </c>
      <c r="AH185" s="243">
        <v>202.09</v>
      </c>
      <c r="AI185" s="140" t="s">
        <v>498</v>
      </c>
      <c r="AJ185" s="140" t="s">
        <v>499</v>
      </c>
      <c r="AK185" s="210">
        <v>47.427500000000002</v>
      </c>
      <c r="AL185" s="210">
        <v>-8.8102999999999998</v>
      </c>
      <c r="AM185" s="244">
        <v>42</v>
      </c>
      <c r="AN185" s="244">
        <v>21</v>
      </c>
      <c r="AO185" s="244">
        <v>-2495</v>
      </c>
      <c r="AP185" s="140">
        <v>-2000</v>
      </c>
      <c r="AQ185" s="140" t="s">
        <v>500</v>
      </c>
      <c r="AR185" s="140" t="s">
        <v>166</v>
      </c>
      <c r="AS185" s="240">
        <v>55.808016517639153</v>
      </c>
      <c r="AT185" s="140" t="s">
        <v>166</v>
      </c>
      <c r="AU185" s="140" t="s">
        <v>166</v>
      </c>
      <c r="AV185" s="140" t="s">
        <v>166</v>
      </c>
      <c r="AW185" s="140" t="s">
        <v>166</v>
      </c>
      <c r="AX185" s="140" t="s">
        <v>501</v>
      </c>
      <c r="AY185" s="140" t="s">
        <v>502</v>
      </c>
      <c r="AZ185" s="215">
        <v>55.802594764709468</v>
      </c>
      <c r="BA185" s="140" t="s">
        <v>166</v>
      </c>
      <c r="BB185" s="140" t="s">
        <v>166</v>
      </c>
      <c r="BC185" s="140" t="s">
        <v>166</v>
      </c>
      <c r="BD185" s="140" t="s">
        <v>166</v>
      </c>
      <c r="BE185" s="140" t="s">
        <v>503</v>
      </c>
      <c r="BF185" s="140" t="s">
        <v>504</v>
      </c>
      <c r="BG185" s="245" t="s">
        <v>505</v>
      </c>
      <c r="BH185" s="207" t="s">
        <v>192</v>
      </c>
      <c r="BI185" s="140" t="s">
        <v>166</v>
      </c>
      <c r="BJ185" s="140" t="s">
        <v>506</v>
      </c>
      <c r="BK185" s="140" t="s">
        <v>226</v>
      </c>
      <c r="BL185" s="140" t="s">
        <v>194</v>
      </c>
      <c r="BM185" s="140" t="s">
        <v>195</v>
      </c>
      <c r="BN185" s="140" t="s">
        <v>466</v>
      </c>
      <c r="BO185" s="140" t="s">
        <v>166</v>
      </c>
      <c r="BP185" s="140" t="s">
        <v>166</v>
      </c>
      <c r="BQ185" s="246">
        <v>14.372367953463971</v>
      </c>
      <c r="BR185" s="140" t="s">
        <v>196</v>
      </c>
      <c r="BS185" s="246">
        <v>0.36949477878286507</v>
      </c>
      <c r="BT185" s="140">
        <v>1</v>
      </c>
      <c r="BU185" s="140" t="s">
        <v>197</v>
      </c>
      <c r="BV185" s="140" t="s">
        <v>166</v>
      </c>
      <c r="BW185" s="140">
        <v>0</v>
      </c>
      <c r="BX185" s="140" t="s">
        <v>197</v>
      </c>
      <c r="BY185" s="140" t="s">
        <v>166</v>
      </c>
      <c r="BZ185" s="140" t="s">
        <v>197</v>
      </c>
      <c r="CA185" s="140" t="s">
        <v>166</v>
      </c>
      <c r="CB185" s="210">
        <f t="shared" si="165"/>
        <v>14.372367953463971</v>
      </c>
      <c r="CC185" s="140" t="s">
        <v>196</v>
      </c>
      <c r="CD185" s="210">
        <f t="shared" si="166"/>
        <v>0.36949477878286507</v>
      </c>
      <c r="CE185" s="140" t="s">
        <v>199</v>
      </c>
      <c r="CF185" s="140" t="s">
        <v>166</v>
      </c>
      <c r="CG185" s="140" t="s">
        <v>474</v>
      </c>
      <c r="CH185" s="140" t="s">
        <v>166</v>
      </c>
      <c r="CI185" s="140" t="s">
        <v>166</v>
      </c>
      <c r="CJ185" s="247">
        <v>34.56449386868394</v>
      </c>
      <c r="CK185" s="140" t="s">
        <v>201</v>
      </c>
      <c r="CL185" s="140">
        <v>2</v>
      </c>
      <c r="CM185" s="140">
        <v>2</v>
      </c>
      <c r="CN185" s="140" t="s">
        <v>166</v>
      </c>
      <c r="CO185" s="248">
        <v>3.8164228918951699</v>
      </c>
      <c r="CP185" s="140" t="s">
        <v>166</v>
      </c>
      <c r="CQ185" s="140" t="s">
        <v>166</v>
      </c>
      <c r="CR185" s="140" t="s">
        <v>166</v>
      </c>
      <c r="CS185" s="249" t="s">
        <v>202</v>
      </c>
      <c r="CT185" s="140" t="s">
        <v>203</v>
      </c>
      <c r="CU185" s="140">
        <v>2.2000000000000002</v>
      </c>
      <c r="CV185" s="140" t="s">
        <v>204</v>
      </c>
      <c r="CW185" s="140" t="s">
        <v>166</v>
      </c>
      <c r="CX185" s="140" t="s">
        <v>166</v>
      </c>
      <c r="CY185" s="140" t="s">
        <v>166</v>
      </c>
      <c r="CZ185" s="140" t="s">
        <v>166</v>
      </c>
      <c r="DA185" s="209" t="s">
        <v>166</v>
      </c>
      <c r="DB185" s="140" t="s">
        <v>166</v>
      </c>
      <c r="DC185" s="140" t="s">
        <v>166</v>
      </c>
      <c r="DD185" s="140" t="s">
        <v>166</v>
      </c>
      <c r="DE185" s="140" t="s">
        <v>166</v>
      </c>
      <c r="DF185" s="140" t="s">
        <v>205</v>
      </c>
      <c r="DG185" s="250">
        <v>35</v>
      </c>
      <c r="DH185" s="250" t="s">
        <v>201</v>
      </c>
      <c r="DI185" s="250">
        <v>1</v>
      </c>
      <c r="DJ185" s="250" t="s">
        <v>206</v>
      </c>
      <c r="DK185" s="250">
        <v>17</v>
      </c>
      <c r="DL185" s="140" t="s">
        <v>166</v>
      </c>
      <c r="DM185" s="140" t="s">
        <v>166</v>
      </c>
      <c r="DN185" s="250" t="s">
        <v>207</v>
      </c>
      <c r="DO185" s="250">
        <v>38</v>
      </c>
      <c r="DP185" s="250" t="s">
        <v>208</v>
      </c>
      <c r="DQ185" s="250">
        <v>3</v>
      </c>
      <c r="DR185" s="250" t="s">
        <v>209</v>
      </c>
      <c r="DS185" s="140" t="s">
        <v>166</v>
      </c>
      <c r="DT185" s="140" t="s">
        <v>166</v>
      </c>
      <c r="DU185" s="140" t="s">
        <v>166</v>
      </c>
      <c r="DV185" s="140" t="s">
        <v>166</v>
      </c>
      <c r="DW185" s="250">
        <v>432.6</v>
      </c>
      <c r="DX185" s="140" t="s">
        <v>166</v>
      </c>
      <c r="DY185" s="140" t="s">
        <v>166</v>
      </c>
      <c r="DZ185" s="140" t="s">
        <v>210</v>
      </c>
      <c r="EA185" s="140" t="s">
        <v>211</v>
      </c>
      <c r="EB185" s="140" t="s">
        <v>212</v>
      </c>
      <c r="EC185" s="140" t="s">
        <v>166</v>
      </c>
      <c r="ED185" s="140" t="s">
        <v>213</v>
      </c>
      <c r="EE185" s="213" t="s">
        <v>214</v>
      </c>
      <c r="EF185" s="213" t="s">
        <v>214</v>
      </c>
      <c r="EG185" s="250">
        <v>1.0271999999999999</v>
      </c>
      <c r="EH185" s="250" t="s">
        <v>215</v>
      </c>
      <c r="EI185" s="250" t="s">
        <v>215</v>
      </c>
      <c r="EJ185" s="250" t="s">
        <v>216</v>
      </c>
      <c r="EK185" s="250" t="s">
        <v>215</v>
      </c>
      <c r="EL185" s="250" t="s">
        <v>215</v>
      </c>
      <c r="EM185" s="250" t="s">
        <v>217</v>
      </c>
      <c r="EN185" s="251" t="s">
        <v>214</v>
      </c>
      <c r="EO185" s="251" t="s">
        <v>214</v>
      </c>
      <c r="EP185" s="251" t="s">
        <v>214</v>
      </c>
      <c r="EQ185" s="251" t="s">
        <v>214</v>
      </c>
      <c r="ER185" s="250"/>
      <c r="ES185" s="250"/>
      <c r="ET185" s="140" t="s">
        <v>218</v>
      </c>
      <c r="EU185" s="250" t="s">
        <v>219</v>
      </c>
      <c r="EV185" s="250" t="s">
        <v>213</v>
      </c>
      <c r="EW185" s="140" t="s">
        <v>166</v>
      </c>
      <c r="EX185" s="140" t="s">
        <v>166</v>
      </c>
      <c r="EY185" s="140" t="s">
        <v>166</v>
      </c>
      <c r="EZ185" s="140" t="s">
        <v>166</v>
      </c>
      <c r="FA185" s="205">
        <v>5.5</v>
      </c>
      <c r="FB185" s="140" t="s">
        <v>220</v>
      </c>
      <c r="FC185" s="205">
        <v>1</v>
      </c>
      <c r="FD185" s="205">
        <v>1</v>
      </c>
      <c r="FE185" s="252">
        <v>7.6454672910911601</v>
      </c>
      <c r="FF185" s="140" t="s">
        <v>221</v>
      </c>
      <c r="FG185" s="252">
        <v>5.687688353726017E-2</v>
      </c>
      <c r="FH185" s="252">
        <v>5.0026398370669689E-2</v>
      </c>
      <c r="FI185" s="201">
        <v>1191.6124549486699</v>
      </c>
      <c r="FK185" s="140" t="s">
        <v>166</v>
      </c>
      <c r="FL185" s="217">
        <f t="shared" si="157"/>
        <v>1191.6124549486699</v>
      </c>
      <c r="FM185" s="201">
        <v>345.66578246338008</v>
      </c>
      <c r="FN185" s="201">
        <v>287.37567921279094</v>
      </c>
      <c r="FO185" s="140" t="s">
        <v>222</v>
      </c>
      <c r="FP185" s="140" t="s">
        <v>223</v>
      </c>
      <c r="FQ185" s="217" t="s">
        <v>166</v>
      </c>
      <c r="FR185" s="217" t="s">
        <v>166</v>
      </c>
      <c r="FS185" s="217" t="s">
        <v>166</v>
      </c>
      <c r="FT185" s="217" t="s">
        <v>166</v>
      </c>
      <c r="FU185" s="217" t="s">
        <v>166</v>
      </c>
      <c r="FV185" s="217" t="s">
        <v>166</v>
      </c>
      <c r="FW185" s="217" t="s">
        <v>166</v>
      </c>
      <c r="FX185" s="217" t="s">
        <v>166</v>
      </c>
      <c r="FY185" s="217" t="s">
        <v>166</v>
      </c>
      <c r="FZ185" s="217" t="s">
        <v>166</v>
      </c>
      <c r="GA185" s="217" t="s">
        <v>166</v>
      </c>
      <c r="GB185" s="217" t="s">
        <v>166</v>
      </c>
      <c r="GC185" s="202" t="s">
        <v>507</v>
      </c>
    </row>
    <row r="186" spans="1:185" s="140" customFormat="1" ht="17">
      <c r="A186" s="140" t="s">
        <v>162</v>
      </c>
      <c r="B186" s="143" t="s">
        <v>163</v>
      </c>
      <c r="C186" s="140" t="s">
        <v>164</v>
      </c>
      <c r="D186" s="140" t="s">
        <v>165</v>
      </c>
      <c r="E186" s="140">
        <v>2020</v>
      </c>
      <c r="F186" s="140" t="s">
        <v>184</v>
      </c>
      <c r="G186" s="240">
        <v>55822.252628326409</v>
      </c>
      <c r="H186" s="241">
        <f t="shared" ref="H186" si="192">0.0083*G186^(0.9482)</f>
        <v>263.02730131987522</v>
      </c>
      <c r="I186" s="241">
        <f t="shared" si="171"/>
        <v>263.02730131987522</v>
      </c>
      <c r="J186" s="201">
        <v>1201.46513175623</v>
      </c>
      <c r="K186" s="201">
        <v>345.45498138807989</v>
      </c>
      <c r="L186" s="201">
        <v>265.51491160088301</v>
      </c>
      <c r="M186" s="140" t="b">
        <v>1</v>
      </c>
      <c r="N186" s="140">
        <v>1</v>
      </c>
      <c r="O186" s="302" t="s">
        <v>581</v>
      </c>
      <c r="P186" s="140" t="s">
        <v>166</v>
      </c>
      <c r="Q186" s="140" t="s">
        <v>166</v>
      </c>
      <c r="R186" s="140" t="s">
        <v>166</v>
      </c>
      <c r="S186" s="140" t="b">
        <v>1</v>
      </c>
      <c r="T186" s="140" t="b">
        <v>0</v>
      </c>
      <c r="U186" s="140" t="s">
        <v>166</v>
      </c>
      <c r="V186" s="140" t="b">
        <v>0</v>
      </c>
      <c r="W186" s="140" t="b">
        <v>0</v>
      </c>
      <c r="X186" s="140" t="s">
        <v>580</v>
      </c>
      <c r="Y186" s="202" t="s">
        <v>186</v>
      </c>
      <c r="Z186" s="140" t="s">
        <v>184</v>
      </c>
      <c r="AA186" s="242">
        <v>401</v>
      </c>
      <c r="AB186" s="140" t="s">
        <v>166</v>
      </c>
      <c r="AC186" s="140">
        <v>14</v>
      </c>
      <c r="AD186" s="140">
        <v>3</v>
      </c>
      <c r="AE186" s="140">
        <v>68</v>
      </c>
      <c r="AF186" s="140">
        <f t="shared" si="176"/>
        <v>70</v>
      </c>
      <c r="AG186" s="140" t="s">
        <v>166</v>
      </c>
      <c r="AH186" s="243">
        <v>202.19</v>
      </c>
      <c r="AI186" s="140" t="s">
        <v>498</v>
      </c>
      <c r="AJ186" s="140" t="s">
        <v>499</v>
      </c>
      <c r="AK186" s="210">
        <v>47.427500000000002</v>
      </c>
      <c r="AL186" s="210">
        <v>-8.8102999999999998</v>
      </c>
      <c r="AM186" s="244">
        <v>42</v>
      </c>
      <c r="AN186" s="244">
        <v>21</v>
      </c>
      <c r="AO186" s="244">
        <v>-2495</v>
      </c>
      <c r="AP186" s="140">
        <v>-2000</v>
      </c>
      <c r="AQ186" s="140" t="s">
        <v>500</v>
      </c>
      <c r="AR186" s="140" t="s">
        <v>166</v>
      </c>
      <c r="AS186" s="240">
        <v>55.82225262832641</v>
      </c>
      <c r="AT186" s="140" t="s">
        <v>166</v>
      </c>
      <c r="AU186" s="140" t="s">
        <v>166</v>
      </c>
      <c r="AV186" s="140" t="s">
        <v>166</v>
      </c>
      <c r="AW186" s="140" t="s">
        <v>166</v>
      </c>
      <c r="AX186" s="140" t="s">
        <v>501</v>
      </c>
      <c r="AY186" s="140" t="s">
        <v>502</v>
      </c>
      <c r="AZ186" s="215">
        <v>55.810291725158692</v>
      </c>
      <c r="BA186" s="140" t="s">
        <v>166</v>
      </c>
      <c r="BB186" s="140" t="s">
        <v>166</v>
      </c>
      <c r="BC186" s="140" t="s">
        <v>166</v>
      </c>
      <c r="BD186" s="140" t="s">
        <v>166</v>
      </c>
      <c r="BE186" s="140" t="s">
        <v>503</v>
      </c>
      <c r="BF186" s="140" t="s">
        <v>504</v>
      </c>
      <c r="BG186" s="245" t="s">
        <v>505</v>
      </c>
      <c r="BH186" s="207" t="s">
        <v>192</v>
      </c>
      <c r="BI186" s="140" t="s">
        <v>166</v>
      </c>
      <c r="BJ186" s="140" t="s">
        <v>506</v>
      </c>
      <c r="BK186" s="140" t="s">
        <v>226</v>
      </c>
      <c r="BL186" s="140" t="s">
        <v>194</v>
      </c>
      <c r="BM186" s="140" t="s">
        <v>195</v>
      </c>
      <c r="BN186" s="140" t="s">
        <v>466</v>
      </c>
      <c r="BO186" s="140" t="s">
        <v>166</v>
      </c>
      <c r="BP186" s="140" t="s">
        <v>166</v>
      </c>
      <c r="BQ186" s="246">
        <v>14.365070877978781</v>
      </c>
      <c r="BR186" s="140" t="s">
        <v>196</v>
      </c>
      <c r="BS186" s="246">
        <v>0.29640339952224992</v>
      </c>
      <c r="BT186" s="140">
        <v>1</v>
      </c>
      <c r="BU186" s="140" t="s">
        <v>197</v>
      </c>
      <c r="BV186" s="140" t="s">
        <v>166</v>
      </c>
      <c r="BW186" s="140">
        <v>0</v>
      </c>
      <c r="BX186" s="140" t="s">
        <v>197</v>
      </c>
      <c r="BY186" s="140" t="s">
        <v>166</v>
      </c>
      <c r="BZ186" s="140" t="s">
        <v>197</v>
      </c>
      <c r="CA186" s="140" t="s">
        <v>166</v>
      </c>
      <c r="CB186" s="210">
        <f t="shared" si="165"/>
        <v>14.365070877978781</v>
      </c>
      <c r="CC186" s="140" t="s">
        <v>196</v>
      </c>
      <c r="CD186" s="210">
        <f t="shared" si="166"/>
        <v>0.29640339952224992</v>
      </c>
      <c r="CE186" s="140" t="s">
        <v>199</v>
      </c>
      <c r="CF186" s="140" t="s">
        <v>166</v>
      </c>
      <c r="CG186" s="140" t="s">
        <v>474</v>
      </c>
      <c r="CH186" s="140" t="s">
        <v>166</v>
      </c>
      <c r="CI186" s="140" t="s">
        <v>166</v>
      </c>
      <c r="CJ186" s="247">
        <v>35.23668620711517</v>
      </c>
      <c r="CK186" s="140" t="s">
        <v>201</v>
      </c>
      <c r="CL186" s="140">
        <v>2</v>
      </c>
      <c r="CM186" s="140">
        <v>2</v>
      </c>
      <c r="CN186" s="140" t="s">
        <v>166</v>
      </c>
      <c r="CO186" s="248">
        <v>3.9637915017342857</v>
      </c>
      <c r="CP186" s="140" t="s">
        <v>166</v>
      </c>
      <c r="CQ186" s="140" t="s">
        <v>166</v>
      </c>
      <c r="CR186" s="140" t="s">
        <v>166</v>
      </c>
      <c r="CS186" s="249" t="s">
        <v>202</v>
      </c>
      <c r="CT186" s="140" t="s">
        <v>203</v>
      </c>
      <c r="CU186" s="140">
        <v>2.2000000000000002</v>
      </c>
      <c r="CV186" s="140" t="s">
        <v>204</v>
      </c>
      <c r="CW186" s="140" t="s">
        <v>166</v>
      </c>
      <c r="CX186" s="140" t="s">
        <v>166</v>
      </c>
      <c r="CY186" s="140" t="s">
        <v>166</v>
      </c>
      <c r="CZ186" s="140" t="s">
        <v>166</v>
      </c>
      <c r="DA186" s="209" t="s">
        <v>166</v>
      </c>
      <c r="DB186" s="140" t="s">
        <v>166</v>
      </c>
      <c r="DC186" s="140" t="s">
        <v>166</v>
      </c>
      <c r="DD186" s="140" t="s">
        <v>166</v>
      </c>
      <c r="DE186" s="140" t="s">
        <v>166</v>
      </c>
      <c r="DF186" s="140" t="s">
        <v>205</v>
      </c>
      <c r="DG186" s="250">
        <v>35</v>
      </c>
      <c r="DH186" s="250" t="s">
        <v>201</v>
      </c>
      <c r="DI186" s="250">
        <v>1</v>
      </c>
      <c r="DJ186" s="250" t="s">
        <v>206</v>
      </c>
      <c r="DK186" s="250">
        <v>17</v>
      </c>
      <c r="DL186" s="140" t="s">
        <v>166</v>
      </c>
      <c r="DM186" s="140" t="s">
        <v>166</v>
      </c>
      <c r="DN186" s="250" t="s">
        <v>207</v>
      </c>
      <c r="DO186" s="250">
        <v>38</v>
      </c>
      <c r="DP186" s="250" t="s">
        <v>208</v>
      </c>
      <c r="DQ186" s="250">
        <v>3</v>
      </c>
      <c r="DR186" s="250" t="s">
        <v>209</v>
      </c>
      <c r="DS186" s="140" t="s">
        <v>166</v>
      </c>
      <c r="DT186" s="140" t="s">
        <v>166</v>
      </c>
      <c r="DU186" s="140" t="s">
        <v>166</v>
      </c>
      <c r="DV186" s="140" t="s">
        <v>166</v>
      </c>
      <c r="DW186" s="250">
        <v>432.6</v>
      </c>
      <c r="DX186" s="140" t="s">
        <v>166</v>
      </c>
      <c r="DY186" s="140" t="s">
        <v>166</v>
      </c>
      <c r="DZ186" s="140" t="s">
        <v>210</v>
      </c>
      <c r="EA186" s="140" t="s">
        <v>211</v>
      </c>
      <c r="EB186" s="140" t="s">
        <v>212</v>
      </c>
      <c r="EC186" s="140" t="s">
        <v>166</v>
      </c>
      <c r="ED186" s="140" t="s">
        <v>213</v>
      </c>
      <c r="EE186" s="213" t="s">
        <v>214</v>
      </c>
      <c r="EF186" s="213" t="s">
        <v>214</v>
      </c>
      <c r="EG186" s="250">
        <v>1.0271999999999999</v>
      </c>
      <c r="EH186" s="250" t="s">
        <v>215</v>
      </c>
      <c r="EI186" s="250" t="s">
        <v>215</v>
      </c>
      <c r="EJ186" s="250" t="s">
        <v>216</v>
      </c>
      <c r="EK186" s="250" t="s">
        <v>215</v>
      </c>
      <c r="EL186" s="250" t="s">
        <v>215</v>
      </c>
      <c r="EM186" s="250" t="s">
        <v>217</v>
      </c>
      <c r="EN186" s="251" t="s">
        <v>214</v>
      </c>
      <c r="EO186" s="251" t="s">
        <v>214</v>
      </c>
      <c r="EP186" s="251" t="s">
        <v>214</v>
      </c>
      <c r="EQ186" s="251" t="s">
        <v>214</v>
      </c>
      <c r="ER186" s="250"/>
      <c r="ES186" s="250"/>
      <c r="ET186" s="140" t="s">
        <v>218</v>
      </c>
      <c r="EU186" s="250" t="s">
        <v>219</v>
      </c>
      <c r="EV186" s="250" t="s">
        <v>213</v>
      </c>
      <c r="EW186" s="140" t="s">
        <v>166</v>
      </c>
      <c r="EX186" s="140" t="s">
        <v>166</v>
      </c>
      <c r="EY186" s="140" t="s">
        <v>166</v>
      </c>
      <c r="EZ186" s="140" t="s">
        <v>166</v>
      </c>
      <c r="FA186" s="205">
        <v>5.5</v>
      </c>
      <c r="FB186" s="140" t="s">
        <v>220</v>
      </c>
      <c r="FC186" s="205">
        <v>1</v>
      </c>
      <c r="FD186" s="205">
        <v>1</v>
      </c>
      <c r="FE186" s="252">
        <v>7.6339833283302898</v>
      </c>
      <c r="FF186" s="140" t="s">
        <v>221</v>
      </c>
      <c r="FG186" s="252">
        <v>4.2503057120669929E-2</v>
      </c>
      <c r="FH186" s="252">
        <v>4.4225356566990115E-2</v>
      </c>
      <c r="FI186" s="201">
        <v>1201.46513175623</v>
      </c>
      <c r="FK186" s="140" t="s">
        <v>166</v>
      </c>
      <c r="FL186" s="217">
        <f t="shared" si="157"/>
        <v>1201.46513175623</v>
      </c>
      <c r="FM186" s="201">
        <v>345.45498138807989</v>
      </c>
      <c r="FN186" s="201">
        <v>265.51491160088301</v>
      </c>
      <c r="FO186" s="140" t="s">
        <v>222</v>
      </c>
      <c r="FP186" s="140" t="s">
        <v>223</v>
      </c>
      <c r="FQ186" s="217" t="s">
        <v>166</v>
      </c>
      <c r="FR186" s="217" t="s">
        <v>166</v>
      </c>
      <c r="FS186" s="217" t="s">
        <v>166</v>
      </c>
      <c r="FT186" s="217" t="s">
        <v>166</v>
      </c>
      <c r="FU186" s="217" t="s">
        <v>166</v>
      </c>
      <c r="FV186" s="217" t="s">
        <v>166</v>
      </c>
      <c r="FW186" s="217" t="s">
        <v>166</v>
      </c>
      <c r="FX186" s="217" t="s">
        <v>166</v>
      </c>
      <c r="FY186" s="217" t="s">
        <v>166</v>
      </c>
      <c r="FZ186" s="217" t="s">
        <v>166</v>
      </c>
      <c r="GA186" s="217" t="s">
        <v>166</v>
      </c>
      <c r="GB186" s="217" t="s">
        <v>166</v>
      </c>
      <c r="GC186" s="202" t="s">
        <v>507</v>
      </c>
    </row>
    <row r="187" spans="1:185" s="140" customFormat="1" ht="17">
      <c r="A187" s="140" t="s">
        <v>162</v>
      </c>
      <c r="B187" s="143" t="s">
        <v>163</v>
      </c>
      <c r="C187" s="140" t="s">
        <v>164</v>
      </c>
      <c r="D187" s="140" t="s">
        <v>165</v>
      </c>
      <c r="E187" s="140">
        <v>2020</v>
      </c>
      <c r="F187" s="140" t="s">
        <v>184</v>
      </c>
      <c r="G187" s="240">
        <v>55830.169338226311</v>
      </c>
      <c r="H187" s="241">
        <f t="shared" ref="H187" si="193">0.0083*G187^(0.9482)</f>
        <v>263.06267144189212</v>
      </c>
      <c r="I187" s="241">
        <f t="shared" si="171"/>
        <v>263.06267144189212</v>
      </c>
      <c r="J187" s="201">
        <v>1140.31723423169</v>
      </c>
      <c r="K187" s="201">
        <v>248.20442604606001</v>
      </c>
      <c r="L187" s="201">
        <v>207.26980582245608</v>
      </c>
      <c r="M187" s="140" t="b">
        <v>1</v>
      </c>
      <c r="N187" s="140">
        <v>1</v>
      </c>
      <c r="O187" s="302" t="s">
        <v>581</v>
      </c>
      <c r="P187" s="140" t="s">
        <v>166</v>
      </c>
      <c r="Q187" s="140" t="s">
        <v>166</v>
      </c>
      <c r="R187" s="140" t="s">
        <v>166</v>
      </c>
      <c r="S187" s="140" t="b">
        <v>1</v>
      </c>
      <c r="T187" s="140" t="b">
        <v>0</v>
      </c>
      <c r="U187" s="140" t="s">
        <v>166</v>
      </c>
      <c r="V187" s="140" t="b">
        <v>0</v>
      </c>
      <c r="W187" s="140" t="b">
        <v>0</v>
      </c>
      <c r="X187" s="140" t="s">
        <v>580</v>
      </c>
      <c r="Y187" s="202" t="s">
        <v>186</v>
      </c>
      <c r="Z187" s="140" t="s">
        <v>184</v>
      </c>
      <c r="AA187" s="242">
        <v>401</v>
      </c>
      <c r="AB187" s="140" t="s">
        <v>166</v>
      </c>
      <c r="AC187" s="140">
        <v>14</v>
      </c>
      <c r="AD187" s="140">
        <v>3</v>
      </c>
      <c r="AE187" s="140">
        <v>74</v>
      </c>
      <c r="AF187" s="140">
        <f t="shared" si="176"/>
        <v>76</v>
      </c>
      <c r="AG187" s="140" t="s">
        <v>166</v>
      </c>
      <c r="AH187" s="243">
        <v>202.25</v>
      </c>
      <c r="AI187" s="140" t="s">
        <v>498</v>
      </c>
      <c r="AJ187" s="140" t="s">
        <v>499</v>
      </c>
      <c r="AK187" s="210">
        <v>47.427500000000002</v>
      </c>
      <c r="AL187" s="210">
        <v>-8.8102999999999998</v>
      </c>
      <c r="AM187" s="244">
        <v>42</v>
      </c>
      <c r="AN187" s="244">
        <v>21</v>
      </c>
      <c r="AO187" s="244">
        <v>-2495</v>
      </c>
      <c r="AP187" s="140">
        <v>-2000</v>
      </c>
      <c r="AQ187" s="140" t="s">
        <v>500</v>
      </c>
      <c r="AR187" s="140" t="s">
        <v>166</v>
      </c>
      <c r="AS187" s="240">
        <v>55.830169338226312</v>
      </c>
      <c r="AT187" s="140" t="s">
        <v>166</v>
      </c>
      <c r="AU187" s="140" t="s">
        <v>166</v>
      </c>
      <c r="AV187" s="140" t="s">
        <v>166</v>
      </c>
      <c r="AW187" s="140" t="s">
        <v>166</v>
      </c>
      <c r="AX187" s="140" t="s">
        <v>501</v>
      </c>
      <c r="AY187" s="140" t="s">
        <v>502</v>
      </c>
      <c r="AZ187" s="215">
        <v>55.815562393188472</v>
      </c>
      <c r="BA187" s="140" t="s">
        <v>166</v>
      </c>
      <c r="BB187" s="140" t="s">
        <v>166</v>
      </c>
      <c r="BC187" s="140" t="s">
        <v>166</v>
      </c>
      <c r="BD187" s="140" t="s">
        <v>166</v>
      </c>
      <c r="BE187" s="140" t="s">
        <v>503</v>
      </c>
      <c r="BF187" s="140" t="s">
        <v>504</v>
      </c>
      <c r="BG187" s="245" t="s">
        <v>505</v>
      </c>
      <c r="BH187" s="207" t="s">
        <v>192</v>
      </c>
      <c r="BI187" s="140" t="s">
        <v>166</v>
      </c>
      <c r="BJ187" s="140" t="s">
        <v>506</v>
      </c>
      <c r="BK187" s="140" t="s">
        <v>226</v>
      </c>
      <c r="BL187" s="140" t="s">
        <v>194</v>
      </c>
      <c r="BM187" s="140" t="s">
        <v>195</v>
      </c>
      <c r="BN187" s="140" t="s">
        <v>466</v>
      </c>
      <c r="BO187" s="140" t="s">
        <v>166</v>
      </c>
      <c r="BP187" s="140" t="s">
        <v>166</v>
      </c>
      <c r="BQ187" s="246">
        <v>14.434951235384741</v>
      </c>
      <c r="BR187" s="140" t="s">
        <v>196</v>
      </c>
      <c r="BS187" s="246">
        <v>0.21331225474370555</v>
      </c>
      <c r="BT187" s="140">
        <v>1</v>
      </c>
      <c r="BU187" s="140" t="s">
        <v>197</v>
      </c>
      <c r="BV187" s="140" t="s">
        <v>166</v>
      </c>
      <c r="BW187" s="140">
        <v>0</v>
      </c>
      <c r="BX187" s="140" t="s">
        <v>197</v>
      </c>
      <c r="BY187" s="140" t="s">
        <v>166</v>
      </c>
      <c r="BZ187" s="140" t="s">
        <v>197</v>
      </c>
      <c r="CA187" s="140" t="s">
        <v>166</v>
      </c>
      <c r="CB187" s="210">
        <f t="shared" si="165"/>
        <v>14.434951235384741</v>
      </c>
      <c r="CC187" s="140" t="s">
        <v>196</v>
      </c>
      <c r="CD187" s="210">
        <f t="shared" si="166"/>
        <v>0.21331225474370555</v>
      </c>
      <c r="CE187" s="140" t="s">
        <v>199</v>
      </c>
      <c r="CF187" s="140" t="s">
        <v>166</v>
      </c>
      <c r="CG187" s="140" t="s">
        <v>474</v>
      </c>
      <c r="CH187" s="140" t="s">
        <v>166</v>
      </c>
      <c r="CI187" s="140" t="s">
        <v>166</v>
      </c>
      <c r="CJ187" s="247">
        <v>34.426893810708521</v>
      </c>
      <c r="CK187" s="140" t="s">
        <v>201</v>
      </c>
      <c r="CL187" s="140">
        <v>2</v>
      </c>
      <c r="CM187" s="140">
        <v>2</v>
      </c>
      <c r="CN187" s="140" t="s">
        <v>166</v>
      </c>
      <c r="CO187" s="253">
        <v>3.7869383844424482</v>
      </c>
      <c r="CP187" s="140" t="s">
        <v>166</v>
      </c>
      <c r="CQ187" s="140" t="s">
        <v>166</v>
      </c>
      <c r="CR187" s="140" t="s">
        <v>166</v>
      </c>
      <c r="CS187" s="249" t="s">
        <v>202</v>
      </c>
      <c r="CT187" s="140" t="s">
        <v>203</v>
      </c>
      <c r="CU187" s="140">
        <v>2.2000000000000002</v>
      </c>
      <c r="CV187" s="140" t="s">
        <v>204</v>
      </c>
      <c r="CW187" s="140" t="s">
        <v>166</v>
      </c>
      <c r="CX187" s="140" t="s">
        <v>166</v>
      </c>
      <c r="CY187" s="140" t="s">
        <v>166</v>
      </c>
      <c r="CZ187" s="140" t="s">
        <v>166</v>
      </c>
      <c r="DA187" s="209" t="s">
        <v>166</v>
      </c>
      <c r="DB187" s="140" t="s">
        <v>166</v>
      </c>
      <c r="DC187" s="140" t="s">
        <v>166</v>
      </c>
      <c r="DD187" s="140" t="s">
        <v>166</v>
      </c>
      <c r="DE187" s="140" t="s">
        <v>166</v>
      </c>
      <c r="DF187" s="140" t="s">
        <v>205</v>
      </c>
      <c r="DG187" s="250">
        <v>35</v>
      </c>
      <c r="DH187" s="250" t="s">
        <v>201</v>
      </c>
      <c r="DI187" s="250">
        <v>1</v>
      </c>
      <c r="DJ187" s="250" t="s">
        <v>206</v>
      </c>
      <c r="DK187" s="250">
        <v>17</v>
      </c>
      <c r="DL187" s="140" t="s">
        <v>166</v>
      </c>
      <c r="DM187" s="140" t="s">
        <v>166</v>
      </c>
      <c r="DN187" s="250" t="s">
        <v>207</v>
      </c>
      <c r="DO187" s="250">
        <v>38</v>
      </c>
      <c r="DP187" s="250" t="s">
        <v>208</v>
      </c>
      <c r="DQ187" s="250">
        <v>3</v>
      </c>
      <c r="DR187" s="250" t="s">
        <v>209</v>
      </c>
      <c r="DS187" s="140" t="s">
        <v>166</v>
      </c>
      <c r="DT187" s="140" t="s">
        <v>166</v>
      </c>
      <c r="DU187" s="140" t="s">
        <v>166</v>
      </c>
      <c r="DV187" s="140" t="s">
        <v>166</v>
      </c>
      <c r="DW187" s="250">
        <v>432.6</v>
      </c>
      <c r="DX187" s="140" t="s">
        <v>166</v>
      </c>
      <c r="DY187" s="140" t="s">
        <v>166</v>
      </c>
      <c r="DZ187" s="140" t="s">
        <v>210</v>
      </c>
      <c r="EA187" s="140" t="s">
        <v>211</v>
      </c>
      <c r="EB187" s="140" t="s">
        <v>212</v>
      </c>
      <c r="EC187" s="140" t="s">
        <v>166</v>
      </c>
      <c r="ED187" s="140" t="s">
        <v>213</v>
      </c>
      <c r="EE187" s="213" t="s">
        <v>214</v>
      </c>
      <c r="EF187" s="213" t="s">
        <v>214</v>
      </c>
      <c r="EG187" s="250">
        <v>1.0271999999999999</v>
      </c>
      <c r="EH187" s="250" t="s">
        <v>215</v>
      </c>
      <c r="EI187" s="250" t="s">
        <v>215</v>
      </c>
      <c r="EJ187" s="250" t="s">
        <v>216</v>
      </c>
      <c r="EK187" s="250" t="s">
        <v>215</v>
      </c>
      <c r="EL187" s="250" t="s">
        <v>215</v>
      </c>
      <c r="EM187" s="250" t="s">
        <v>217</v>
      </c>
      <c r="EN187" s="251" t="s">
        <v>214</v>
      </c>
      <c r="EO187" s="251" t="s">
        <v>214</v>
      </c>
      <c r="EP187" s="251" t="s">
        <v>214</v>
      </c>
      <c r="EQ187" s="251" t="s">
        <v>214</v>
      </c>
      <c r="ER187" s="250"/>
      <c r="ES187" s="250"/>
      <c r="ET187" s="140" t="s">
        <v>218</v>
      </c>
      <c r="EU187" s="250" t="s">
        <v>219</v>
      </c>
      <c r="EV187" s="250" t="s">
        <v>213</v>
      </c>
      <c r="EW187" s="140" t="s">
        <v>166</v>
      </c>
      <c r="EX187" s="140" t="s">
        <v>166</v>
      </c>
      <c r="EY187" s="140" t="s">
        <v>166</v>
      </c>
      <c r="EZ187" s="140" t="s">
        <v>166</v>
      </c>
      <c r="FA187" s="205">
        <v>5.5</v>
      </c>
      <c r="FB187" s="140" t="s">
        <v>220</v>
      </c>
      <c r="FC187" s="205">
        <v>1</v>
      </c>
      <c r="FD187" s="205">
        <v>1</v>
      </c>
      <c r="FE187" s="252">
        <v>7.6535070948474804</v>
      </c>
      <c r="FF187" s="140" t="s">
        <v>221</v>
      </c>
      <c r="FG187" s="252">
        <v>3.5533966186940269E-2</v>
      </c>
      <c r="FH187" s="252">
        <v>3.3611508478889718E-2</v>
      </c>
      <c r="FI187" s="201">
        <v>1140.31723423169</v>
      </c>
      <c r="FK187" s="140" t="s">
        <v>166</v>
      </c>
      <c r="FL187" s="217">
        <f t="shared" si="157"/>
        <v>1140.31723423169</v>
      </c>
      <c r="FM187" s="201">
        <v>248.20442604606001</v>
      </c>
      <c r="FN187" s="201">
        <v>207.26980582245608</v>
      </c>
      <c r="FO187" s="140" t="s">
        <v>222</v>
      </c>
      <c r="FP187" s="140" t="s">
        <v>223</v>
      </c>
      <c r="FQ187" s="217" t="s">
        <v>166</v>
      </c>
      <c r="FR187" s="217" t="s">
        <v>166</v>
      </c>
      <c r="FS187" s="217" t="s">
        <v>166</v>
      </c>
      <c r="FT187" s="217" t="s">
        <v>166</v>
      </c>
      <c r="FU187" s="217" t="s">
        <v>166</v>
      </c>
      <c r="FV187" s="217" t="s">
        <v>166</v>
      </c>
      <c r="FW187" s="217" t="s">
        <v>166</v>
      </c>
      <c r="FX187" s="217" t="s">
        <v>166</v>
      </c>
      <c r="FY187" s="217" t="s">
        <v>166</v>
      </c>
      <c r="FZ187" s="217" t="s">
        <v>166</v>
      </c>
      <c r="GA187" s="217" t="s">
        <v>166</v>
      </c>
      <c r="GB187" s="217" t="s">
        <v>166</v>
      </c>
      <c r="GC187" s="202" t="s">
        <v>507</v>
      </c>
    </row>
    <row r="188" spans="1:185" s="140" customFormat="1" ht="17">
      <c r="A188" s="140" t="s">
        <v>162</v>
      </c>
      <c r="B188" s="143" t="s">
        <v>163</v>
      </c>
      <c r="C188" s="140" t="s">
        <v>164</v>
      </c>
      <c r="D188" s="140" t="s">
        <v>165</v>
      </c>
      <c r="E188" s="140">
        <v>2020</v>
      </c>
      <c r="F188" s="140" t="s">
        <v>184</v>
      </c>
      <c r="G188" s="240">
        <v>55836.766263961785</v>
      </c>
      <c r="H188" s="241">
        <f t="shared" ref="H188" si="194">0.0083*G188^(0.9482)</f>
        <v>263.09214485952509</v>
      </c>
      <c r="I188" s="241">
        <f t="shared" si="171"/>
        <v>263.09214485952509</v>
      </c>
      <c r="J188" s="201">
        <v>1874.5663396500602</v>
      </c>
      <c r="K188" s="201">
        <v>827.85509839387009</v>
      </c>
      <c r="L188" s="201">
        <v>555.59371185164014</v>
      </c>
      <c r="M188" s="140" t="b">
        <v>1</v>
      </c>
      <c r="N188" s="140">
        <v>1</v>
      </c>
      <c r="O188" s="302" t="s">
        <v>581</v>
      </c>
      <c r="P188" s="140" t="s">
        <v>166</v>
      </c>
      <c r="Q188" s="140" t="s">
        <v>166</v>
      </c>
      <c r="R188" s="140" t="s">
        <v>166</v>
      </c>
      <c r="S188" s="140" t="b">
        <v>1</v>
      </c>
      <c r="T188" s="140" t="b">
        <v>0</v>
      </c>
      <c r="U188" s="140" t="s">
        <v>166</v>
      </c>
      <c r="V188" s="140" t="b">
        <v>0</v>
      </c>
      <c r="W188" s="140" t="b">
        <v>0</v>
      </c>
      <c r="X188" s="140" t="s">
        <v>580</v>
      </c>
      <c r="Y188" s="202" t="s">
        <v>186</v>
      </c>
      <c r="Z188" s="140" t="s">
        <v>184</v>
      </c>
      <c r="AA188" s="242">
        <v>401</v>
      </c>
      <c r="AB188" s="140" t="s">
        <v>166</v>
      </c>
      <c r="AC188" s="140">
        <v>14</v>
      </c>
      <c r="AD188" s="140">
        <v>3</v>
      </c>
      <c r="AE188" s="140">
        <v>79</v>
      </c>
      <c r="AF188" s="140">
        <f t="shared" si="176"/>
        <v>81</v>
      </c>
      <c r="AG188" s="140" t="s">
        <v>166</v>
      </c>
      <c r="AH188" s="243">
        <v>202.3</v>
      </c>
      <c r="AI188" s="140" t="s">
        <v>498</v>
      </c>
      <c r="AJ188" s="140" t="s">
        <v>499</v>
      </c>
      <c r="AK188" s="210">
        <v>47.427500000000002</v>
      </c>
      <c r="AL188" s="210">
        <v>-8.8102999999999998</v>
      </c>
      <c r="AM188" s="244">
        <v>42</v>
      </c>
      <c r="AN188" s="244">
        <v>21</v>
      </c>
      <c r="AO188" s="244">
        <v>-2495</v>
      </c>
      <c r="AP188" s="140">
        <v>-2000</v>
      </c>
      <c r="AQ188" s="140" t="s">
        <v>500</v>
      </c>
      <c r="AR188" s="140" t="s">
        <v>166</v>
      </c>
      <c r="AS188" s="240">
        <v>55.836766263961785</v>
      </c>
      <c r="AT188" s="140" t="s">
        <v>166</v>
      </c>
      <c r="AU188" s="140" t="s">
        <v>166</v>
      </c>
      <c r="AV188" s="140" t="s">
        <v>166</v>
      </c>
      <c r="AW188" s="140" t="s">
        <v>166</v>
      </c>
      <c r="AX188" s="140" t="s">
        <v>501</v>
      </c>
      <c r="AY188" s="140" t="s">
        <v>502</v>
      </c>
      <c r="AZ188" s="215">
        <v>55.819955070495602</v>
      </c>
      <c r="BA188" s="140" t="s">
        <v>166</v>
      </c>
      <c r="BB188" s="140" t="s">
        <v>166</v>
      </c>
      <c r="BC188" s="140" t="s">
        <v>166</v>
      </c>
      <c r="BD188" s="140" t="s">
        <v>166</v>
      </c>
      <c r="BE188" s="140" t="s">
        <v>503</v>
      </c>
      <c r="BF188" s="140" t="s">
        <v>504</v>
      </c>
      <c r="BG188" s="245" t="s">
        <v>505</v>
      </c>
      <c r="BH188" s="207" t="s">
        <v>192</v>
      </c>
      <c r="BI188" s="140" t="s">
        <v>166</v>
      </c>
      <c r="BJ188" s="140" t="s">
        <v>506</v>
      </c>
      <c r="BK188" s="140" t="s">
        <v>226</v>
      </c>
      <c r="BL188" s="140" t="s">
        <v>194</v>
      </c>
      <c r="BM188" s="140" t="s">
        <v>195</v>
      </c>
      <c r="BN188" s="140" t="s">
        <v>466</v>
      </c>
      <c r="BO188" s="140" t="s">
        <v>166</v>
      </c>
      <c r="BP188" s="140" t="s">
        <v>166</v>
      </c>
      <c r="BQ188" s="246">
        <v>13.767091088210393</v>
      </c>
      <c r="BR188" s="140" t="s">
        <v>196</v>
      </c>
      <c r="BS188" s="246">
        <v>0.46902294104199521</v>
      </c>
      <c r="BT188" s="140">
        <v>1</v>
      </c>
      <c r="BU188" s="140" t="s">
        <v>197</v>
      </c>
      <c r="BV188" s="140" t="s">
        <v>166</v>
      </c>
      <c r="BW188" s="140">
        <v>0</v>
      </c>
      <c r="BX188" s="140" t="s">
        <v>197</v>
      </c>
      <c r="BY188" s="140" t="s">
        <v>166</v>
      </c>
      <c r="BZ188" s="140" t="s">
        <v>197</v>
      </c>
      <c r="CA188" s="140" t="s">
        <v>166</v>
      </c>
      <c r="CB188" s="210">
        <f t="shared" si="165"/>
        <v>13.767091088210393</v>
      </c>
      <c r="CC188" s="140" t="s">
        <v>196</v>
      </c>
      <c r="CD188" s="210">
        <f t="shared" si="166"/>
        <v>0.46902294104199521</v>
      </c>
      <c r="CE188" s="140" t="s">
        <v>199</v>
      </c>
      <c r="CF188" s="140" t="s">
        <v>166</v>
      </c>
      <c r="CG188" s="140" t="s">
        <v>474</v>
      </c>
      <c r="CH188" s="140" t="s">
        <v>166</v>
      </c>
      <c r="CI188" s="140" t="s">
        <v>166</v>
      </c>
      <c r="CJ188" s="247">
        <v>34.345486357377283</v>
      </c>
      <c r="CK188" s="140" t="s">
        <v>201</v>
      </c>
      <c r="CL188" s="140">
        <v>2</v>
      </c>
      <c r="CM188" s="140">
        <v>2</v>
      </c>
      <c r="CN188" s="140" t="s">
        <v>166</v>
      </c>
      <c r="CO188" s="248">
        <v>3.7696020121027884</v>
      </c>
      <c r="CP188" s="140" t="s">
        <v>166</v>
      </c>
      <c r="CQ188" s="140" t="s">
        <v>166</v>
      </c>
      <c r="CR188" s="140" t="s">
        <v>166</v>
      </c>
      <c r="CS188" s="249" t="s">
        <v>202</v>
      </c>
      <c r="CT188" s="140" t="s">
        <v>203</v>
      </c>
      <c r="CU188" s="140">
        <v>2.2000000000000002</v>
      </c>
      <c r="CV188" s="140" t="s">
        <v>204</v>
      </c>
      <c r="CW188" s="140" t="s">
        <v>166</v>
      </c>
      <c r="CX188" s="140" t="s">
        <v>166</v>
      </c>
      <c r="CY188" s="140" t="s">
        <v>166</v>
      </c>
      <c r="CZ188" s="140" t="s">
        <v>166</v>
      </c>
      <c r="DA188" s="209" t="s">
        <v>166</v>
      </c>
      <c r="DB188" s="140" t="s">
        <v>166</v>
      </c>
      <c r="DC188" s="140" t="s">
        <v>166</v>
      </c>
      <c r="DD188" s="140" t="s">
        <v>166</v>
      </c>
      <c r="DE188" s="140" t="s">
        <v>166</v>
      </c>
      <c r="DF188" s="140" t="s">
        <v>205</v>
      </c>
      <c r="DG188" s="250">
        <v>35</v>
      </c>
      <c r="DH188" s="250" t="s">
        <v>201</v>
      </c>
      <c r="DI188" s="250">
        <v>1</v>
      </c>
      <c r="DJ188" s="250" t="s">
        <v>206</v>
      </c>
      <c r="DK188" s="250">
        <v>17</v>
      </c>
      <c r="DL188" s="140" t="s">
        <v>166</v>
      </c>
      <c r="DM188" s="140" t="s">
        <v>166</v>
      </c>
      <c r="DN188" s="250" t="s">
        <v>207</v>
      </c>
      <c r="DO188" s="250">
        <v>38</v>
      </c>
      <c r="DP188" s="250" t="s">
        <v>208</v>
      </c>
      <c r="DQ188" s="250">
        <v>3</v>
      </c>
      <c r="DR188" s="250" t="s">
        <v>209</v>
      </c>
      <c r="DS188" s="140" t="s">
        <v>166</v>
      </c>
      <c r="DT188" s="140" t="s">
        <v>166</v>
      </c>
      <c r="DU188" s="140" t="s">
        <v>166</v>
      </c>
      <c r="DV188" s="140" t="s">
        <v>166</v>
      </c>
      <c r="DW188" s="250">
        <v>432.6</v>
      </c>
      <c r="DX188" s="140" t="s">
        <v>166</v>
      </c>
      <c r="DY188" s="140" t="s">
        <v>166</v>
      </c>
      <c r="DZ188" s="140" t="s">
        <v>210</v>
      </c>
      <c r="EA188" s="140" t="s">
        <v>211</v>
      </c>
      <c r="EB188" s="140" t="s">
        <v>212</v>
      </c>
      <c r="EC188" s="140" t="s">
        <v>166</v>
      </c>
      <c r="ED188" s="140" t="s">
        <v>213</v>
      </c>
      <c r="EE188" s="213" t="s">
        <v>214</v>
      </c>
      <c r="EF188" s="213" t="s">
        <v>214</v>
      </c>
      <c r="EG188" s="250">
        <v>1.0271999999999999</v>
      </c>
      <c r="EH188" s="250" t="s">
        <v>215</v>
      </c>
      <c r="EI188" s="250" t="s">
        <v>215</v>
      </c>
      <c r="EJ188" s="250" t="s">
        <v>216</v>
      </c>
      <c r="EK188" s="250" t="s">
        <v>215</v>
      </c>
      <c r="EL188" s="250" t="s">
        <v>215</v>
      </c>
      <c r="EM188" s="250" t="s">
        <v>217</v>
      </c>
      <c r="EN188" s="251" t="s">
        <v>214</v>
      </c>
      <c r="EO188" s="251" t="s">
        <v>214</v>
      </c>
      <c r="EP188" s="251" t="s">
        <v>214</v>
      </c>
      <c r="EQ188" s="251" t="s">
        <v>214</v>
      </c>
      <c r="ER188" s="250"/>
      <c r="ES188" s="250"/>
      <c r="ET188" s="140" t="s">
        <v>218</v>
      </c>
      <c r="EU188" s="250" t="s">
        <v>219</v>
      </c>
      <c r="EV188" s="250" t="s">
        <v>213</v>
      </c>
      <c r="EW188" s="140" t="s">
        <v>166</v>
      </c>
      <c r="EX188" s="140" t="s">
        <v>166</v>
      </c>
      <c r="EY188" s="140" t="s">
        <v>166</v>
      </c>
      <c r="EZ188" s="140" t="s">
        <v>166</v>
      </c>
      <c r="FA188" s="205">
        <v>5.5</v>
      </c>
      <c r="FB188" s="140" t="s">
        <v>220</v>
      </c>
      <c r="FC188" s="205">
        <v>1</v>
      </c>
      <c r="FD188" s="205">
        <v>1</v>
      </c>
      <c r="FE188" s="252">
        <v>7.54792236360439</v>
      </c>
      <c r="FF188" s="140" t="s">
        <v>221</v>
      </c>
      <c r="FG188" s="252">
        <v>7.8313216938759922E-2</v>
      </c>
      <c r="FH188" s="252">
        <v>6.9989724762500316E-2</v>
      </c>
      <c r="FI188" s="201">
        <v>1874.5663396500602</v>
      </c>
      <c r="FK188" s="140" t="s">
        <v>166</v>
      </c>
      <c r="FL188" s="217">
        <f t="shared" si="157"/>
        <v>1874.5663396500602</v>
      </c>
      <c r="FM188" s="201">
        <v>827.85509839387009</v>
      </c>
      <c r="FN188" s="201">
        <v>555.59371185164014</v>
      </c>
      <c r="FO188" s="140" t="s">
        <v>222</v>
      </c>
      <c r="FP188" s="140" t="s">
        <v>223</v>
      </c>
      <c r="FQ188" s="217" t="s">
        <v>166</v>
      </c>
      <c r="FR188" s="217" t="s">
        <v>166</v>
      </c>
      <c r="FS188" s="217" t="s">
        <v>166</v>
      </c>
      <c r="FT188" s="217" t="s">
        <v>166</v>
      </c>
      <c r="FU188" s="217" t="s">
        <v>166</v>
      </c>
      <c r="FV188" s="217" t="s">
        <v>166</v>
      </c>
      <c r="FW188" s="217" t="s">
        <v>166</v>
      </c>
      <c r="FX188" s="217" t="s">
        <v>166</v>
      </c>
      <c r="FY188" s="217" t="s">
        <v>166</v>
      </c>
      <c r="FZ188" s="217" t="s">
        <v>166</v>
      </c>
      <c r="GA188" s="217" t="s">
        <v>166</v>
      </c>
      <c r="GB188" s="217" t="s">
        <v>166</v>
      </c>
      <c r="GC188" s="202" t="s">
        <v>507</v>
      </c>
    </row>
    <row r="189" spans="1:185" s="140" customFormat="1" ht="17">
      <c r="A189" s="140" t="s">
        <v>162</v>
      </c>
      <c r="B189" s="143" t="s">
        <v>163</v>
      </c>
      <c r="C189" s="140" t="s">
        <v>164</v>
      </c>
      <c r="D189" s="140" t="s">
        <v>165</v>
      </c>
      <c r="E189" s="140">
        <v>2020</v>
      </c>
      <c r="F189" s="140" t="s">
        <v>184</v>
      </c>
      <c r="G189" s="240">
        <v>55843.364194869995</v>
      </c>
      <c r="H189" s="241">
        <f t="shared" ref="H189" si="195">0.0083*G189^(0.9482)</f>
        <v>263.12162258760117</v>
      </c>
      <c r="I189" s="241">
        <f t="shared" si="171"/>
        <v>263.12162258760117</v>
      </c>
      <c r="J189" s="201">
        <v>989.75892661846194</v>
      </c>
      <c r="K189" s="201">
        <v>219.93227776818787</v>
      </c>
      <c r="L189" s="201">
        <v>196.74599082972202</v>
      </c>
      <c r="M189" s="140" t="b">
        <v>1</v>
      </c>
      <c r="N189" s="140">
        <v>1</v>
      </c>
      <c r="O189" s="302" t="s">
        <v>581</v>
      </c>
      <c r="P189" s="140" t="s">
        <v>166</v>
      </c>
      <c r="Q189" s="140" t="s">
        <v>166</v>
      </c>
      <c r="R189" s="140" t="s">
        <v>166</v>
      </c>
      <c r="S189" s="140" t="b">
        <v>1</v>
      </c>
      <c r="T189" s="140" t="b">
        <v>0</v>
      </c>
      <c r="U189" s="140" t="s">
        <v>166</v>
      </c>
      <c r="V189" s="140" t="b">
        <v>0</v>
      </c>
      <c r="W189" s="140" t="b">
        <v>0</v>
      </c>
      <c r="X189" s="140" t="s">
        <v>580</v>
      </c>
      <c r="Y189" s="202" t="s">
        <v>186</v>
      </c>
      <c r="Z189" s="140" t="s">
        <v>184</v>
      </c>
      <c r="AA189" s="242">
        <v>401</v>
      </c>
      <c r="AB189" s="140" t="s">
        <v>166</v>
      </c>
      <c r="AC189" s="140">
        <v>14</v>
      </c>
      <c r="AD189" s="140">
        <v>3</v>
      </c>
      <c r="AE189" s="140">
        <v>84</v>
      </c>
      <c r="AF189" s="140">
        <f t="shared" si="176"/>
        <v>86</v>
      </c>
      <c r="AG189" s="140" t="s">
        <v>166</v>
      </c>
      <c r="AH189" s="243">
        <v>202.35</v>
      </c>
      <c r="AI189" s="140" t="s">
        <v>498</v>
      </c>
      <c r="AJ189" s="140" t="s">
        <v>499</v>
      </c>
      <c r="AK189" s="210">
        <v>47.427500000000002</v>
      </c>
      <c r="AL189" s="210">
        <v>-8.8102999999999998</v>
      </c>
      <c r="AM189" s="244">
        <v>42</v>
      </c>
      <c r="AN189" s="244">
        <v>21</v>
      </c>
      <c r="AO189" s="244">
        <v>-2495</v>
      </c>
      <c r="AP189" s="140">
        <v>-2000</v>
      </c>
      <c r="AQ189" s="140" t="s">
        <v>500</v>
      </c>
      <c r="AR189" s="140" t="s">
        <v>166</v>
      </c>
      <c r="AS189" s="240">
        <v>55.843364194869991</v>
      </c>
      <c r="AT189" s="140" t="s">
        <v>166</v>
      </c>
      <c r="AU189" s="140" t="s">
        <v>166</v>
      </c>
      <c r="AV189" s="140" t="s">
        <v>166</v>
      </c>
      <c r="AW189" s="140" t="s">
        <v>166</v>
      </c>
      <c r="AX189" s="140" t="s">
        <v>501</v>
      </c>
      <c r="AY189" s="140" t="s">
        <v>502</v>
      </c>
      <c r="AZ189" s="215">
        <v>55.824347740173337</v>
      </c>
      <c r="BA189" s="140" t="s">
        <v>166</v>
      </c>
      <c r="BB189" s="140" t="s">
        <v>166</v>
      </c>
      <c r="BC189" s="140" t="s">
        <v>166</v>
      </c>
      <c r="BD189" s="140" t="s">
        <v>166</v>
      </c>
      <c r="BE189" s="140" t="s">
        <v>503</v>
      </c>
      <c r="BF189" s="140" t="s">
        <v>504</v>
      </c>
      <c r="BG189" s="245" t="s">
        <v>505</v>
      </c>
      <c r="BH189" s="207" t="s">
        <v>192</v>
      </c>
      <c r="BI189" s="140" t="s">
        <v>166</v>
      </c>
      <c r="BJ189" s="140" t="s">
        <v>506</v>
      </c>
      <c r="BK189" s="140" t="s">
        <v>226</v>
      </c>
      <c r="BL189" s="140" t="s">
        <v>194</v>
      </c>
      <c r="BM189" s="140" t="s">
        <v>195</v>
      </c>
      <c r="BN189" s="140" t="s">
        <v>466</v>
      </c>
      <c r="BO189" s="140" t="s">
        <v>166</v>
      </c>
      <c r="BP189" s="140" t="s">
        <v>166</v>
      </c>
      <c r="BQ189" s="246">
        <v>14.655917507765404</v>
      </c>
      <c r="BR189" s="140" t="s">
        <v>196</v>
      </c>
      <c r="BS189" s="246">
        <v>0.25087118314663071</v>
      </c>
      <c r="BT189" s="140">
        <v>1</v>
      </c>
      <c r="BU189" s="140" t="s">
        <v>197</v>
      </c>
      <c r="BV189" s="140" t="s">
        <v>166</v>
      </c>
      <c r="BW189" s="140">
        <v>0</v>
      </c>
      <c r="BX189" s="140" t="s">
        <v>197</v>
      </c>
      <c r="BY189" s="140" t="s">
        <v>166</v>
      </c>
      <c r="BZ189" s="140" t="s">
        <v>197</v>
      </c>
      <c r="CA189" s="140" t="s">
        <v>166</v>
      </c>
      <c r="CB189" s="210">
        <f t="shared" si="165"/>
        <v>14.655917507765404</v>
      </c>
      <c r="CC189" s="140" t="s">
        <v>196</v>
      </c>
      <c r="CD189" s="210">
        <f t="shared" si="166"/>
        <v>0.25087118314663071</v>
      </c>
      <c r="CE189" s="140" t="s">
        <v>199</v>
      </c>
      <c r="CF189" s="140" t="s">
        <v>166</v>
      </c>
      <c r="CG189" s="140" t="s">
        <v>474</v>
      </c>
      <c r="CH189" s="140" t="s">
        <v>166</v>
      </c>
      <c r="CI189" s="140" t="s">
        <v>166</v>
      </c>
      <c r="CJ189" s="247">
        <v>34.047977530919901</v>
      </c>
      <c r="CK189" s="140" t="s">
        <v>201</v>
      </c>
      <c r="CL189" s="140">
        <v>2</v>
      </c>
      <c r="CM189" s="140">
        <v>2</v>
      </c>
      <c r="CN189" s="140" t="s">
        <v>166</v>
      </c>
      <c r="CO189" s="253">
        <v>3.7069173983686459</v>
      </c>
      <c r="CP189" s="140" t="s">
        <v>166</v>
      </c>
      <c r="CQ189" s="140" t="s">
        <v>166</v>
      </c>
      <c r="CR189" s="140" t="s">
        <v>166</v>
      </c>
      <c r="CS189" s="249" t="s">
        <v>202</v>
      </c>
      <c r="CT189" s="140" t="s">
        <v>203</v>
      </c>
      <c r="CU189" s="140">
        <v>2.2000000000000002</v>
      </c>
      <c r="CV189" s="140" t="s">
        <v>204</v>
      </c>
      <c r="CW189" s="140" t="s">
        <v>166</v>
      </c>
      <c r="CX189" s="140" t="s">
        <v>166</v>
      </c>
      <c r="CY189" s="140" t="s">
        <v>166</v>
      </c>
      <c r="CZ189" s="140" t="s">
        <v>166</v>
      </c>
      <c r="DA189" s="209" t="s">
        <v>166</v>
      </c>
      <c r="DB189" s="140" t="s">
        <v>166</v>
      </c>
      <c r="DC189" s="140" t="s">
        <v>166</v>
      </c>
      <c r="DD189" s="140" t="s">
        <v>166</v>
      </c>
      <c r="DE189" s="140" t="s">
        <v>166</v>
      </c>
      <c r="DF189" s="140" t="s">
        <v>205</v>
      </c>
      <c r="DG189" s="250">
        <v>35</v>
      </c>
      <c r="DH189" s="250" t="s">
        <v>201</v>
      </c>
      <c r="DI189" s="250">
        <v>1</v>
      </c>
      <c r="DJ189" s="250" t="s">
        <v>206</v>
      </c>
      <c r="DK189" s="250">
        <v>17</v>
      </c>
      <c r="DL189" s="140" t="s">
        <v>166</v>
      </c>
      <c r="DM189" s="140" t="s">
        <v>166</v>
      </c>
      <c r="DN189" s="250" t="s">
        <v>207</v>
      </c>
      <c r="DO189" s="250">
        <v>38</v>
      </c>
      <c r="DP189" s="250" t="s">
        <v>208</v>
      </c>
      <c r="DQ189" s="250">
        <v>3</v>
      </c>
      <c r="DR189" s="250" t="s">
        <v>209</v>
      </c>
      <c r="DS189" s="140" t="s">
        <v>166</v>
      </c>
      <c r="DT189" s="140" t="s">
        <v>166</v>
      </c>
      <c r="DU189" s="140" t="s">
        <v>166</v>
      </c>
      <c r="DV189" s="140" t="s">
        <v>166</v>
      </c>
      <c r="DW189" s="250">
        <v>432.6</v>
      </c>
      <c r="DX189" s="140" t="s">
        <v>166</v>
      </c>
      <c r="DY189" s="140" t="s">
        <v>166</v>
      </c>
      <c r="DZ189" s="140" t="s">
        <v>210</v>
      </c>
      <c r="EA189" s="140" t="s">
        <v>211</v>
      </c>
      <c r="EB189" s="140" t="s">
        <v>212</v>
      </c>
      <c r="EC189" s="140" t="s">
        <v>166</v>
      </c>
      <c r="ED189" s="140" t="s">
        <v>213</v>
      </c>
      <c r="EE189" s="213" t="s">
        <v>214</v>
      </c>
      <c r="EF189" s="213" t="s">
        <v>214</v>
      </c>
      <c r="EG189" s="250">
        <v>1.0271999999999999</v>
      </c>
      <c r="EH189" s="250" t="s">
        <v>215</v>
      </c>
      <c r="EI189" s="250" t="s">
        <v>215</v>
      </c>
      <c r="EJ189" s="250" t="s">
        <v>216</v>
      </c>
      <c r="EK189" s="250" t="s">
        <v>215</v>
      </c>
      <c r="EL189" s="250" t="s">
        <v>215</v>
      </c>
      <c r="EM189" s="250" t="s">
        <v>217</v>
      </c>
      <c r="EN189" s="251" t="s">
        <v>214</v>
      </c>
      <c r="EO189" s="251" t="s">
        <v>214</v>
      </c>
      <c r="EP189" s="251" t="s">
        <v>214</v>
      </c>
      <c r="EQ189" s="251" t="s">
        <v>214</v>
      </c>
      <c r="ER189" s="250"/>
      <c r="ES189" s="250"/>
      <c r="ET189" s="140" t="s">
        <v>218</v>
      </c>
      <c r="EU189" s="250" t="s">
        <v>219</v>
      </c>
      <c r="EV189" s="250" t="s">
        <v>213</v>
      </c>
      <c r="EW189" s="140" t="s">
        <v>166</v>
      </c>
      <c r="EX189" s="140" t="s">
        <v>166</v>
      </c>
      <c r="EY189" s="140" t="s">
        <v>166</v>
      </c>
      <c r="EZ189" s="140" t="s">
        <v>166</v>
      </c>
      <c r="FA189" s="205">
        <v>5.5</v>
      </c>
      <c r="FB189" s="140" t="s">
        <v>220</v>
      </c>
      <c r="FC189" s="205">
        <v>1</v>
      </c>
      <c r="FD189" s="205">
        <v>1</v>
      </c>
      <c r="FE189" s="252">
        <v>7.6872454577223897</v>
      </c>
      <c r="FF189" s="140" t="s">
        <v>221</v>
      </c>
      <c r="FG189" s="252">
        <v>3.6309218475089722E-2</v>
      </c>
      <c r="FH189" s="252">
        <v>3.9326298769799983E-2</v>
      </c>
      <c r="FI189" s="201">
        <v>989.75892661846194</v>
      </c>
      <c r="FK189" s="140" t="s">
        <v>166</v>
      </c>
      <c r="FL189" s="217">
        <f t="shared" si="157"/>
        <v>989.75892661846194</v>
      </c>
      <c r="FM189" s="201">
        <v>219.93227776818787</v>
      </c>
      <c r="FN189" s="201">
        <v>196.74599082972202</v>
      </c>
      <c r="FO189" s="140" t="s">
        <v>222</v>
      </c>
      <c r="FP189" s="140" t="s">
        <v>223</v>
      </c>
      <c r="FQ189" s="217" t="s">
        <v>166</v>
      </c>
      <c r="FR189" s="217" t="s">
        <v>166</v>
      </c>
      <c r="FS189" s="217" t="s">
        <v>166</v>
      </c>
      <c r="FT189" s="217" t="s">
        <v>166</v>
      </c>
      <c r="FU189" s="217" t="s">
        <v>166</v>
      </c>
      <c r="FV189" s="217" t="s">
        <v>166</v>
      </c>
      <c r="FW189" s="217" t="s">
        <v>166</v>
      </c>
      <c r="FX189" s="217" t="s">
        <v>166</v>
      </c>
      <c r="FY189" s="217" t="s">
        <v>166</v>
      </c>
      <c r="FZ189" s="217" t="s">
        <v>166</v>
      </c>
      <c r="GA189" s="217" t="s">
        <v>166</v>
      </c>
      <c r="GB189" s="217" t="s">
        <v>166</v>
      </c>
      <c r="GC189" s="202" t="s">
        <v>507</v>
      </c>
    </row>
    <row r="190" spans="1:185" s="140" customFormat="1" ht="17">
      <c r="A190" s="140" t="s">
        <v>162</v>
      </c>
      <c r="B190" s="143" t="s">
        <v>163</v>
      </c>
      <c r="C190" s="140" t="s">
        <v>164</v>
      </c>
      <c r="D190" s="140" t="s">
        <v>165</v>
      </c>
      <c r="E190" s="140">
        <v>2020</v>
      </c>
      <c r="F190" s="140" t="s">
        <v>184</v>
      </c>
      <c r="G190" s="240">
        <v>55851.280906677239</v>
      </c>
      <c r="H190" s="241">
        <f t="shared" ref="H190" si="196">0.0083*G190^(0.9482)</f>
        <v>263.15699202541276</v>
      </c>
      <c r="I190" s="241">
        <f t="shared" si="171"/>
        <v>263.15699202541276</v>
      </c>
      <c r="J190" s="201">
        <v>1964.0208343398199</v>
      </c>
      <c r="K190" s="201">
        <v>1325.2710824261403</v>
      </c>
      <c r="L190" s="201">
        <v>723.95736847843978</v>
      </c>
      <c r="M190" s="140" t="b">
        <v>1</v>
      </c>
      <c r="N190" s="140">
        <v>1</v>
      </c>
      <c r="O190" s="302" t="s">
        <v>581</v>
      </c>
      <c r="P190" s="140" t="s">
        <v>166</v>
      </c>
      <c r="Q190" s="140" t="s">
        <v>166</v>
      </c>
      <c r="R190" s="140" t="s">
        <v>166</v>
      </c>
      <c r="S190" s="140" t="b">
        <v>1</v>
      </c>
      <c r="T190" s="140" t="b">
        <v>0</v>
      </c>
      <c r="U190" s="140" t="s">
        <v>166</v>
      </c>
      <c r="V190" s="140" t="b">
        <v>0</v>
      </c>
      <c r="W190" s="140" t="b">
        <v>0</v>
      </c>
      <c r="X190" s="140" t="s">
        <v>580</v>
      </c>
      <c r="Y190" s="202" t="s">
        <v>186</v>
      </c>
      <c r="Z190" s="140" t="s">
        <v>184</v>
      </c>
      <c r="AA190" s="242">
        <v>401</v>
      </c>
      <c r="AB190" s="140" t="s">
        <v>166</v>
      </c>
      <c r="AC190" s="140">
        <v>14</v>
      </c>
      <c r="AD190" s="140">
        <v>3</v>
      </c>
      <c r="AE190" s="140">
        <v>90</v>
      </c>
      <c r="AF190" s="140">
        <f t="shared" si="176"/>
        <v>92</v>
      </c>
      <c r="AG190" s="140" t="s">
        <v>166</v>
      </c>
      <c r="AH190" s="243">
        <v>202.41</v>
      </c>
      <c r="AI190" s="140" t="s">
        <v>498</v>
      </c>
      <c r="AJ190" s="140" t="s">
        <v>499</v>
      </c>
      <c r="AK190" s="210">
        <v>47.427500000000002</v>
      </c>
      <c r="AL190" s="210">
        <v>-8.8102999999999998</v>
      </c>
      <c r="AM190" s="244">
        <v>42</v>
      </c>
      <c r="AN190" s="244">
        <v>21</v>
      </c>
      <c r="AO190" s="244">
        <v>-2495</v>
      </c>
      <c r="AP190" s="140">
        <v>-2000</v>
      </c>
      <c r="AQ190" s="140" t="s">
        <v>500</v>
      </c>
      <c r="AR190" s="140" t="s">
        <v>166</v>
      </c>
      <c r="AS190" s="240">
        <v>55.851280906677239</v>
      </c>
      <c r="AT190" s="140" t="s">
        <v>166</v>
      </c>
      <c r="AU190" s="140" t="s">
        <v>166</v>
      </c>
      <c r="AV190" s="140" t="s">
        <v>166</v>
      </c>
      <c r="AW190" s="140" t="s">
        <v>166</v>
      </c>
      <c r="AX190" s="140" t="s">
        <v>501</v>
      </c>
      <c r="AY190" s="140" t="s">
        <v>502</v>
      </c>
      <c r="AZ190" s="215">
        <v>55.829618408203125</v>
      </c>
      <c r="BA190" s="140" t="s">
        <v>166</v>
      </c>
      <c r="BB190" s="140" t="s">
        <v>166</v>
      </c>
      <c r="BC190" s="140" t="s">
        <v>166</v>
      </c>
      <c r="BD190" s="140" t="s">
        <v>166</v>
      </c>
      <c r="BE190" s="140" t="s">
        <v>503</v>
      </c>
      <c r="BF190" s="140" t="s">
        <v>504</v>
      </c>
      <c r="BG190" s="245" t="s">
        <v>505</v>
      </c>
      <c r="BH190" s="207" t="s">
        <v>192</v>
      </c>
      <c r="BI190" s="140" t="s">
        <v>166</v>
      </c>
      <c r="BJ190" s="140" t="s">
        <v>506</v>
      </c>
      <c r="BK190" s="140" t="s">
        <v>226</v>
      </c>
      <c r="BL190" s="140" t="s">
        <v>194</v>
      </c>
      <c r="BM190" s="140" t="s">
        <v>195</v>
      </c>
      <c r="BN190" s="140" t="s">
        <v>466</v>
      </c>
      <c r="BO190" s="140" t="s">
        <v>166</v>
      </c>
      <c r="BP190" s="140" t="s">
        <v>166</v>
      </c>
      <c r="BQ190" s="246">
        <v>13.710063834138753</v>
      </c>
      <c r="BR190" s="140" t="s">
        <v>196</v>
      </c>
      <c r="BS190" s="246">
        <v>0.72653052789034045</v>
      </c>
      <c r="BT190" s="140">
        <v>1</v>
      </c>
      <c r="BU190" s="140" t="s">
        <v>197</v>
      </c>
      <c r="BV190" s="140" t="s">
        <v>166</v>
      </c>
      <c r="BW190" s="140">
        <v>0</v>
      </c>
      <c r="BX190" s="140" t="s">
        <v>197</v>
      </c>
      <c r="BY190" s="140" t="s">
        <v>166</v>
      </c>
      <c r="BZ190" s="140" t="s">
        <v>197</v>
      </c>
      <c r="CA190" s="140" t="s">
        <v>166</v>
      </c>
      <c r="CB190" s="210">
        <f t="shared" si="165"/>
        <v>13.710063834138753</v>
      </c>
      <c r="CC190" s="140" t="s">
        <v>196</v>
      </c>
      <c r="CD190" s="210">
        <f t="shared" si="166"/>
        <v>0.72653052789034045</v>
      </c>
      <c r="CE190" s="140" t="s">
        <v>199</v>
      </c>
      <c r="CF190" s="140" t="s">
        <v>166</v>
      </c>
      <c r="CG190" s="140" t="s">
        <v>474</v>
      </c>
      <c r="CH190" s="140" t="s">
        <v>166</v>
      </c>
      <c r="CI190" s="140" t="s">
        <v>166</v>
      </c>
      <c r="CJ190" s="247">
        <v>35.415024779620111</v>
      </c>
      <c r="CK190" s="140" t="s">
        <v>201</v>
      </c>
      <c r="CL190" s="140">
        <v>2</v>
      </c>
      <c r="CM190" s="140">
        <v>2</v>
      </c>
      <c r="CN190" s="140" t="s">
        <v>166</v>
      </c>
      <c r="CO190" s="248">
        <v>4.0038359634207881</v>
      </c>
      <c r="CP190" s="140" t="s">
        <v>166</v>
      </c>
      <c r="CQ190" s="140" t="s">
        <v>166</v>
      </c>
      <c r="CR190" s="140" t="s">
        <v>166</v>
      </c>
      <c r="CS190" s="249" t="s">
        <v>202</v>
      </c>
      <c r="CT190" s="140" t="s">
        <v>203</v>
      </c>
      <c r="CU190" s="140">
        <v>2.2000000000000002</v>
      </c>
      <c r="CV190" s="140" t="s">
        <v>204</v>
      </c>
      <c r="CW190" s="140" t="s">
        <v>166</v>
      </c>
      <c r="CX190" s="140" t="s">
        <v>166</v>
      </c>
      <c r="CY190" s="140" t="s">
        <v>166</v>
      </c>
      <c r="CZ190" s="140" t="s">
        <v>166</v>
      </c>
      <c r="DA190" s="209" t="s">
        <v>166</v>
      </c>
      <c r="DB190" s="140" t="s">
        <v>166</v>
      </c>
      <c r="DC190" s="140" t="s">
        <v>166</v>
      </c>
      <c r="DD190" s="140" t="s">
        <v>166</v>
      </c>
      <c r="DE190" s="140" t="s">
        <v>166</v>
      </c>
      <c r="DF190" s="140" t="s">
        <v>205</v>
      </c>
      <c r="DG190" s="250">
        <v>35</v>
      </c>
      <c r="DH190" s="250" t="s">
        <v>201</v>
      </c>
      <c r="DI190" s="250">
        <v>1</v>
      </c>
      <c r="DJ190" s="250" t="s">
        <v>206</v>
      </c>
      <c r="DK190" s="250">
        <v>17</v>
      </c>
      <c r="DL190" s="140" t="s">
        <v>166</v>
      </c>
      <c r="DM190" s="140" t="s">
        <v>166</v>
      </c>
      <c r="DN190" s="250" t="s">
        <v>207</v>
      </c>
      <c r="DO190" s="250">
        <v>38</v>
      </c>
      <c r="DP190" s="250" t="s">
        <v>208</v>
      </c>
      <c r="DQ190" s="250">
        <v>3</v>
      </c>
      <c r="DR190" s="250" t="s">
        <v>209</v>
      </c>
      <c r="DS190" s="140" t="s">
        <v>166</v>
      </c>
      <c r="DT190" s="140" t="s">
        <v>166</v>
      </c>
      <c r="DU190" s="140" t="s">
        <v>166</v>
      </c>
      <c r="DV190" s="140" t="s">
        <v>166</v>
      </c>
      <c r="DW190" s="250">
        <v>432.6</v>
      </c>
      <c r="DX190" s="140" t="s">
        <v>166</v>
      </c>
      <c r="DY190" s="140" t="s">
        <v>166</v>
      </c>
      <c r="DZ190" s="140" t="s">
        <v>210</v>
      </c>
      <c r="EA190" s="140" t="s">
        <v>211</v>
      </c>
      <c r="EB190" s="140" t="s">
        <v>212</v>
      </c>
      <c r="EC190" s="140" t="s">
        <v>166</v>
      </c>
      <c r="ED190" s="140" t="s">
        <v>213</v>
      </c>
      <c r="EE190" s="213" t="s">
        <v>214</v>
      </c>
      <c r="EF190" s="213" t="s">
        <v>214</v>
      </c>
      <c r="EG190" s="250">
        <v>1.0271999999999999</v>
      </c>
      <c r="EH190" s="250" t="s">
        <v>215</v>
      </c>
      <c r="EI190" s="250" t="s">
        <v>215</v>
      </c>
      <c r="EJ190" s="250" t="s">
        <v>216</v>
      </c>
      <c r="EK190" s="250" t="s">
        <v>215</v>
      </c>
      <c r="EL190" s="250" t="s">
        <v>215</v>
      </c>
      <c r="EM190" s="250" t="s">
        <v>217</v>
      </c>
      <c r="EN190" s="251" t="s">
        <v>214</v>
      </c>
      <c r="EO190" s="251" t="s">
        <v>214</v>
      </c>
      <c r="EP190" s="251" t="s">
        <v>214</v>
      </c>
      <c r="EQ190" s="251" t="s">
        <v>214</v>
      </c>
      <c r="ER190" s="250"/>
      <c r="ES190" s="250"/>
      <c r="ET190" s="140" t="s">
        <v>218</v>
      </c>
      <c r="EU190" s="250" t="s">
        <v>219</v>
      </c>
      <c r="EV190" s="250" t="s">
        <v>213</v>
      </c>
      <c r="EW190" s="140" t="s">
        <v>166</v>
      </c>
      <c r="EX190" s="140" t="s">
        <v>166</v>
      </c>
      <c r="EY190" s="140" t="s">
        <v>166</v>
      </c>
      <c r="EZ190" s="140" t="s">
        <v>166</v>
      </c>
      <c r="FA190" s="205">
        <v>5.5</v>
      </c>
      <c r="FB190" s="140" t="s">
        <v>220</v>
      </c>
      <c r="FC190" s="205">
        <v>1</v>
      </c>
      <c r="FD190" s="205">
        <v>1</v>
      </c>
      <c r="FE190" s="252">
        <v>7.5269726436754398</v>
      </c>
      <c r="FF190" s="140" t="s">
        <v>221</v>
      </c>
      <c r="FG190" s="252">
        <v>0.10752123444413009</v>
      </c>
      <c r="FH190" s="252">
        <v>9.4474074772589844E-2</v>
      </c>
      <c r="FI190" s="201">
        <v>1964.0208343398199</v>
      </c>
      <c r="FK190" s="140" t="s">
        <v>166</v>
      </c>
      <c r="FL190" s="217">
        <f t="shared" si="157"/>
        <v>1964.0208343398199</v>
      </c>
      <c r="FM190" s="201">
        <v>1325.2710824261403</v>
      </c>
      <c r="FN190" s="201">
        <v>723.95736847843978</v>
      </c>
      <c r="FO190" s="140" t="s">
        <v>222</v>
      </c>
      <c r="FP190" s="140" t="s">
        <v>223</v>
      </c>
      <c r="FQ190" s="217" t="s">
        <v>166</v>
      </c>
      <c r="FR190" s="217" t="s">
        <v>166</v>
      </c>
      <c r="FS190" s="217" t="s">
        <v>166</v>
      </c>
      <c r="FT190" s="217" t="s">
        <v>166</v>
      </c>
      <c r="FU190" s="217" t="s">
        <v>166</v>
      </c>
      <c r="FV190" s="217" t="s">
        <v>166</v>
      </c>
      <c r="FW190" s="217" t="s">
        <v>166</v>
      </c>
      <c r="FX190" s="217" t="s">
        <v>166</v>
      </c>
      <c r="FY190" s="217" t="s">
        <v>166</v>
      </c>
      <c r="FZ190" s="217" t="s">
        <v>166</v>
      </c>
      <c r="GA190" s="217" t="s">
        <v>166</v>
      </c>
      <c r="GB190" s="217" t="s">
        <v>166</v>
      </c>
      <c r="GC190" s="202" t="s">
        <v>507</v>
      </c>
    </row>
    <row r="191" spans="1:185" s="140" customFormat="1" ht="17">
      <c r="A191" s="140" t="s">
        <v>162</v>
      </c>
      <c r="B191" s="143" t="s">
        <v>163</v>
      </c>
      <c r="C191" s="140" t="s">
        <v>164</v>
      </c>
      <c r="D191" s="140" t="s">
        <v>165</v>
      </c>
      <c r="E191" s="140">
        <v>2020</v>
      </c>
      <c r="F191" s="140" t="s">
        <v>184</v>
      </c>
      <c r="G191" s="240">
        <v>55881.160749435425</v>
      </c>
      <c r="H191" s="241">
        <f t="shared" ref="H191" si="197">0.0083*G191^(0.9482)</f>
        <v>263.29048364983885</v>
      </c>
      <c r="I191" s="241">
        <f t="shared" si="171"/>
        <v>263.29048364983885</v>
      </c>
      <c r="J191" s="201">
        <v>2901.35781300697</v>
      </c>
      <c r="K191" s="201">
        <v>1612.3181919427498</v>
      </c>
      <c r="L191" s="201">
        <v>948.22238256539003</v>
      </c>
      <c r="M191" s="140" t="b">
        <v>1</v>
      </c>
      <c r="N191" s="140">
        <v>1</v>
      </c>
      <c r="O191" s="302" t="s">
        <v>581</v>
      </c>
      <c r="P191" s="140" t="s">
        <v>166</v>
      </c>
      <c r="Q191" s="140" t="s">
        <v>166</v>
      </c>
      <c r="R191" s="140" t="s">
        <v>166</v>
      </c>
      <c r="S191" s="140" t="b">
        <v>1</v>
      </c>
      <c r="T191" s="140" t="b">
        <v>0</v>
      </c>
      <c r="U191" s="140" t="s">
        <v>166</v>
      </c>
      <c r="V191" s="140" t="b">
        <v>0</v>
      </c>
      <c r="W191" s="140" t="b">
        <v>0</v>
      </c>
      <c r="X191" s="140" t="s">
        <v>580</v>
      </c>
      <c r="Y191" s="202" t="s">
        <v>186</v>
      </c>
      <c r="Z191" s="140" t="s">
        <v>184</v>
      </c>
      <c r="AA191" s="242">
        <v>401</v>
      </c>
      <c r="AB191" s="140" t="s">
        <v>166</v>
      </c>
      <c r="AC191" s="140">
        <v>14</v>
      </c>
      <c r="AD191" s="140">
        <v>3</v>
      </c>
      <c r="AE191" s="140">
        <v>96</v>
      </c>
      <c r="AF191" s="140">
        <f t="shared" si="176"/>
        <v>98</v>
      </c>
      <c r="AG191" s="140" t="s">
        <v>166</v>
      </c>
      <c r="AH191" s="243">
        <v>202.47</v>
      </c>
      <c r="AI191" s="140" t="s">
        <v>498</v>
      </c>
      <c r="AJ191" s="140" t="s">
        <v>499</v>
      </c>
      <c r="AK191" s="210">
        <v>47.427500000000002</v>
      </c>
      <c r="AL191" s="210">
        <v>-8.8102999999999998</v>
      </c>
      <c r="AM191" s="244">
        <v>42</v>
      </c>
      <c r="AN191" s="244">
        <v>21</v>
      </c>
      <c r="AO191" s="244">
        <v>-2495</v>
      </c>
      <c r="AP191" s="140">
        <v>-2000</v>
      </c>
      <c r="AQ191" s="140" t="s">
        <v>500</v>
      </c>
      <c r="AR191" s="140" t="s">
        <v>166</v>
      </c>
      <c r="AS191" s="240">
        <v>55.881160749435423</v>
      </c>
      <c r="AT191" s="140" t="s">
        <v>166</v>
      </c>
      <c r="AU191" s="140" t="s">
        <v>166</v>
      </c>
      <c r="AV191" s="140" t="s">
        <v>166</v>
      </c>
      <c r="AW191" s="140" t="s">
        <v>166</v>
      </c>
      <c r="AX191" s="140" t="s">
        <v>501</v>
      </c>
      <c r="AY191" s="140" t="s">
        <v>502</v>
      </c>
      <c r="AZ191" s="215">
        <v>55.871807390213014</v>
      </c>
      <c r="BA191" s="140" t="s">
        <v>166</v>
      </c>
      <c r="BB191" s="140" t="s">
        <v>166</v>
      </c>
      <c r="BC191" s="140" t="s">
        <v>166</v>
      </c>
      <c r="BD191" s="140" t="s">
        <v>166</v>
      </c>
      <c r="BE191" s="140" t="s">
        <v>503</v>
      </c>
      <c r="BF191" s="140" t="s">
        <v>504</v>
      </c>
      <c r="BG191" s="245" t="s">
        <v>505</v>
      </c>
      <c r="BH191" s="207" t="s">
        <v>192</v>
      </c>
      <c r="BI191" s="140" t="s">
        <v>166</v>
      </c>
      <c r="BJ191" s="140" t="s">
        <v>506</v>
      </c>
      <c r="BK191" s="140" t="s">
        <v>226</v>
      </c>
      <c r="BL191" s="140" t="s">
        <v>194</v>
      </c>
      <c r="BM191" s="140" t="s">
        <v>195</v>
      </c>
      <c r="BN191" s="140" t="s">
        <v>466</v>
      </c>
      <c r="BO191" s="140" t="s">
        <v>166</v>
      </c>
      <c r="BP191" s="140" t="s">
        <v>166</v>
      </c>
      <c r="BQ191" s="246">
        <v>13.221158571861569</v>
      </c>
      <c r="BR191" s="140" t="s">
        <v>196</v>
      </c>
      <c r="BS191" s="246">
        <v>0.47754121831964902</v>
      </c>
      <c r="BT191" s="140">
        <v>1</v>
      </c>
      <c r="BU191" s="140" t="s">
        <v>197</v>
      </c>
      <c r="BV191" s="140" t="s">
        <v>166</v>
      </c>
      <c r="BW191" s="140">
        <v>0</v>
      </c>
      <c r="BX191" s="140" t="s">
        <v>197</v>
      </c>
      <c r="BY191" s="140" t="s">
        <v>166</v>
      </c>
      <c r="BZ191" s="140" t="s">
        <v>197</v>
      </c>
      <c r="CA191" s="140" t="s">
        <v>166</v>
      </c>
      <c r="CB191" s="210">
        <f t="shared" si="165"/>
        <v>13.221158571861569</v>
      </c>
      <c r="CC191" s="140" t="s">
        <v>196</v>
      </c>
      <c r="CD191" s="210">
        <f t="shared" si="166"/>
        <v>0.47754121831964902</v>
      </c>
      <c r="CE191" s="140" t="s">
        <v>199</v>
      </c>
      <c r="CF191" s="140" t="s">
        <v>166</v>
      </c>
      <c r="CG191" s="140" t="s">
        <v>474</v>
      </c>
      <c r="CH191" s="140" t="s">
        <v>166</v>
      </c>
      <c r="CI191" s="140" t="s">
        <v>166</v>
      </c>
      <c r="CJ191" s="247">
        <v>33.824773731087191</v>
      </c>
      <c r="CK191" s="140" t="s">
        <v>201</v>
      </c>
      <c r="CL191" s="140">
        <v>2</v>
      </c>
      <c r="CM191" s="140">
        <v>2</v>
      </c>
      <c r="CN191" s="140" t="s">
        <v>166</v>
      </c>
      <c r="CO191" s="253">
        <v>3.6605740608383188</v>
      </c>
      <c r="CP191" s="140" t="s">
        <v>166</v>
      </c>
      <c r="CQ191" s="140" t="s">
        <v>166</v>
      </c>
      <c r="CR191" s="140" t="s">
        <v>166</v>
      </c>
      <c r="CS191" s="249" t="s">
        <v>202</v>
      </c>
      <c r="CT191" s="140" t="s">
        <v>203</v>
      </c>
      <c r="CU191" s="140">
        <v>2.2000000000000002</v>
      </c>
      <c r="CV191" s="140" t="s">
        <v>204</v>
      </c>
      <c r="CW191" s="140" t="s">
        <v>166</v>
      </c>
      <c r="CX191" s="140" t="s">
        <v>166</v>
      </c>
      <c r="CY191" s="140" t="s">
        <v>166</v>
      </c>
      <c r="CZ191" s="140" t="s">
        <v>166</v>
      </c>
      <c r="DA191" s="209" t="s">
        <v>166</v>
      </c>
      <c r="DB191" s="140" t="s">
        <v>166</v>
      </c>
      <c r="DC191" s="140" t="s">
        <v>166</v>
      </c>
      <c r="DD191" s="140" t="s">
        <v>166</v>
      </c>
      <c r="DE191" s="140" t="s">
        <v>166</v>
      </c>
      <c r="DF191" s="140" t="s">
        <v>205</v>
      </c>
      <c r="DG191" s="250">
        <v>35</v>
      </c>
      <c r="DH191" s="250" t="s">
        <v>201</v>
      </c>
      <c r="DI191" s="250">
        <v>1</v>
      </c>
      <c r="DJ191" s="250" t="s">
        <v>206</v>
      </c>
      <c r="DK191" s="250">
        <v>17</v>
      </c>
      <c r="DL191" s="140" t="s">
        <v>166</v>
      </c>
      <c r="DM191" s="140" t="s">
        <v>166</v>
      </c>
      <c r="DN191" s="250" t="s">
        <v>207</v>
      </c>
      <c r="DO191" s="250">
        <v>38</v>
      </c>
      <c r="DP191" s="250" t="s">
        <v>208</v>
      </c>
      <c r="DQ191" s="250">
        <v>3</v>
      </c>
      <c r="DR191" s="250" t="s">
        <v>209</v>
      </c>
      <c r="DS191" s="140" t="s">
        <v>166</v>
      </c>
      <c r="DT191" s="140" t="s">
        <v>166</v>
      </c>
      <c r="DU191" s="140" t="s">
        <v>166</v>
      </c>
      <c r="DV191" s="140" t="s">
        <v>166</v>
      </c>
      <c r="DW191" s="250">
        <v>432.6</v>
      </c>
      <c r="DX191" s="140" t="s">
        <v>166</v>
      </c>
      <c r="DY191" s="140" t="s">
        <v>166</v>
      </c>
      <c r="DZ191" s="140" t="s">
        <v>210</v>
      </c>
      <c r="EA191" s="140" t="s">
        <v>211</v>
      </c>
      <c r="EB191" s="140" t="s">
        <v>212</v>
      </c>
      <c r="EC191" s="140" t="s">
        <v>166</v>
      </c>
      <c r="ED191" s="140" t="s">
        <v>213</v>
      </c>
      <c r="EE191" s="213" t="s">
        <v>214</v>
      </c>
      <c r="EF191" s="213" t="s">
        <v>214</v>
      </c>
      <c r="EG191" s="250">
        <v>1.0271999999999999</v>
      </c>
      <c r="EH191" s="250" t="s">
        <v>215</v>
      </c>
      <c r="EI191" s="250" t="s">
        <v>215</v>
      </c>
      <c r="EJ191" s="250" t="s">
        <v>216</v>
      </c>
      <c r="EK191" s="250" t="s">
        <v>215</v>
      </c>
      <c r="EL191" s="250" t="s">
        <v>215</v>
      </c>
      <c r="EM191" s="250" t="s">
        <v>217</v>
      </c>
      <c r="EN191" s="251" t="s">
        <v>214</v>
      </c>
      <c r="EO191" s="251" t="s">
        <v>214</v>
      </c>
      <c r="EP191" s="251" t="s">
        <v>214</v>
      </c>
      <c r="EQ191" s="251" t="s">
        <v>214</v>
      </c>
      <c r="ER191" s="250"/>
      <c r="ES191" s="250"/>
      <c r="ET191" s="140" t="s">
        <v>218</v>
      </c>
      <c r="EU191" s="250" t="s">
        <v>219</v>
      </c>
      <c r="EV191" s="250" t="s">
        <v>213</v>
      </c>
      <c r="EW191" s="140" t="s">
        <v>166</v>
      </c>
      <c r="EX191" s="140" t="s">
        <v>166</v>
      </c>
      <c r="EY191" s="140" t="s">
        <v>166</v>
      </c>
      <c r="EZ191" s="140" t="s">
        <v>166</v>
      </c>
      <c r="FA191" s="205">
        <v>5.5</v>
      </c>
      <c r="FB191" s="140" t="s">
        <v>220</v>
      </c>
      <c r="FC191" s="205">
        <v>1</v>
      </c>
      <c r="FD191" s="205">
        <v>1</v>
      </c>
      <c r="FE191" s="252">
        <v>7.4558938843625997</v>
      </c>
      <c r="FF191" s="140" t="s">
        <v>221</v>
      </c>
      <c r="FG191" s="252">
        <v>9.1946383455109526E-2</v>
      </c>
      <c r="FH191" s="252">
        <v>8.1080191085910691E-2</v>
      </c>
      <c r="FI191" s="201">
        <v>2901.35781300697</v>
      </c>
      <c r="FK191" s="140" t="s">
        <v>166</v>
      </c>
      <c r="FL191" s="217">
        <f t="shared" si="157"/>
        <v>2901.35781300697</v>
      </c>
      <c r="FM191" s="201">
        <v>1612.3181919427498</v>
      </c>
      <c r="FN191" s="201">
        <v>948.22238256539003</v>
      </c>
      <c r="FO191" s="140" t="s">
        <v>222</v>
      </c>
      <c r="FP191" s="140" t="s">
        <v>223</v>
      </c>
      <c r="FQ191" s="217" t="s">
        <v>166</v>
      </c>
      <c r="FR191" s="217" t="s">
        <v>166</v>
      </c>
      <c r="FS191" s="217" t="s">
        <v>166</v>
      </c>
      <c r="FT191" s="217" t="s">
        <v>166</v>
      </c>
      <c r="FU191" s="217" t="s">
        <v>166</v>
      </c>
      <c r="FV191" s="217" t="s">
        <v>166</v>
      </c>
      <c r="FW191" s="217" t="s">
        <v>166</v>
      </c>
      <c r="FX191" s="217" t="s">
        <v>166</v>
      </c>
      <c r="FY191" s="217" t="s">
        <v>166</v>
      </c>
      <c r="FZ191" s="217" t="s">
        <v>166</v>
      </c>
      <c r="GA191" s="217" t="s">
        <v>166</v>
      </c>
      <c r="GB191" s="217" t="s">
        <v>166</v>
      </c>
      <c r="GC191" s="202" t="s">
        <v>507</v>
      </c>
    </row>
    <row r="192" spans="1:185" s="140" customFormat="1" ht="17">
      <c r="A192" s="140" t="s">
        <v>162</v>
      </c>
      <c r="B192" s="143" t="s">
        <v>163</v>
      </c>
      <c r="C192" s="140" t="s">
        <v>164</v>
      </c>
      <c r="D192" s="140" t="s">
        <v>165</v>
      </c>
      <c r="E192" s="140">
        <v>2020</v>
      </c>
      <c r="F192" s="140" t="s">
        <v>184</v>
      </c>
      <c r="G192" s="240">
        <v>55891.575670003891</v>
      </c>
      <c r="H192" s="241">
        <f t="shared" ref="H192" si="198">0.0083*G192^(0.9482)</f>
        <v>263.33701263287679</v>
      </c>
      <c r="I192" s="241">
        <f t="shared" si="171"/>
        <v>263.33701263287679</v>
      </c>
      <c r="J192" s="201">
        <v>1531.93368425827</v>
      </c>
      <c r="K192" s="201">
        <v>493.25575362833001</v>
      </c>
      <c r="L192" s="201">
        <v>344.86812937358991</v>
      </c>
      <c r="M192" s="140" t="b">
        <v>1</v>
      </c>
      <c r="N192" s="140">
        <v>1</v>
      </c>
      <c r="O192" s="302" t="s">
        <v>581</v>
      </c>
      <c r="P192" s="140" t="s">
        <v>166</v>
      </c>
      <c r="Q192" s="140" t="s">
        <v>166</v>
      </c>
      <c r="R192" s="140" t="s">
        <v>166</v>
      </c>
      <c r="S192" s="140" t="b">
        <v>1</v>
      </c>
      <c r="T192" s="140" t="b">
        <v>0</v>
      </c>
      <c r="U192" s="140" t="s">
        <v>166</v>
      </c>
      <c r="V192" s="140" t="b">
        <v>0</v>
      </c>
      <c r="W192" s="140" t="b">
        <v>0</v>
      </c>
      <c r="X192" s="140" t="s">
        <v>580</v>
      </c>
      <c r="Y192" s="202" t="s">
        <v>186</v>
      </c>
      <c r="Z192" s="140" t="s">
        <v>184</v>
      </c>
      <c r="AA192" s="242">
        <v>401</v>
      </c>
      <c r="AB192" s="140" t="s">
        <v>166</v>
      </c>
      <c r="AC192" s="140">
        <v>14</v>
      </c>
      <c r="AD192" s="140">
        <v>3</v>
      </c>
      <c r="AE192" s="140">
        <v>98</v>
      </c>
      <c r="AF192" s="140">
        <f t="shared" si="176"/>
        <v>100</v>
      </c>
      <c r="AG192" s="140" t="s">
        <v>166</v>
      </c>
      <c r="AH192" s="243">
        <v>202.49</v>
      </c>
      <c r="AI192" s="140" t="s">
        <v>498</v>
      </c>
      <c r="AJ192" s="140" t="s">
        <v>499</v>
      </c>
      <c r="AK192" s="210">
        <v>47.427500000000002</v>
      </c>
      <c r="AL192" s="210">
        <v>-8.8102999999999998</v>
      </c>
      <c r="AM192" s="244">
        <v>42</v>
      </c>
      <c r="AN192" s="244">
        <v>21</v>
      </c>
      <c r="AO192" s="244">
        <v>-2495</v>
      </c>
      <c r="AP192" s="140">
        <v>-2000</v>
      </c>
      <c r="AQ192" s="140" t="s">
        <v>500</v>
      </c>
      <c r="AR192" s="140" t="s">
        <v>166</v>
      </c>
      <c r="AS192" s="240">
        <v>55.891575670003888</v>
      </c>
      <c r="AT192" s="140" t="s">
        <v>166</v>
      </c>
      <c r="AU192" s="140" t="s">
        <v>166</v>
      </c>
      <c r="AV192" s="140" t="s">
        <v>166</v>
      </c>
      <c r="AW192" s="140" t="s">
        <v>166</v>
      </c>
      <c r="AX192" s="140" t="s">
        <v>501</v>
      </c>
      <c r="AY192" s="140" t="s">
        <v>502</v>
      </c>
      <c r="AZ192" s="215">
        <v>55.889189751625061</v>
      </c>
      <c r="BA192" s="140" t="s">
        <v>166</v>
      </c>
      <c r="BB192" s="140" t="s">
        <v>166</v>
      </c>
      <c r="BC192" s="140" t="s">
        <v>166</v>
      </c>
      <c r="BD192" s="140" t="s">
        <v>166</v>
      </c>
      <c r="BE192" s="140" t="s">
        <v>503</v>
      </c>
      <c r="BF192" s="140" t="s">
        <v>504</v>
      </c>
      <c r="BG192" s="245" t="s">
        <v>505</v>
      </c>
      <c r="BH192" s="207" t="s">
        <v>192</v>
      </c>
      <c r="BI192" s="140" t="s">
        <v>166</v>
      </c>
      <c r="BJ192" s="140" t="s">
        <v>506</v>
      </c>
      <c r="BK192" s="140" t="s">
        <v>226</v>
      </c>
      <c r="BL192" s="140" t="s">
        <v>194</v>
      </c>
      <c r="BM192" s="140" t="s">
        <v>195</v>
      </c>
      <c r="BN192" s="140" t="s">
        <v>466</v>
      </c>
      <c r="BO192" s="140" t="s">
        <v>166</v>
      </c>
      <c r="BP192" s="140" t="s">
        <v>166</v>
      </c>
      <c r="BQ192" s="246">
        <v>14.005933812371696</v>
      </c>
      <c r="BR192" s="140" t="s">
        <v>196</v>
      </c>
      <c r="BS192" s="246">
        <v>0.3506567398229799</v>
      </c>
      <c r="BT192" s="140">
        <v>1</v>
      </c>
      <c r="BU192" s="140" t="s">
        <v>197</v>
      </c>
      <c r="BV192" s="140" t="s">
        <v>166</v>
      </c>
      <c r="BW192" s="140">
        <v>0</v>
      </c>
      <c r="BX192" s="140" t="s">
        <v>197</v>
      </c>
      <c r="BY192" s="140" t="s">
        <v>166</v>
      </c>
      <c r="BZ192" s="140" t="s">
        <v>197</v>
      </c>
      <c r="CA192" s="140" t="s">
        <v>166</v>
      </c>
      <c r="CB192" s="210">
        <f t="shared" si="165"/>
        <v>14.005933812371696</v>
      </c>
      <c r="CC192" s="140" t="s">
        <v>196</v>
      </c>
      <c r="CD192" s="210">
        <f t="shared" si="166"/>
        <v>0.3506567398229799</v>
      </c>
      <c r="CE192" s="140" t="s">
        <v>199</v>
      </c>
      <c r="CF192" s="140" t="s">
        <v>166</v>
      </c>
      <c r="CG192" s="140" t="s">
        <v>474</v>
      </c>
      <c r="CH192" s="140" t="s">
        <v>166</v>
      </c>
      <c r="CI192" s="140" t="s">
        <v>166</v>
      </c>
      <c r="CJ192" s="247">
        <v>35.155693682118319</v>
      </c>
      <c r="CK192" s="140" t="s">
        <v>201</v>
      </c>
      <c r="CL192" s="140">
        <v>2</v>
      </c>
      <c r="CM192" s="140">
        <v>2</v>
      </c>
      <c r="CN192" s="140" t="s">
        <v>166</v>
      </c>
      <c r="CO192" s="253">
        <v>3.9457377846107891</v>
      </c>
      <c r="CP192" s="140" t="s">
        <v>166</v>
      </c>
      <c r="CQ192" s="140" t="s">
        <v>166</v>
      </c>
      <c r="CR192" s="140" t="s">
        <v>166</v>
      </c>
      <c r="CS192" s="249" t="s">
        <v>202</v>
      </c>
      <c r="CT192" s="140" t="s">
        <v>203</v>
      </c>
      <c r="CU192" s="140">
        <v>2.2000000000000002</v>
      </c>
      <c r="CV192" s="140" t="s">
        <v>204</v>
      </c>
      <c r="CW192" s="140" t="s">
        <v>166</v>
      </c>
      <c r="CX192" s="140" t="s">
        <v>166</v>
      </c>
      <c r="CY192" s="140" t="s">
        <v>166</v>
      </c>
      <c r="CZ192" s="140" t="s">
        <v>166</v>
      </c>
      <c r="DA192" s="209" t="s">
        <v>166</v>
      </c>
      <c r="DB192" s="140" t="s">
        <v>166</v>
      </c>
      <c r="DC192" s="140" t="s">
        <v>166</v>
      </c>
      <c r="DD192" s="140" t="s">
        <v>166</v>
      </c>
      <c r="DE192" s="140" t="s">
        <v>166</v>
      </c>
      <c r="DF192" s="140" t="s">
        <v>205</v>
      </c>
      <c r="DG192" s="250">
        <v>35</v>
      </c>
      <c r="DH192" s="250" t="s">
        <v>201</v>
      </c>
      <c r="DI192" s="250">
        <v>1</v>
      </c>
      <c r="DJ192" s="250" t="s">
        <v>206</v>
      </c>
      <c r="DK192" s="250">
        <v>17</v>
      </c>
      <c r="DL192" s="140" t="s">
        <v>166</v>
      </c>
      <c r="DM192" s="140" t="s">
        <v>166</v>
      </c>
      <c r="DN192" s="250" t="s">
        <v>207</v>
      </c>
      <c r="DO192" s="250">
        <v>38</v>
      </c>
      <c r="DP192" s="250" t="s">
        <v>208</v>
      </c>
      <c r="DQ192" s="250">
        <v>3</v>
      </c>
      <c r="DR192" s="250" t="s">
        <v>209</v>
      </c>
      <c r="DS192" s="140" t="s">
        <v>166</v>
      </c>
      <c r="DT192" s="140" t="s">
        <v>166</v>
      </c>
      <c r="DU192" s="140" t="s">
        <v>166</v>
      </c>
      <c r="DV192" s="140" t="s">
        <v>166</v>
      </c>
      <c r="DW192" s="250">
        <v>432.6</v>
      </c>
      <c r="DX192" s="140" t="s">
        <v>166</v>
      </c>
      <c r="DY192" s="140" t="s">
        <v>166</v>
      </c>
      <c r="DZ192" s="140" t="s">
        <v>210</v>
      </c>
      <c r="EA192" s="140" t="s">
        <v>211</v>
      </c>
      <c r="EB192" s="140" t="s">
        <v>212</v>
      </c>
      <c r="EC192" s="140" t="s">
        <v>166</v>
      </c>
      <c r="ED192" s="140" t="s">
        <v>213</v>
      </c>
      <c r="EE192" s="213" t="s">
        <v>214</v>
      </c>
      <c r="EF192" s="213" t="s">
        <v>214</v>
      </c>
      <c r="EG192" s="250">
        <v>1.0271999999999999</v>
      </c>
      <c r="EH192" s="250" t="s">
        <v>215</v>
      </c>
      <c r="EI192" s="250" t="s">
        <v>215</v>
      </c>
      <c r="EJ192" s="250" t="s">
        <v>216</v>
      </c>
      <c r="EK192" s="250" t="s">
        <v>215</v>
      </c>
      <c r="EL192" s="250" t="s">
        <v>215</v>
      </c>
      <c r="EM192" s="250" t="s">
        <v>217</v>
      </c>
      <c r="EN192" s="251" t="s">
        <v>214</v>
      </c>
      <c r="EO192" s="251" t="s">
        <v>214</v>
      </c>
      <c r="EP192" s="251" t="s">
        <v>214</v>
      </c>
      <c r="EQ192" s="251" t="s">
        <v>214</v>
      </c>
      <c r="ER192" s="250"/>
      <c r="ES192" s="250"/>
      <c r="ET192" s="140" t="s">
        <v>218</v>
      </c>
      <c r="EU192" s="250" t="s">
        <v>219</v>
      </c>
      <c r="EV192" s="250" t="s">
        <v>213</v>
      </c>
      <c r="EW192" s="140" t="s">
        <v>166</v>
      </c>
      <c r="EX192" s="140" t="s">
        <v>166</v>
      </c>
      <c r="EY192" s="140" t="s">
        <v>166</v>
      </c>
      <c r="EZ192" s="140" t="s">
        <v>166</v>
      </c>
      <c r="FA192" s="205">
        <v>5.5</v>
      </c>
      <c r="FB192" s="140" t="s">
        <v>220</v>
      </c>
      <c r="FC192" s="205">
        <v>1</v>
      </c>
      <c r="FD192" s="205">
        <v>1</v>
      </c>
      <c r="FE192" s="252">
        <v>7.5819975863316396</v>
      </c>
      <c r="FF192" s="140" t="s">
        <v>221</v>
      </c>
      <c r="FG192" s="252">
        <v>5.5773677018539303E-2</v>
      </c>
      <c r="FH192" s="252">
        <v>5.1135499927250194E-2</v>
      </c>
      <c r="FI192" s="201">
        <v>1531.93368425827</v>
      </c>
      <c r="FK192" s="140" t="s">
        <v>166</v>
      </c>
      <c r="FL192" s="217">
        <f t="shared" si="157"/>
        <v>1531.93368425827</v>
      </c>
      <c r="FM192" s="201">
        <v>493.25575362833001</v>
      </c>
      <c r="FN192" s="201">
        <v>344.86812937358991</v>
      </c>
      <c r="FO192" s="140" t="s">
        <v>222</v>
      </c>
      <c r="FP192" s="140" t="s">
        <v>223</v>
      </c>
      <c r="FQ192" s="217" t="s">
        <v>166</v>
      </c>
      <c r="FR192" s="217" t="s">
        <v>166</v>
      </c>
      <c r="FS192" s="217" t="s">
        <v>166</v>
      </c>
      <c r="FT192" s="217" t="s">
        <v>166</v>
      </c>
      <c r="FU192" s="217" t="s">
        <v>166</v>
      </c>
      <c r="FV192" s="217" t="s">
        <v>166</v>
      </c>
      <c r="FW192" s="217" t="s">
        <v>166</v>
      </c>
      <c r="FX192" s="217" t="s">
        <v>166</v>
      </c>
      <c r="FY192" s="217" t="s">
        <v>166</v>
      </c>
      <c r="FZ192" s="217" t="s">
        <v>166</v>
      </c>
      <c r="GA192" s="217" t="s">
        <v>166</v>
      </c>
      <c r="GB192" s="217" t="s">
        <v>166</v>
      </c>
      <c r="GC192" s="202" t="s">
        <v>507</v>
      </c>
    </row>
    <row r="193" spans="1:191" s="140" customFormat="1" ht="17">
      <c r="A193" s="140" t="s">
        <v>162</v>
      </c>
      <c r="B193" s="143" t="s">
        <v>163</v>
      </c>
      <c r="C193" s="140" t="s">
        <v>164</v>
      </c>
      <c r="D193" s="140" t="s">
        <v>165</v>
      </c>
      <c r="E193" s="140">
        <v>2020</v>
      </c>
      <c r="F193" s="140" t="s">
        <v>184</v>
      </c>
      <c r="G193" s="240">
        <v>55901.636981248848</v>
      </c>
      <c r="H193" s="241">
        <f t="shared" ref="H193" si="199">0.0083*G193^(0.9482)</f>
        <v>263.38196142870805</v>
      </c>
      <c r="I193" s="241">
        <f t="shared" si="171"/>
        <v>263.38196142870805</v>
      </c>
      <c r="J193" s="201">
        <v>1968.01449647965</v>
      </c>
      <c r="K193" s="201">
        <v>644.01547496900002</v>
      </c>
      <c r="L193" s="201">
        <v>519.80190771958019</v>
      </c>
      <c r="M193" s="140" t="b">
        <v>1</v>
      </c>
      <c r="N193" s="140">
        <v>1</v>
      </c>
      <c r="O193" s="302" t="s">
        <v>581</v>
      </c>
      <c r="P193" s="140" t="s">
        <v>166</v>
      </c>
      <c r="Q193" s="140" t="s">
        <v>166</v>
      </c>
      <c r="R193" s="140" t="s">
        <v>166</v>
      </c>
      <c r="S193" s="140" t="b">
        <v>1</v>
      </c>
      <c r="T193" s="140" t="b">
        <v>0</v>
      </c>
      <c r="U193" s="140" t="s">
        <v>166</v>
      </c>
      <c r="V193" s="140" t="b">
        <v>0</v>
      </c>
      <c r="W193" s="140" t="b">
        <v>0</v>
      </c>
      <c r="X193" s="140" t="s">
        <v>580</v>
      </c>
      <c r="Y193" s="202" t="s">
        <v>186</v>
      </c>
      <c r="Z193" s="140" t="s">
        <v>184</v>
      </c>
      <c r="AA193" s="242">
        <v>401</v>
      </c>
      <c r="AB193" s="140" t="s">
        <v>166</v>
      </c>
      <c r="AC193" s="140">
        <v>14</v>
      </c>
      <c r="AD193" s="140">
        <v>3</v>
      </c>
      <c r="AE193" s="140">
        <v>101</v>
      </c>
      <c r="AF193" s="140">
        <v>104</v>
      </c>
      <c r="AG193" s="140" t="s">
        <v>166</v>
      </c>
      <c r="AH193" s="243">
        <v>202.52500000000001</v>
      </c>
      <c r="AI193" s="140" t="s">
        <v>498</v>
      </c>
      <c r="AJ193" s="140" t="s">
        <v>499</v>
      </c>
      <c r="AK193" s="210">
        <v>47.427500000000002</v>
      </c>
      <c r="AL193" s="210">
        <v>-8.8102999999999998</v>
      </c>
      <c r="AM193" s="244">
        <v>42</v>
      </c>
      <c r="AN193" s="244">
        <v>21</v>
      </c>
      <c r="AO193" s="244">
        <v>-2495</v>
      </c>
      <c r="AP193" s="140">
        <v>-2000</v>
      </c>
      <c r="AQ193" s="140" t="s">
        <v>500</v>
      </c>
      <c r="AR193" s="140" t="s">
        <v>166</v>
      </c>
      <c r="AS193" s="240">
        <v>55.901636981248849</v>
      </c>
      <c r="AT193" s="140" t="s">
        <v>166</v>
      </c>
      <c r="AU193" s="140" t="s">
        <v>166</v>
      </c>
      <c r="AV193" s="140" t="s">
        <v>166</v>
      </c>
      <c r="AW193" s="140" t="s">
        <v>166</v>
      </c>
      <c r="AX193" s="140" t="s">
        <v>501</v>
      </c>
      <c r="AY193" s="140" t="s">
        <v>502</v>
      </c>
      <c r="AZ193" s="215">
        <v>55.907321283817289</v>
      </c>
      <c r="BA193" s="140" t="s">
        <v>166</v>
      </c>
      <c r="BB193" s="140" t="s">
        <v>166</v>
      </c>
      <c r="BC193" s="140" t="s">
        <v>166</v>
      </c>
      <c r="BD193" s="140" t="s">
        <v>166</v>
      </c>
      <c r="BE193" s="140" t="s">
        <v>503</v>
      </c>
      <c r="BF193" s="140" t="s">
        <v>504</v>
      </c>
      <c r="BG193" s="245" t="s">
        <v>505</v>
      </c>
      <c r="BH193" s="207" t="s">
        <v>192</v>
      </c>
      <c r="BI193" s="140" t="s">
        <v>166</v>
      </c>
      <c r="BJ193" s="140" t="s">
        <v>506</v>
      </c>
      <c r="BK193" s="140" t="s">
        <v>226</v>
      </c>
      <c r="BL193" s="140" t="s">
        <v>194</v>
      </c>
      <c r="BM193" s="140" t="s">
        <v>195</v>
      </c>
      <c r="BN193" s="140" t="s">
        <v>466</v>
      </c>
      <c r="BO193" s="140" t="s">
        <v>166</v>
      </c>
      <c r="BP193" s="140" t="s">
        <v>166</v>
      </c>
      <c r="BQ193" s="246">
        <v>13.668268425583662</v>
      </c>
      <c r="BR193" s="140" t="s">
        <v>196</v>
      </c>
      <c r="BS193" s="246">
        <v>0.35410465415935577</v>
      </c>
      <c r="BT193" s="140">
        <v>1</v>
      </c>
      <c r="BU193" s="140" t="s">
        <v>197</v>
      </c>
      <c r="BV193" s="140" t="s">
        <v>166</v>
      </c>
      <c r="BW193" s="140">
        <v>0</v>
      </c>
      <c r="BX193" s="140" t="s">
        <v>197</v>
      </c>
      <c r="BY193" s="140" t="s">
        <v>166</v>
      </c>
      <c r="BZ193" s="140" t="s">
        <v>197</v>
      </c>
      <c r="CA193" s="140" t="s">
        <v>166</v>
      </c>
      <c r="CB193" s="210">
        <f t="shared" si="165"/>
        <v>13.668268425583662</v>
      </c>
      <c r="CC193" s="140" t="s">
        <v>196</v>
      </c>
      <c r="CD193" s="210">
        <f t="shared" si="166"/>
        <v>0.35410465415935577</v>
      </c>
      <c r="CE193" s="140" t="s">
        <v>199</v>
      </c>
      <c r="CF193" s="140" t="s">
        <v>166</v>
      </c>
      <c r="CG193" s="140" t="s">
        <v>474</v>
      </c>
      <c r="CH193" s="140" t="s">
        <v>166</v>
      </c>
      <c r="CI193" s="140" t="s">
        <v>166</v>
      </c>
      <c r="CJ193" s="247">
        <v>33.810868605795463</v>
      </c>
      <c r="CK193" s="140" t="s">
        <v>201</v>
      </c>
      <c r="CL193" s="140">
        <v>2</v>
      </c>
      <c r="CM193" s="140">
        <v>2</v>
      </c>
      <c r="CN193" s="140" t="s">
        <v>166</v>
      </c>
      <c r="CO193" s="253">
        <v>3.6577062154566304</v>
      </c>
      <c r="CP193" s="140" t="s">
        <v>166</v>
      </c>
      <c r="CQ193" s="140" t="s">
        <v>166</v>
      </c>
      <c r="CR193" s="140" t="s">
        <v>166</v>
      </c>
      <c r="CS193" s="249" t="s">
        <v>202</v>
      </c>
      <c r="CT193" s="140" t="s">
        <v>203</v>
      </c>
      <c r="CU193" s="140">
        <v>2.2000000000000002</v>
      </c>
      <c r="CV193" s="140" t="s">
        <v>204</v>
      </c>
      <c r="CW193" s="140" t="s">
        <v>166</v>
      </c>
      <c r="CX193" s="140" t="s">
        <v>166</v>
      </c>
      <c r="CY193" s="140" t="s">
        <v>166</v>
      </c>
      <c r="CZ193" s="140" t="s">
        <v>166</v>
      </c>
      <c r="DA193" s="209" t="s">
        <v>166</v>
      </c>
      <c r="DB193" s="140" t="s">
        <v>166</v>
      </c>
      <c r="DC193" s="140" t="s">
        <v>166</v>
      </c>
      <c r="DD193" s="140" t="s">
        <v>166</v>
      </c>
      <c r="DE193" s="140" t="s">
        <v>166</v>
      </c>
      <c r="DF193" s="140" t="s">
        <v>205</v>
      </c>
      <c r="DG193" s="250">
        <v>35</v>
      </c>
      <c r="DH193" s="250" t="s">
        <v>201</v>
      </c>
      <c r="DI193" s="250">
        <v>1</v>
      </c>
      <c r="DJ193" s="250" t="s">
        <v>206</v>
      </c>
      <c r="DK193" s="250">
        <v>17</v>
      </c>
      <c r="DL193" s="140" t="s">
        <v>166</v>
      </c>
      <c r="DM193" s="140" t="s">
        <v>166</v>
      </c>
      <c r="DN193" s="250" t="s">
        <v>207</v>
      </c>
      <c r="DO193" s="250">
        <v>38</v>
      </c>
      <c r="DP193" s="250" t="s">
        <v>208</v>
      </c>
      <c r="DQ193" s="250">
        <v>3</v>
      </c>
      <c r="DR193" s="250" t="s">
        <v>209</v>
      </c>
      <c r="DS193" s="140" t="s">
        <v>166</v>
      </c>
      <c r="DT193" s="140" t="s">
        <v>166</v>
      </c>
      <c r="DU193" s="140" t="s">
        <v>166</v>
      </c>
      <c r="DV193" s="140" t="s">
        <v>166</v>
      </c>
      <c r="DW193" s="250">
        <v>432.6</v>
      </c>
      <c r="DX193" s="140" t="s">
        <v>166</v>
      </c>
      <c r="DY193" s="140" t="s">
        <v>166</v>
      </c>
      <c r="DZ193" s="140" t="s">
        <v>210</v>
      </c>
      <c r="EA193" s="140" t="s">
        <v>211</v>
      </c>
      <c r="EB193" s="140" t="s">
        <v>212</v>
      </c>
      <c r="EC193" s="140" t="s">
        <v>166</v>
      </c>
      <c r="ED193" s="140" t="s">
        <v>213</v>
      </c>
      <c r="EE193" s="213" t="s">
        <v>214</v>
      </c>
      <c r="EF193" s="213" t="s">
        <v>214</v>
      </c>
      <c r="EG193" s="250">
        <v>1.0271999999999999</v>
      </c>
      <c r="EH193" s="250" t="s">
        <v>215</v>
      </c>
      <c r="EI193" s="250" t="s">
        <v>215</v>
      </c>
      <c r="EJ193" s="250" t="s">
        <v>216</v>
      </c>
      <c r="EK193" s="250" t="s">
        <v>215</v>
      </c>
      <c r="EL193" s="250" t="s">
        <v>215</v>
      </c>
      <c r="EM193" s="250" t="s">
        <v>217</v>
      </c>
      <c r="EN193" s="251" t="s">
        <v>214</v>
      </c>
      <c r="EO193" s="251" t="s">
        <v>214</v>
      </c>
      <c r="EP193" s="251" t="s">
        <v>214</v>
      </c>
      <c r="EQ193" s="251" t="s">
        <v>214</v>
      </c>
      <c r="ER193" s="250"/>
      <c r="ES193" s="250"/>
      <c r="ET193" s="140" t="s">
        <v>218</v>
      </c>
      <c r="EU193" s="250" t="s">
        <v>219</v>
      </c>
      <c r="EV193" s="250" t="s">
        <v>213</v>
      </c>
      <c r="EW193" s="140" t="s">
        <v>166</v>
      </c>
      <c r="EX193" s="140" t="s">
        <v>166</v>
      </c>
      <c r="EY193" s="140" t="s">
        <v>166</v>
      </c>
      <c r="EZ193" s="140" t="s">
        <v>166</v>
      </c>
      <c r="FA193" s="205">
        <v>5.5</v>
      </c>
      <c r="FB193" s="140" t="s">
        <v>220</v>
      </c>
      <c r="FC193" s="205">
        <v>1</v>
      </c>
      <c r="FD193" s="205">
        <v>1</v>
      </c>
      <c r="FE193" s="252">
        <v>7.54003205979439</v>
      </c>
      <c r="FF193" s="140" t="s">
        <v>221</v>
      </c>
      <c r="FG193" s="252">
        <v>5.9215524965470223E-2</v>
      </c>
      <c r="FH193" s="252">
        <v>5.5795762438600072E-2</v>
      </c>
      <c r="FI193" s="201">
        <v>1968.01449647965</v>
      </c>
      <c r="FK193" s="140" t="s">
        <v>166</v>
      </c>
      <c r="FL193" s="217">
        <f t="shared" si="157"/>
        <v>1968.01449647965</v>
      </c>
      <c r="FM193" s="201">
        <v>644.01547496900002</v>
      </c>
      <c r="FN193" s="201">
        <v>519.80190771958019</v>
      </c>
      <c r="FO193" s="140" t="s">
        <v>222</v>
      </c>
      <c r="FP193" s="140" t="s">
        <v>223</v>
      </c>
      <c r="FQ193" s="217" t="s">
        <v>166</v>
      </c>
      <c r="FR193" s="217" t="s">
        <v>166</v>
      </c>
      <c r="FS193" s="217" t="s">
        <v>166</v>
      </c>
      <c r="FT193" s="217" t="s">
        <v>166</v>
      </c>
      <c r="FU193" s="217" t="s">
        <v>166</v>
      </c>
      <c r="FV193" s="217" t="s">
        <v>166</v>
      </c>
      <c r="FW193" s="217" t="s">
        <v>166</v>
      </c>
      <c r="FX193" s="217" t="s">
        <v>166</v>
      </c>
      <c r="FY193" s="217" t="s">
        <v>166</v>
      </c>
      <c r="FZ193" s="217" t="s">
        <v>166</v>
      </c>
      <c r="GA193" s="217" t="s">
        <v>166</v>
      </c>
      <c r="GB193" s="217" t="s">
        <v>166</v>
      </c>
      <c r="GC193" s="202" t="s">
        <v>507</v>
      </c>
    </row>
    <row r="194" spans="1:191" s="140" customFormat="1" ht="17">
      <c r="A194" s="140" t="s">
        <v>162</v>
      </c>
      <c r="B194" s="143" t="s">
        <v>163</v>
      </c>
      <c r="C194" s="140" t="s">
        <v>164</v>
      </c>
      <c r="D194" s="140" t="s">
        <v>165</v>
      </c>
      <c r="E194" s="140">
        <v>2020</v>
      </c>
      <c r="F194" s="140" t="s">
        <v>184</v>
      </c>
      <c r="G194" s="240">
        <v>55906.725334167473</v>
      </c>
      <c r="H194" s="241">
        <f t="shared" ref="H194" si="200">0.0083*G194^(0.9482)</f>
        <v>263.40469342908904</v>
      </c>
      <c r="I194" s="241">
        <f t="shared" si="171"/>
        <v>263.40469342908904</v>
      </c>
      <c r="J194" s="201">
        <v>817.94312061251003</v>
      </c>
      <c r="K194" s="201">
        <v>240.98085763935001</v>
      </c>
      <c r="L194" s="201">
        <v>182.31507001486307</v>
      </c>
      <c r="M194" s="140" t="b">
        <v>1</v>
      </c>
      <c r="N194" s="140">
        <v>1</v>
      </c>
      <c r="O194" s="302" t="s">
        <v>581</v>
      </c>
      <c r="P194" s="140" t="s">
        <v>166</v>
      </c>
      <c r="Q194" s="140" t="s">
        <v>166</v>
      </c>
      <c r="R194" s="140" t="s">
        <v>166</v>
      </c>
      <c r="S194" s="140" t="b">
        <v>1</v>
      </c>
      <c r="T194" s="140" t="b">
        <v>0</v>
      </c>
      <c r="U194" s="140" t="s">
        <v>166</v>
      </c>
      <c r="V194" s="140" t="b">
        <v>0</v>
      </c>
      <c r="W194" s="140" t="b">
        <v>0</v>
      </c>
      <c r="X194" s="140" t="s">
        <v>580</v>
      </c>
      <c r="Y194" s="202" t="s">
        <v>186</v>
      </c>
      <c r="Z194" s="140" t="s">
        <v>184</v>
      </c>
      <c r="AA194" s="242">
        <v>401</v>
      </c>
      <c r="AB194" s="140" t="s">
        <v>166</v>
      </c>
      <c r="AC194" s="140">
        <v>14</v>
      </c>
      <c r="AD194" s="140">
        <v>3</v>
      </c>
      <c r="AE194" s="140">
        <v>103</v>
      </c>
      <c r="AF194" s="140">
        <f t="shared" si="176"/>
        <v>105</v>
      </c>
      <c r="AG194" s="140" t="s">
        <v>166</v>
      </c>
      <c r="AH194" s="243">
        <v>202.54499999999999</v>
      </c>
      <c r="AI194" s="140" t="s">
        <v>498</v>
      </c>
      <c r="AJ194" s="140" t="s">
        <v>499</v>
      </c>
      <c r="AK194" s="210">
        <v>47.427500000000002</v>
      </c>
      <c r="AL194" s="210">
        <v>-8.8102999999999998</v>
      </c>
      <c r="AM194" s="244">
        <v>42</v>
      </c>
      <c r="AN194" s="244">
        <v>21</v>
      </c>
      <c r="AO194" s="244">
        <v>-2495</v>
      </c>
      <c r="AP194" s="140">
        <v>-2000</v>
      </c>
      <c r="AQ194" s="140" t="s">
        <v>500</v>
      </c>
      <c r="AR194" s="140" t="s">
        <v>166</v>
      </c>
      <c r="AS194" s="240">
        <v>55.906725334167476</v>
      </c>
      <c r="AT194" s="140" t="s">
        <v>166</v>
      </c>
      <c r="AU194" s="140" t="s">
        <v>166</v>
      </c>
      <c r="AV194" s="140" t="s">
        <v>166</v>
      </c>
      <c r="AW194" s="140" t="s">
        <v>166</v>
      </c>
      <c r="AX194" s="140" t="s">
        <v>501</v>
      </c>
      <c r="AY194" s="140" t="s">
        <v>502</v>
      </c>
      <c r="AZ194" s="215">
        <v>55.917564319610591</v>
      </c>
      <c r="BA194" s="140" t="s">
        <v>166</v>
      </c>
      <c r="BB194" s="140" t="s">
        <v>166</v>
      </c>
      <c r="BC194" s="140" t="s">
        <v>166</v>
      </c>
      <c r="BD194" s="140" t="s">
        <v>166</v>
      </c>
      <c r="BE194" s="140" t="s">
        <v>503</v>
      </c>
      <c r="BF194" s="140" t="s">
        <v>504</v>
      </c>
      <c r="BG194" s="245" t="s">
        <v>505</v>
      </c>
      <c r="BH194" s="207" t="s">
        <v>192</v>
      </c>
      <c r="BI194" s="140" t="s">
        <v>166</v>
      </c>
      <c r="BJ194" s="140" t="s">
        <v>506</v>
      </c>
      <c r="BK194" s="140" t="s">
        <v>226</v>
      </c>
      <c r="BL194" s="140" t="s">
        <v>194</v>
      </c>
      <c r="BM194" s="140" t="s">
        <v>195</v>
      </c>
      <c r="BN194" s="140" t="s">
        <v>466</v>
      </c>
      <c r="BO194" s="140" t="s">
        <v>166</v>
      </c>
      <c r="BP194" s="140" t="s">
        <v>166</v>
      </c>
      <c r="BQ194" s="246">
        <v>14.917664532265619</v>
      </c>
      <c r="BR194" s="140" t="s">
        <v>196</v>
      </c>
      <c r="BS194" s="246">
        <v>0.40392267113513936</v>
      </c>
      <c r="BT194" s="140">
        <v>1</v>
      </c>
      <c r="BU194" s="140" t="s">
        <v>197</v>
      </c>
      <c r="BV194" s="140" t="s">
        <v>166</v>
      </c>
      <c r="BW194" s="140">
        <v>0</v>
      </c>
      <c r="BX194" s="140" t="s">
        <v>197</v>
      </c>
      <c r="BY194" s="140" t="s">
        <v>166</v>
      </c>
      <c r="BZ194" s="140" t="s">
        <v>197</v>
      </c>
      <c r="CA194" s="140" t="s">
        <v>166</v>
      </c>
      <c r="CB194" s="210">
        <f t="shared" si="165"/>
        <v>14.917664532265619</v>
      </c>
      <c r="CC194" s="140" t="s">
        <v>196</v>
      </c>
      <c r="CD194" s="210">
        <f t="shared" si="166"/>
        <v>0.40392267113513936</v>
      </c>
      <c r="CE194" s="140" t="s">
        <v>199</v>
      </c>
      <c r="CF194" s="140" t="s">
        <v>166</v>
      </c>
      <c r="CG194" s="140" t="s">
        <v>474</v>
      </c>
      <c r="CH194" s="140" t="s">
        <v>166</v>
      </c>
      <c r="CI194" s="140" t="s">
        <v>166</v>
      </c>
      <c r="CJ194" s="247">
        <v>32.878590695851763</v>
      </c>
      <c r="CK194" s="140" t="s">
        <v>201</v>
      </c>
      <c r="CL194" s="140">
        <v>2</v>
      </c>
      <c r="CM194" s="140">
        <v>2</v>
      </c>
      <c r="CN194" s="140" t="s">
        <v>166</v>
      </c>
      <c r="CO194" s="248">
        <v>3.4704675368939197</v>
      </c>
      <c r="CP194" s="140" t="s">
        <v>166</v>
      </c>
      <c r="CQ194" s="140" t="s">
        <v>166</v>
      </c>
      <c r="CR194" s="140" t="s">
        <v>166</v>
      </c>
      <c r="CS194" s="249" t="s">
        <v>202</v>
      </c>
      <c r="CT194" s="140" t="s">
        <v>203</v>
      </c>
      <c r="CU194" s="140">
        <v>2.2000000000000002</v>
      </c>
      <c r="CV194" s="140" t="s">
        <v>204</v>
      </c>
      <c r="CW194" s="140" t="s">
        <v>166</v>
      </c>
      <c r="CX194" s="140" t="s">
        <v>166</v>
      </c>
      <c r="CY194" s="140" t="s">
        <v>166</v>
      </c>
      <c r="CZ194" s="140" t="s">
        <v>166</v>
      </c>
      <c r="DA194" s="209" t="s">
        <v>166</v>
      </c>
      <c r="DB194" s="140" t="s">
        <v>166</v>
      </c>
      <c r="DC194" s="140" t="s">
        <v>166</v>
      </c>
      <c r="DD194" s="140" t="s">
        <v>166</v>
      </c>
      <c r="DE194" s="140" t="s">
        <v>166</v>
      </c>
      <c r="DF194" s="140" t="s">
        <v>205</v>
      </c>
      <c r="DG194" s="250">
        <v>35</v>
      </c>
      <c r="DH194" s="250" t="s">
        <v>201</v>
      </c>
      <c r="DI194" s="250">
        <v>1</v>
      </c>
      <c r="DJ194" s="250" t="s">
        <v>206</v>
      </c>
      <c r="DK194" s="250">
        <v>17</v>
      </c>
      <c r="DL194" s="140" t="s">
        <v>166</v>
      </c>
      <c r="DM194" s="140" t="s">
        <v>166</v>
      </c>
      <c r="DN194" s="250" t="s">
        <v>207</v>
      </c>
      <c r="DO194" s="250">
        <v>38</v>
      </c>
      <c r="DP194" s="250" t="s">
        <v>208</v>
      </c>
      <c r="DQ194" s="250">
        <v>3</v>
      </c>
      <c r="DR194" s="250" t="s">
        <v>209</v>
      </c>
      <c r="DS194" s="140" t="s">
        <v>166</v>
      </c>
      <c r="DT194" s="140" t="s">
        <v>166</v>
      </c>
      <c r="DU194" s="140" t="s">
        <v>166</v>
      </c>
      <c r="DV194" s="140" t="s">
        <v>166</v>
      </c>
      <c r="DW194" s="250">
        <v>432.6</v>
      </c>
      <c r="DX194" s="140" t="s">
        <v>166</v>
      </c>
      <c r="DY194" s="140" t="s">
        <v>166</v>
      </c>
      <c r="DZ194" s="140" t="s">
        <v>210</v>
      </c>
      <c r="EA194" s="140" t="s">
        <v>211</v>
      </c>
      <c r="EB194" s="140" t="s">
        <v>212</v>
      </c>
      <c r="EC194" s="140" t="s">
        <v>166</v>
      </c>
      <c r="ED194" s="140" t="s">
        <v>213</v>
      </c>
      <c r="EE194" s="213" t="s">
        <v>214</v>
      </c>
      <c r="EF194" s="213" t="s">
        <v>214</v>
      </c>
      <c r="EG194" s="250">
        <v>1.0271999999999999</v>
      </c>
      <c r="EH194" s="250" t="s">
        <v>215</v>
      </c>
      <c r="EI194" s="250" t="s">
        <v>215</v>
      </c>
      <c r="EJ194" s="250" t="s">
        <v>216</v>
      </c>
      <c r="EK194" s="250" t="s">
        <v>215</v>
      </c>
      <c r="EL194" s="250" t="s">
        <v>215</v>
      </c>
      <c r="EM194" s="250" t="s">
        <v>217</v>
      </c>
      <c r="EN194" s="251" t="s">
        <v>214</v>
      </c>
      <c r="EO194" s="251" t="s">
        <v>214</v>
      </c>
      <c r="EP194" s="251" t="s">
        <v>214</v>
      </c>
      <c r="EQ194" s="251" t="s">
        <v>214</v>
      </c>
      <c r="ER194" s="250"/>
      <c r="ES194" s="250"/>
      <c r="ET194" s="140" t="s">
        <v>218</v>
      </c>
      <c r="EU194" s="250" t="s">
        <v>219</v>
      </c>
      <c r="EV194" s="250" t="s">
        <v>213</v>
      </c>
      <c r="EW194" s="140" t="s">
        <v>166</v>
      </c>
      <c r="EX194" s="140" t="s">
        <v>166</v>
      </c>
      <c r="EY194" s="140" t="s">
        <v>166</v>
      </c>
      <c r="EZ194" s="140" t="s">
        <v>166</v>
      </c>
      <c r="FA194" s="205">
        <v>5.5</v>
      </c>
      <c r="FB194" s="140" t="s">
        <v>220</v>
      </c>
      <c r="FC194" s="205">
        <v>1</v>
      </c>
      <c r="FD194" s="205">
        <v>1</v>
      </c>
      <c r="FE194" s="252">
        <v>7.7363468291948196</v>
      </c>
      <c r="FF194" s="140" t="s">
        <v>221</v>
      </c>
      <c r="FG194" s="252">
        <v>4.856911055775992E-2</v>
      </c>
      <c r="FH194" s="252">
        <v>4.6291485537740762E-2</v>
      </c>
      <c r="FI194" s="201">
        <v>817.94312061251003</v>
      </c>
      <c r="FK194" s="140" t="s">
        <v>166</v>
      </c>
      <c r="FL194" s="217">
        <f t="shared" si="157"/>
        <v>817.94312061251003</v>
      </c>
      <c r="FM194" s="201">
        <v>240.98085763935001</v>
      </c>
      <c r="FN194" s="201">
        <v>182.31507001486307</v>
      </c>
      <c r="FO194" s="140" t="s">
        <v>222</v>
      </c>
      <c r="FP194" s="140" t="s">
        <v>223</v>
      </c>
      <c r="FQ194" s="217" t="s">
        <v>166</v>
      </c>
      <c r="FR194" s="217" t="s">
        <v>166</v>
      </c>
      <c r="FS194" s="217" t="s">
        <v>166</v>
      </c>
      <c r="FT194" s="217" t="s">
        <v>166</v>
      </c>
      <c r="FU194" s="217" t="s">
        <v>166</v>
      </c>
      <c r="FV194" s="217" t="s">
        <v>166</v>
      </c>
      <c r="FW194" s="217" t="s">
        <v>166</v>
      </c>
      <c r="FX194" s="217" t="s">
        <v>166</v>
      </c>
      <c r="FY194" s="217" t="s">
        <v>166</v>
      </c>
      <c r="FZ194" s="217" t="s">
        <v>166</v>
      </c>
      <c r="GA194" s="217" t="s">
        <v>166</v>
      </c>
      <c r="GB194" s="217" t="s">
        <v>166</v>
      </c>
      <c r="GC194" s="202" t="s">
        <v>507</v>
      </c>
    </row>
    <row r="195" spans="1:191" s="140" customFormat="1" ht="17">
      <c r="A195" s="140" t="s">
        <v>162</v>
      </c>
      <c r="B195" s="143" t="s">
        <v>163</v>
      </c>
      <c r="C195" s="140" t="s">
        <v>164</v>
      </c>
      <c r="D195" s="140" t="s">
        <v>165</v>
      </c>
      <c r="E195" s="140">
        <v>2020</v>
      </c>
      <c r="F195" s="140" t="s">
        <v>184</v>
      </c>
      <c r="G195" s="240">
        <v>55919.779434204094</v>
      </c>
      <c r="H195" s="241">
        <f t="shared" ref="H195" si="201">0.0083*G195^(0.9482)</f>
        <v>263.46301157599601</v>
      </c>
      <c r="I195" s="241">
        <f t="shared" si="171"/>
        <v>263.46301157599601</v>
      </c>
      <c r="J195" s="201">
        <v>797.70314856717391</v>
      </c>
      <c r="K195" s="201">
        <v>451.4592098721962</v>
      </c>
      <c r="L195" s="201">
        <v>246.88877155190585</v>
      </c>
      <c r="M195" s="140" t="b">
        <v>1</v>
      </c>
      <c r="N195" s="140">
        <v>1</v>
      </c>
      <c r="O195" s="302" t="s">
        <v>581</v>
      </c>
      <c r="P195" s="140" t="s">
        <v>166</v>
      </c>
      <c r="Q195" s="140" t="s">
        <v>166</v>
      </c>
      <c r="R195" s="140" t="s">
        <v>166</v>
      </c>
      <c r="S195" s="140" t="b">
        <v>1</v>
      </c>
      <c r="T195" s="140" t="b">
        <v>0</v>
      </c>
      <c r="U195" s="140" t="s">
        <v>166</v>
      </c>
      <c r="V195" s="140" t="b">
        <v>0</v>
      </c>
      <c r="W195" s="140" t="b">
        <v>0</v>
      </c>
      <c r="X195" s="140" t="s">
        <v>580</v>
      </c>
      <c r="Y195" s="202" t="s">
        <v>186</v>
      </c>
      <c r="Z195" s="140" t="s">
        <v>184</v>
      </c>
      <c r="AA195" s="242">
        <v>401</v>
      </c>
      <c r="AB195" s="140" t="s">
        <v>166</v>
      </c>
      <c r="AC195" s="140">
        <v>14</v>
      </c>
      <c r="AD195" s="140">
        <v>3</v>
      </c>
      <c r="AE195" s="140">
        <v>112</v>
      </c>
      <c r="AF195" s="140">
        <f t="shared" si="176"/>
        <v>114</v>
      </c>
      <c r="AG195" s="140" t="s">
        <v>166</v>
      </c>
      <c r="AH195" s="243">
        <v>202.63</v>
      </c>
      <c r="AI195" s="140" t="s">
        <v>498</v>
      </c>
      <c r="AJ195" s="140" t="s">
        <v>499</v>
      </c>
      <c r="AK195" s="210">
        <v>47.427500000000002</v>
      </c>
      <c r="AL195" s="210">
        <v>-8.8102999999999998</v>
      </c>
      <c r="AM195" s="244">
        <v>42</v>
      </c>
      <c r="AN195" s="244">
        <v>21</v>
      </c>
      <c r="AO195" s="244">
        <v>-2495</v>
      </c>
      <c r="AP195" s="140">
        <v>-2000</v>
      </c>
      <c r="AQ195" s="140" t="s">
        <v>500</v>
      </c>
      <c r="AR195" s="140" t="s">
        <v>166</v>
      </c>
      <c r="AS195" s="240">
        <v>55.919779434204095</v>
      </c>
      <c r="AT195" s="140" t="s">
        <v>166</v>
      </c>
      <c r="AU195" s="140" t="s">
        <v>166</v>
      </c>
      <c r="AV195" s="140" t="s">
        <v>166</v>
      </c>
      <c r="AW195" s="140" t="s">
        <v>166</v>
      </c>
      <c r="AX195" s="140" t="s">
        <v>501</v>
      </c>
      <c r="AY195" s="140" t="s">
        <v>502</v>
      </c>
      <c r="AZ195" s="215">
        <v>55.94384413909912</v>
      </c>
      <c r="BA195" s="140" t="s">
        <v>166</v>
      </c>
      <c r="BB195" s="140" t="s">
        <v>166</v>
      </c>
      <c r="BC195" s="140" t="s">
        <v>166</v>
      </c>
      <c r="BD195" s="140" t="s">
        <v>166</v>
      </c>
      <c r="BE195" s="140" t="s">
        <v>503</v>
      </c>
      <c r="BF195" s="140" t="s">
        <v>504</v>
      </c>
      <c r="BG195" s="245" t="s">
        <v>505</v>
      </c>
      <c r="BH195" s="207" t="s">
        <v>192</v>
      </c>
      <c r="BI195" s="140" t="s">
        <v>166</v>
      </c>
      <c r="BJ195" s="140" t="s">
        <v>506</v>
      </c>
      <c r="BK195" s="140" t="s">
        <v>226</v>
      </c>
      <c r="BL195" s="140" t="s">
        <v>194</v>
      </c>
      <c r="BM195" s="140" t="s">
        <v>195</v>
      </c>
      <c r="BN195" s="140" t="s">
        <v>466</v>
      </c>
      <c r="BO195" s="140" t="s">
        <v>166</v>
      </c>
      <c r="BP195" s="140" t="s">
        <v>166</v>
      </c>
      <c r="BQ195" s="246">
        <v>14.91418524524768</v>
      </c>
      <c r="BR195" s="140" t="s">
        <v>196</v>
      </c>
      <c r="BS195" s="246">
        <v>0.75129570252051159</v>
      </c>
      <c r="BT195" s="140">
        <v>1</v>
      </c>
      <c r="BU195" s="140" t="s">
        <v>197</v>
      </c>
      <c r="BV195" s="140" t="s">
        <v>166</v>
      </c>
      <c r="BW195" s="140">
        <v>0</v>
      </c>
      <c r="BX195" s="140" t="s">
        <v>197</v>
      </c>
      <c r="BY195" s="140" t="s">
        <v>166</v>
      </c>
      <c r="BZ195" s="140" t="s">
        <v>197</v>
      </c>
      <c r="CA195" s="140" t="s">
        <v>166</v>
      </c>
      <c r="CB195" s="210">
        <f t="shared" si="165"/>
        <v>14.91418524524768</v>
      </c>
      <c r="CC195" s="140" t="s">
        <v>196</v>
      </c>
      <c r="CD195" s="210">
        <f t="shared" si="166"/>
        <v>0.75129570252051159</v>
      </c>
      <c r="CE195" s="140" t="s">
        <v>199</v>
      </c>
      <c r="CF195" s="140" t="s">
        <v>166</v>
      </c>
      <c r="CG195" s="140" t="s">
        <v>474</v>
      </c>
      <c r="CH195" s="140" t="s">
        <v>166</v>
      </c>
      <c r="CI195" s="140" t="s">
        <v>166</v>
      </c>
      <c r="CJ195" s="247">
        <v>32.207022872819067</v>
      </c>
      <c r="CK195" s="140" t="s">
        <v>201</v>
      </c>
      <c r="CL195" s="140">
        <v>2</v>
      </c>
      <c r="CM195" s="140">
        <v>2</v>
      </c>
      <c r="CN195" s="140" t="s">
        <v>166</v>
      </c>
      <c r="CO195" s="248">
        <v>3.3415576914728224</v>
      </c>
      <c r="CP195" s="140" t="s">
        <v>166</v>
      </c>
      <c r="CQ195" s="140" t="s">
        <v>166</v>
      </c>
      <c r="CR195" s="140" t="s">
        <v>166</v>
      </c>
      <c r="CS195" s="249" t="s">
        <v>202</v>
      </c>
      <c r="CT195" s="140" t="s">
        <v>203</v>
      </c>
      <c r="CU195" s="140">
        <v>2.2000000000000002</v>
      </c>
      <c r="CV195" s="140" t="s">
        <v>204</v>
      </c>
      <c r="CW195" s="140" t="s">
        <v>166</v>
      </c>
      <c r="CX195" s="140" t="s">
        <v>166</v>
      </c>
      <c r="CY195" s="140" t="s">
        <v>166</v>
      </c>
      <c r="CZ195" s="140" t="s">
        <v>166</v>
      </c>
      <c r="DA195" s="209" t="s">
        <v>166</v>
      </c>
      <c r="DB195" s="140" t="s">
        <v>166</v>
      </c>
      <c r="DC195" s="140" t="s">
        <v>166</v>
      </c>
      <c r="DD195" s="140" t="s">
        <v>166</v>
      </c>
      <c r="DE195" s="140" t="s">
        <v>166</v>
      </c>
      <c r="DF195" s="140" t="s">
        <v>205</v>
      </c>
      <c r="DG195" s="250">
        <v>35</v>
      </c>
      <c r="DH195" s="250" t="s">
        <v>201</v>
      </c>
      <c r="DI195" s="250">
        <v>1</v>
      </c>
      <c r="DJ195" s="250" t="s">
        <v>206</v>
      </c>
      <c r="DK195" s="250">
        <v>17</v>
      </c>
      <c r="DL195" s="140" t="s">
        <v>166</v>
      </c>
      <c r="DM195" s="140" t="s">
        <v>166</v>
      </c>
      <c r="DN195" s="250" t="s">
        <v>207</v>
      </c>
      <c r="DO195" s="250">
        <v>38</v>
      </c>
      <c r="DP195" s="250" t="s">
        <v>208</v>
      </c>
      <c r="DQ195" s="250">
        <v>3</v>
      </c>
      <c r="DR195" s="250" t="s">
        <v>209</v>
      </c>
      <c r="DS195" s="140" t="s">
        <v>166</v>
      </c>
      <c r="DT195" s="140" t="s">
        <v>166</v>
      </c>
      <c r="DU195" s="140" t="s">
        <v>166</v>
      </c>
      <c r="DV195" s="140" t="s">
        <v>166</v>
      </c>
      <c r="DW195" s="250">
        <v>432.6</v>
      </c>
      <c r="DX195" s="140" t="s">
        <v>166</v>
      </c>
      <c r="DY195" s="140" t="s">
        <v>166</v>
      </c>
      <c r="DZ195" s="140" t="s">
        <v>210</v>
      </c>
      <c r="EA195" s="140" t="s">
        <v>211</v>
      </c>
      <c r="EB195" s="140" t="s">
        <v>212</v>
      </c>
      <c r="EC195" s="140" t="s">
        <v>166</v>
      </c>
      <c r="ED195" s="140" t="s">
        <v>213</v>
      </c>
      <c r="EE195" s="213" t="s">
        <v>214</v>
      </c>
      <c r="EF195" s="213" t="s">
        <v>214</v>
      </c>
      <c r="EG195" s="250">
        <v>1.0271999999999999</v>
      </c>
      <c r="EH195" s="250" t="s">
        <v>215</v>
      </c>
      <c r="EI195" s="250" t="s">
        <v>215</v>
      </c>
      <c r="EJ195" s="250" t="s">
        <v>216</v>
      </c>
      <c r="EK195" s="250" t="s">
        <v>215</v>
      </c>
      <c r="EL195" s="250" t="s">
        <v>215</v>
      </c>
      <c r="EM195" s="250" t="s">
        <v>217</v>
      </c>
      <c r="EN195" s="251" t="s">
        <v>214</v>
      </c>
      <c r="EO195" s="251" t="s">
        <v>214</v>
      </c>
      <c r="EP195" s="251" t="s">
        <v>214</v>
      </c>
      <c r="EQ195" s="251" t="s">
        <v>214</v>
      </c>
      <c r="ER195" s="250"/>
      <c r="ES195" s="250"/>
      <c r="ET195" s="140" t="s">
        <v>218</v>
      </c>
      <c r="EU195" s="250" t="s">
        <v>219</v>
      </c>
      <c r="EV195" s="250" t="s">
        <v>213</v>
      </c>
      <c r="EW195" s="140" t="s">
        <v>166</v>
      </c>
      <c r="EX195" s="140" t="s">
        <v>166</v>
      </c>
      <c r="EY195" s="140" t="s">
        <v>166</v>
      </c>
      <c r="EZ195" s="140" t="s">
        <v>166</v>
      </c>
      <c r="FA195" s="205">
        <v>5.5</v>
      </c>
      <c r="FB195" s="140" t="s">
        <v>220</v>
      </c>
      <c r="FC195" s="205">
        <v>1</v>
      </c>
      <c r="FD195" s="205">
        <v>1</v>
      </c>
      <c r="FE195" s="252">
        <v>7.7427747541554801</v>
      </c>
      <c r="FF195" s="140" t="s">
        <v>221</v>
      </c>
      <c r="FG195" s="252">
        <v>8.6089659519080541E-2</v>
      </c>
      <c r="FH195" s="252">
        <v>7.7059162093619626E-2</v>
      </c>
      <c r="FI195" s="201">
        <v>797.70314856717391</v>
      </c>
      <c r="FK195" s="140" t="s">
        <v>166</v>
      </c>
      <c r="FL195" s="217">
        <f t="shared" si="157"/>
        <v>797.70314856717391</v>
      </c>
      <c r="FM195" s="201">
        <v>451.4592098721962</v>
      </c>
      <c r="FN195" s="201">
        <v>246.88877155190585</v>
      </c>
      <c r="FO195" s="140" t="s">
        <v>222</v>
      </c>
      <c r="FP195" s="140" t="s">
        <v>223</v>
      </c>
      <c r="FQ195" s="217" t="s">
        <v>166</v>
      </c>
      <c r="FR195" s="217" t="s">
        <v>166</v>
      </c>
      <c r="FS195" s="217" t="s">
        <v>166</v>
      </c>
      <c r="FT195" s="217" t="s">
        <v>166</v>
      </c>
      <c r="FU195" s="217" t="s">
        <v>166</v>
      </c>
      <c r="FV195" s="217" t="s">
        <v>166</v>
      </c>
      <c r="FW195" s="217" t="s">
        <v>166</v>
      </c>
      <c r="FX195" s="217" t="s">
        <v>166</v>
      </c>
      <c r="FY195" s="217" t="s">
        <v>166</v>
      </c>
      <c r="FZ195" s="217" t="s">
        <v>166</v>
      </c>
      <c r="GA195" s="217" t="s">
        <v>166</v>
      </c>
      <c r="GB195" s="217" t="s">
        <v>166</v>
      </c>
      <c r="GC195" s="202" t="s">
        <v>507</v>
      </c>
    </row>
    <row r="196" spans="1:191" s="140" customFormat="1" ht="17">
      <c r="A196" s="140" t="s">
        <v>162</v>
      </c>
      <c r="B196" s="143" t="s">
        <v>163</v>
      </c>
      <c r="C196" s="140" t="s">
        <v>164</v>
      </c>
      <c r="D196" s="140" t="s">
        <v>165</v>
      </c>
      <c r="E196" s="140">
        <v>2020</v>
      </c>
      <c r="F196" s="140" t="s">
        <v>184</v>
      </c>
      <c r="G196" s="240">
        <v>55939.039447784417</v>
      </c>
      <c r="H196" s="241">
        <f t="shared" ref="H196" si="202">0.0083*G196^(0.9482)</f>
        <v>263.54905285714534</v>
      </c>
      <c r="I196" s="241">
        <f t="shared" si="171"/>
        <v>263.54905285714534</v>
      </c>
      <c r="J196" s="201">
        <v>1171.59346030447</v>
      </c>
      <c r="K196" s="201">
        <v>366.05980891533</v>
      </c>
      <c r="L196" s="201">
        <v>272.30795208402799</v>
      </c>
      <c r="M196" s="140" t="b">
        <v>1</v>
      </c>
      <c r="N196" s="140">
        <v>1</v>
      </c>
      <c r="O196" s="302" t="s">
        <v>581</v>
      </c>
      <c r="P196" s="140" t="s">
        <v>166</v>
      </c>
      <c r="Q196" s="140" t="s">
        <v>166</v>
      </c>
      <c r="R196" s="140" t="s">
        <v>166</v>
      </c>
      <c r="S196" s="140" t="b">
        <v>1</v>
      </c>
      <c r="T196" s="140" t="b">
        <v>0</v>
      </c>
      <c r="U196" s="140" t="s">
        <v>166</v>
      </c>
      <c r="V196" s="140" t="b">
        <v>0</v>
      </c>
      <c r="W196" s="140" t="b">
        <v>0</v>
      </c>
      <c r="X196" s="140" t="s">
        <v>580</v>
      </c>
      <c r="Y196" s="202" t="s">
        <v>186</v>
      </c>
      <c r="Z196" s="140" t="s">
        <v>184</v>
      </c>
      <c r="AA196" s="242">
        <v>401</v>
      </c>
      <c r="AB196" s="140" t="s">
        <v>166</v>
      </c>
      <c r="AC196" s="140">
        <v>14</v>
      </c>
      <c r="AD196" s="140">
        <v>3</v>
      </c>
      <c r="AE196" s="140">
        <v>122</v>
      </c>
      <c r="AF196" s="140">
        <v>123</v>
      </c>
      <c r="AG196" s="140" t="s">
        <v>166</v>
      </c>
      <c r="AH196" s="243">
        <v>202.72499999999999</v>
      </c>
      <c r="AI196" s="140" t="s">
        <v>498</v>
      </c>
      <c r="AJ196" s="140" t="s">
        <v>499</v>
      </c>
      <c r="AK196" s="210">
        <v>47.427500000000002</v>
      </c>
      <c r="AL196" s="210">
        <v>-8.8102999999999998</v>
      </c>
      <c r="AM196" s="244">
        <v>42</v>
      </c>
      <c r="AN196" s="244">
        <v>21</v>
      </c>
      <c r="AO196" s="244">
        <v>-2495</v>
      </c>
      <c r="AP196" s="140">
        <v>-2000</v>
      </c>
      <c r="AQ196" s="140" t="s">
        <v>500</v>
      </c>
      <c r="AR196" s="140" t="s">
        <v>166</v>
      </c>
      <c r="AS196" s="240">
        <v>55.939039447784417</v>
      </c>
      <c r="AT196" s="140" t="s">
        <v>166</v>
      </c>
      <c r="AU196" s="140" t="s">
        <v>166</v>
      </c>
      <c r="AV196" s="140" t="s">
        <v>166</v>
      </c>
      <c r="AW196" s="140" t="s">
        <v>166</v>
      </c>
      <c r="AX196" s="140" t="s">
        <v>501</v>
      </c>
      <c r="AY196" s="140" t="s">
        <v>502</v>
      </c>
      <c r="AZ196" s="215">
        <v>55.970629278836043</v>
      </c>
      <c r="BA196" s="140" t="s">
        <v>166</v>
      </c>
      <c r="BB196" s="140" t="s">
        <v>166</v>
      </c>
      <c r="BC196" s="140" t="s">
        <v>166</v>
      </c>
      <c r="BD196" s="140" t="s">
        <v>166</v>
      </c>
      <c r="BE196" s="140" t="s">
        <v>503</v>
      </c>
      <c r="BF196" s="140" t="s">
        <v>504</v>
      </c>
      <c r="BG196" s="245" t="s">
        <v>505</v>
      </c>
      <c r="BH196" s="207" t="s">
        <v>192</v>
      </c>
      <c r="BI196" s="140" t="s">
        <v>166</v>
      </c>
      <c r="BJ196" s="140" t="s">
        <v>506</v>
      </c>
      <c r="BK196" s="140" t="s">
        <v>226</v>
      </c>
      <c r="BL196" s="140" t="s">
        <v>194</v>
      </c>
      <c r="BM196" s="140" t="s">
        <v>195</v>
      </c>
      <c r="BN196" s="140" t="s">
        <v>466</v>
      </c>
      <c r="BO196" s="140" t="s">
        <v>166</v>
      </c>
      <c r="BP196" s="140" t="s">
        <v>166</v>
      </c>
      <c r="BQ196" s="246">
        <v>14.32517889075957</v>
      </c>
      <c r="BR196" s="140" t="s">
        <v>196</v>
      </c>
      <c r="BS196" s="246">
        <v>0.36620794193455297</v>
      </c>
      <c r="BT196" s="140">
        <v>1</v>
      </c>
      <c r="BU196" s="140" t="s">
        <v>197</v>
      </c>
      <c r="BV196" s="140" t="s">
        <v>166</v>
      </c>
      <c r="BW196" s="140">
        <v>0</v>
      </c>
      <c r="BX196" s="140" t="s">
        <v>197</v>
      </c>
      <c r="BY196" s="140" t="s">
        <v>166</v>
      </c>
      <c r="BZ196" s="140" t="s">
        <v>197</v>
      </c>
      <c r="CA196" s="140" t="s">
        <v>166</v>
      </c>
      <c r="CB196" s="210">
        <f t="shared" si="165"/>
        <v>14.32517889075957</v>
      </c>
      <c r="CC196" s="140" t="s">
        <v>196</v>
      </c>
      <c r="CD196" s="210">
        <f t="shared" si="166"/>
        <v>0.36620794193455297</v>
      </c>
      <c r="CE196" s="140" t="s">
        <v>199</v>
      </c>
      <c r="CF196" s="140" t="s">
        <v>166</v>
      </c>
      <c r="CG196" s="140" t="s">
        <v>474</v>
      </c>
      <c r="CH196" s="140" t="s">
        <v>166</v>
      </c>
      <c r="CI196" s="140" t="s">
        <v>166</v>
      </c>
      <c r="CJ196" s="247">
        <v>32.088092422412686</v>
      </c>
      <c r="CK196" s="140" t="s">
        <v>201</v>
      </c>
      <c r="CL196" s="140">
        <v>2</v>
      </c>
      <c r="CM196" s="140">
        <v>2</v>
      </c>
      <c r="CN196" s="140" t="s">
        <v>166</v>
      </c>
      <c r="CO196" s="248">
        <v>3.3192328171555929</v>
      </c>
      <c r="CP196" s="140" t="s">
        <v>166</v>
      </c>
      <c r="CQ196" s="140" t="s">
        <v>166</v>
      </c>
      <c r="CR196" s="140" t="s">
        <v>166</v>
      </c>
      <c r="CS196" s="249" t="s">
        <v>202</v>
      </c>
      <c r="CT196" s="140" t="s">
        <v>203</v>
      </c>
      <c r="CU196" s="140">
        <v>2.2000000000000002</v>
      </c>
      <c r="CV196" s="140" t="s">
        <v>204</v>
      </c>
      <c r="CW196" s="140" t="s">
        <v>166</v>
      </c>
      <c r="CX196" s="140" t="s">
        <v>166</v>
      </c>
      <c r="CY196" s="140" t="s">
        <v>166</v>
      </c>
      <c r="CZ196" s="140" t="s">
        <v>166</v>
      </c>
      <c r="DA196" s="209" t="s">
        <v>166</v>
      </c>
      <c r="DB196" s="140" t="s">
        <v>166</v>
      </c>
      <c r="DC196" s="140" t="s">
        <v>166</v>
      </c>
      <c r="DD196" s="140" t="s">
        <v>166</v>
      </c>
      <c r="DE196" s="140" t="s">
        <v>166</v>
      </c>
      <c r="DF196" s="140" t="s">
        <v>205</v>
      </c>
      <c r="DG196" s="250">
        <v>35</v>
      </c>
      <c r="DH196" s="250" t="s">
        <v>201</v>
      </c>
      <c r="DI196" s="250">
        <v>1</v>
      </c>
      <c r="DJ196" s="250" t="s">
        <v>206</v>
      </c>
      <c r="DK196" s="250">
        <v>17</v>
      </c>
      <c r="DL196" s="140" t="s">
        <v>166</v>
      </c>
      <c r="DM196" s="140" t="s">
        <v>166</v>
      </c>
      <c r="DN196" s="250" t="s">
        <v>207</v>
      </c>
      <c r="DO196" s="250">
        <v>38</v>
      </c>
      <c r="DP196" s="250" t="s">
        <v>208</v>
      </c>
      <c r="DQ196" s="250">
        <v>3</v>
      </c>
      <c r="DR196" s="250" t="s">
        <v>209</v>
      </c>
      <c r="DS196" s="140" t="s">
        <v>166</v>
      </c>
      <c r="DT196" s="140" t="s">
        <v>166</v>
      </c>
      <c r="DU196" s="140" t="s">
        <v>166</v>
      </c>
      <c r="DV196" s="140" t="s">
        <v>166</v>
      </c>
      <c r="DW196" s="250">
        <v>432.6</v>
      </c>
      <c r="DX196" s="140" t="s">
        <v>166</v>
      </c>
      <c r="DY196" s="140" t="s">
        <v>166</v>
      </c>
      <c r="DZ196" s="140" t="s">
        <v>210</v>
      </c>
      <c r="EA196" s="140" t="s">
        <v>211</v>
      </c>
      <c r="EB196" s="140" t="s">
        <v>212</v>
      </c>
      <c r="EC196" s="140" t="s">
        <v>166</v>
      </c>
      <c r="ED196" s="140" t="s">
        <v>213</v>
      </c>
      <c r="EE196" s="213" t="s">
        <v>214</v>
      </c>
      <c r="EF196" s="213" t="s">
        <v>214</v>
      </c>
      <c r="EG196" s="250">
        <v>1.0271999999999999</v>
      </c>
      <c r="EH196" s="250" t="s">
        <v>215</v>
      </c>
      <c r="EI196" s="250" t="s">
        <v>215</v>
      </c>
      <c r="EJ196" s="250" t="s">
        <v>216</v>
      </c>
      <c r="EK196" s="250" t="s">
        <v>215</v>
      </c>
      <c r="EL196" s="250" t="s">
        <v>215</v>
      </c>
      <c r="EM196" s="250" t="s">
        <v>217</v>
      </c>
      <c r="EN196" s="251" t="s">
        <v>214</v>
      </c>
      <c r="EO196" s="251" t="s">
        <v>214</v>
      </c>
      <c r="EP196" s="251" t="s">
        <v>214</v>
      </c>
      <c r="EQ196" s="251" t="s">
        <v>214</v>
      </c>
      <c r="ER196" s="250"/>
      <c r="ES196" s="250"/>
      <c r="ET196" s="140" t="s">
        <v>218</v>
      </c>
      <c r="EU196" s="250" t="s">
        <v>219</v>
      </c>
      <c r="EV196" s="250" t="s">
        <v>213</v>
      </c>
      <c r="EW196" s="140" t="s">
        <v>166</v>
      </c>
      <c r="EX196" s="140" t="s">
        <v>166</v>
      </c>
      <c r="EY196" s="140" t="s">
        <v>166</v>
      </c>
      <c r="EZ196" s="140" t="s">
        <v>166</v>
      </c>
      <c r="FA196" s="205">
        <v>5.5</v>
      </c>
      <c r="FB196" s="140" t="s">
        <v>220</v>
      </c>
      <c r="FC196" s="205">
        <v>1</v>
      </c>
      <c r="FD196" s="205">
        <v>1</v>
      </c>
      <c r="FE196" s="252">
        <v>7.6606382267197102</v>
      </c>
      <c r="FF196" s="140" t="s">
        <v>221</v>
      </c>
      <c r="FG196" s="252">
        <v>5.169952102412001E-2</v>
      </c>
      <c r="FH196" s="252">
        <v>5.1170291301000148E-2</v>
      </c>
      <c r="FI196" s="201">
        <v>1171.59346030447</v>
      </c>
      <c r="FK196" s="140" t="s">
        <v>166</v>
      </c>
      <c r="FL196" s="217">
        <f t="shared" si="157"/>
        <v>1171.59346030447</v>
      </c>
      <c r="FM196" s="201">
        <v>366.05980891533</v>
      </c>
      <c r="FN196" s="201">
        <v>272.30795208402799</v>
      </c>
      <c r="FO196" s="140" t="s">
        <v>222</v>
      </c>
      <c r="FP196" s="140" t="s">
        <v>223</v>
      </c>
      <c r="FQ196" s="217" t="s">
        <v>166</v>
      </c>
      <c r="FR196" s="217" t="s">
        <v>166</v>
      </c>
      <c r="FS196" s="217" t="s">
        <v>166</v>
      </c>
      <c r="FT196" s="217" t="s">
        <v>166</v>
      </c>
      <c r="FU196" s="217" t="s">
        <v>166</v>
      </c>
      <c r="FV196" s="217" t="s">
        <v>166</v>
      </c>
      <c r="FW196" s="217" t="s">
        <v>166</v>
      </c>
      <c r="FX196" s="217" t="s">
        <v>166</v>
      </c>
      <c r="FY196" s="217" t="s">
        <v>166</v>
      </c>
      <c r="FZ196" s="217" t="s">
        <v>166</v>
      </c>
      <c r="GA196" s="217" t="s">
        <v>166</v>
      </c>
      <c r="GB196" s="217" t="s">
        <v>166</v>
      </c>
      <c r="GC196" s="202" t="s">
        <v>507</v>
      </c>
    </row>
    <row r="197" spans="1:191" s="140" customFormat="1" ht="17">
      <c r="A197" s="140" t="s">
        <v>162</v>
      </c>
      <c r="B197" s="143" t="s">
        <v>163</v>
      </c>
      <c r="C197" s="140" t="s">
        <v>164</v>
      </c>
      <c r="D197" s="140" t="s">
        <v>165</v>
      </c>
      <c r="E197" s="140">
        <v>2020</v>
      </c>
      <c r="F197" s="140" t="s">
        <v>184</v>
      </c>
      <c r="G197" s="240">
        <v>55960.837490081787</v>
      </c>
      <c r="H197" s="241">
        <f t="shared" ref="H197" si="203">0.0083*G197^(0.9482)</f>
        <v>263.64643055757989</v>
      </c>
      <c r="I197" s="241">
        <f t="shared" si="171"/>
        <v>263.64643055757989</v>
      </c>
      <c r="J197" s="201">
        <v>897.57090481956402</v>
      </c>
      <c r="K197" s="201">
        <v>251.56460486906599</v>
      </c>
      <c r="L197" s="201">
        <v>195.64592511312708</v>
      </c>
      <c r="M197" s="140" t="b">
        <v>1</v>
      </c>
      <c r="N197" s="140">
        <v>1</v>
      </c>
      <c r="O197" s="302" t="s">
        <v>581</v>
      </c>
      <c r="P197" s="140" t="s">
        <v>166</v>
      </c>
      <c r="Q197" s="140" t="s">
        <v>166</v>
      </c>
      <c r="R197" s="140" t="s">
        <v>166</v>
      </c>
      <c r="S197" s="140" t="b">
        <v>1</v>
      </c>
      <c r="T197" s="140" t="b">
        <v>0</v>
      </c>
      <c r="U197" s="140" t="s">
        <v>166</v>
      </c>
      <c r="V197" s="140" t="b">
        <v>0</v>
      </c>
      <c r="W197" s="140" t="b">
        <v>0</v>
      </c>
      <c r="X197" s="140" t="s">
        <v>580</v>
      </c>
      <c r="Y197" s="202" t="s">
        <v>186</v>
      </c>
      <c r="Z197" s="140" t="s">
        <v>184</v>
      </c>
      <c r="AA197" s="242">
        <v>401</v>
      </c>
      <c r="AB197" s="140" t="s">
        <v>166</v>
      </c>
      <c r="AC197" s="140">
        <v>14</v>
      </c>
      <c r="AD197" s="140">
        <v>3</v>
      </c>
      <c r="AE197" s="140">
        <v>133</v>
      </c>
      <c r="AF197" s="140">
        <v>134</v>
      </c>
      <c r="AG197" s="140" t="s">
        <v>166</v>
      </c>
      <c r="AH197" s="243">
        <v>202.83500000000001</v>
      </c>
      <c r="AI197" s="140" t="s">
        <v>498</v>
      </c>
      <c r="AJ197" s="140" t="s">
        <v>499</v>
      </c>
      <c r="AK197" s="210">
        <v>47.427500000000002</v>
      </c>
      <c r="AL197" s="210">
        <v>-8.8102999999999998</v>
      </c>
      <c r="AM197" s="244">
        <v>42</v>
      </c>
      <c r="AN197" s="244">
        <v>21</v>
      </c>
      <c r="AO197" s="244">
        <v>-2495</v>
      </c>
      <c r="AP197" s="140">
        <v>-2000</v>
      </c>
      <c r="AQ197" s="140" t="s">
        <v>500</v>
      </c>
      <c r="AR197" s="140" t="s">
        <v>166</v>
      </c>
      <c r="AS197" s="240">
        <v>55.960837490081786</v>
      </c>
      <c r="AT197" s="140" t="s">
        <v>166</v>
      </c>
      <c r="AU197" s="140" t="s">
        <v>166</v>
      </c>
      <c r="AV197" s="140" t="s">
        <v>166</v>
      </c>
      <c r="AW197" s="140" t="s">
        <v>166</v>
      </c>
      <c r="AX197" s="140" t="s">
        <v>501</v>
      </c>
      <c r="AY197" s="140" t="s">
        <v>502</v>
      </c>
      <c r="AZ197" s="215">
        <v>56.001643651163015</v>
      </c>
      <c r="BA197" s="140" t="s">
        <v>166</v>
      </c>
      <c r="BB197" s="140" t="s">
        <v>166</v>
      </c>
      <c r="BC197" s="140" t="s">
        <v>166</v>
      </c>
      <c r="BD197" s="140" t="s">
        <v>166</v>
      </c>
      <c r="BE197" s="140" t="s">
        <v>503</v>
      </c>
      <c r="BF197" s="140" t="s">
        <v>504</v>
      </c>
      <c r="BG197" s="245" t="s">
        <v>505</v>
      </c>
      <c r="BH197" s="207" t="s">
        <v>192</v>
      </c>
      <c r="BI197" s="140" t="s">
        <v>166</v>
      </c>
      <c r="BJ197" s="140" t="s">
        <v>506</v>
      </c>
      <c r="BK197" s="140" t="s">
        <v>226</v>
      </c>
      <c r="BL197" s="140" t="s">
        <v>194</v>
      </c>
      <c r="BM197" s="140" t="s">
        <v>195</v>
      </c>
      <c r="BN197" s="140" t="s">
        <v>466</v>
      </c>
      <c r="BO197" s="140" t="s">
        <v>166</v>
      </c>
      <c r="BP197" s="140" t="s">
        <v>166</v>
      </c>
      <c r="BQ197" s="246">
        <v>14.744482619169608</v>
      </c>
      <c r="BR197" s="140" t="s">
        <v>196</v>
      </c>
      <c r="BS197" s="246">
        <v>0.38068824823932468</v>
      </c>
      <c r="BT197" s="140">
        <v>1</v>
      </c>
      <c r="BU197" s="140" t="s">
        <v>197</v>
      </c>
      <c r="BV197" s="140" t="s">
        <v>166</v>
      </c>
      <c r="BW197" s="140">
        <v>0</v>
      </c>
      <c r="BX197" s="140" t="s">
        <v>197</v>
      </c>
      <c r="BY197" s="140" t="s">
        <v>166</v>
      </c>
      <c r="BZ197" s="140" t="s">
        <v>197</v>
      </c>
      <c r="CA197" s="140" t="s">
        <v>166</v>
      </c>
      <c r="CB197" s="210">
        <f t="shared" si="165"/>
        <v>14.744482619169608</v>
      </c>
      <c r="CC197" s="140" t="s">
        <v>196</v>
      </c>
      <c r="CD197" s="210">
        <f t="shared" si="166"/>
        <v>0.38068824823932468</v>
      </c>
      <c r="CE197" s="140" t="s">
        <v>199</v>
      </c>
      <c r="CF197" s="140" t="s">
        <v>166</v>
      </c>
      <c r="CG197" s="140" t="s">
        <v>474</v>
      </c>
      <c r="CH197" s="140" t="s">
        <v>166</v>
      </c>
      <c r="CI197" s="140" t="s">
        <v>166</v>
      </c>
      <c r="CJ197" s="247">
        <v>32.547944412629874</v>
      </c>
      <c r="CK197" s="140" t="s">
        <v>201</v>
      </c>
      <c r="CL197" s="140">
        <v>2</v>
      </c>
      <c r="CM197" s="140">
        <v>2</v>
      </c>
      <c r="CN197" s="140" t="s">
        <v>166</v>
      </c>
      <c r="CO197" s="248">
        <v>3.4063889614935712</v>
      </c>
      <c r="CP197" s="140" t="s">
        <v>166</v>
      </c>
      <c r="CQ197" s="140" t="s">
        <v>166</v>
      </c>
      <c r="CR197" s="140" t="s">
        <v>166</v>
      </c>
      <c r="CS197" s="249" t="s">
        <v>202</v>
      </c>
      <c r="CT197" s="140" t="s">
        <v>203</v>
      </c>
      <c r="CU197" s="140">
        <v>2.2000000000000002</v>
      </c>
      <c r="CV197" s="140" t="s">
        <v>204</v>
      </c>
      <c r="CW197" s="140" t="s">
        <v>166</v>
      </c>
      <c r="CX197" s="140" t="s">
        <v>166</v>
      </c>
      <c r="CY197" s="140" t="s">
        <v>166</v>
      </c>
      <c r="CZ197" s="140" t="s">
        <v>166</v>
      </c>
      <c r="DA197" s="209" t="s">
        <v>166</v>
      </c>
      <c r="DB197" s="140" t="s">
        <v>166</v>
      </c>
      <c r="DC197" s="140" t="s">
        <v>166</v>
      </c>
      <c r="DD197" s="140" t="s">
        <v>166</v>
      </c>
      <c r="DE197" s="140" t="s">
        <v>166</v>
      </c>
      <c r="DF197" s="140" t="s">
        <v>205</v>
      </c>
      <c r="DG197" s="250">
        <v>35</v>
      </c>
      <c r="DH197" s="250" t="s">
        <v>201</v>
      </c>
      <c r="DI197" s="250">
        <v>1</v>
      </c>
      <c r="DJ197" s="250" t="s">
        <v>206</v>
      </c>
      <c r="DK197" s="250">
        <v>17</v>
      </c>
      <c r="DL197" s="140" t="s">
        <v>166</v>
      </c>
      <c r="DM197" s="140" t="s">
        <v>166</v>
      </c>
      <c r="DN197" s="250" t="s">
        <v>207</v>
      </c>
      <c r="DO197" s="250">
        <v>38</v>
      </c>
      <c r="DP197" s="250" t="s">
        <v>208</v>
      </c>
      <c r="DQ197" s="250">
        <v>3</v>
      </c>
      <c r="DR197" s="250" t="s">
        <v>209</v>
      </c>
      <c r="DS197" s="140" t="s">
        <v>166</v>
      </c>
      <c r="DT197" s="140" t="s">
        <v>166</v>
      </c>
      <c r="DU197" s="140" t="s">
        <v>166</v>
      </c>
      <c r="DV197" s="140" t="s">
        <v>166</v>
      </c>
      <c r="DW197" s="250">
        <v>432.6</v>
      </c>
      <c r="DX197" s="140" t="s">
        <v>166</v>
      </c>
      <c r="DY197" s="140" t="s">
        <v>166</v>
      </c>
      <c r="DZ197" s="140" t="s">
        <v>210</v>
      </c>
      <c r="EA197" s="140" t="s">
        <v>211</v>
      </c>
      <c r="EB197" s="140" t="s">
        <v>212</v>
      </c>
      <c r="EC197" s="140" t="s">
        <v>166</v>
      </c>
      <c r="ED197" s="140" t="s">
        <v>213</v>
      </c>
      <c r="EE197" s="213" t="s">
        <v>214</v>
      </c>
      <c r="EF197" s="213" t="s">
        <v>214</v>
      </c>
      <c r="EG197" s="250">
        <v>1.0271999999999999</v>
      </c>
      <c r="EH197" s="250" t="s">
        <v>215</v>
      </c>
      <c r="EI197" s="250" t="s">
        <v>215</v>
      </c>
      <c r="EJ197" s="250" t="s">
        <v>216</v>
      </c>
      <c r="EK197" s="250" t="s">
        <v>215</v>
      </c>
      <c r="EL197" s="250" t="s">
        <v>215</v>
      </c>
      <c r="EM197" s="250" t="s">
        <v>217</v>
      </c>
      <c r="EN197" s="251" t="s">
        <v>214</v>
      </c>
      <c r="EO197" s="251" t="s">
        <v>214</v>
      </c>
      <c r="EP197" s="251" t="s">
        <v>214</v>
      </c>
      <c r="EQ197" s="251" t="s">
        <v>214</v>
      </c>
      <c r="ER197" s="250"/>
      <c r="ES197" s="250"/>
      <c r="ET197" s="140" t="s">
        <v>218</v>
      </c>
      <c r="EU197" s="250" t="s">
        <v>219</v>
      </c>
      <c r="EV197" s="250" t="s">
        <v>213</v>
      </c>
      <c r="EW197" s="140" t="s">
        <v>166</v>
      </c>
      <c r="EX197" s="140" t="s">
        <v>166</v>
      </c>
      <c r="EY197" s="140" t="s">
        <v>166</v>
      </c>
      <c r="EZ197" s="140" t="s">
        <v>166</v>
      </c>
      <c r="FA197" s="205">
        <v>5.5</v>
      </c>
      <c r="FB197" s="140" t="s">
        <v>220</v>
      </c>
      <c r="FC197" s="205">
        <v>1</v>
      </c>
      <c r="FD197" s="205">
        <v>1</v>
      </c>
      <c r="FE197" s="252">
        <v>7.7180968607476501</v>
      </c>
      <c r="FF197" s="140" t="s">
        <v>221</v>
      </c>
      <c r="FG197" s="252">
        <v>4.9919713675300237E-2</v>
      </c>
      <c r="FH197" s="252">
        <v>4.4634694042660072E-2</v>
      </c>
      <c r="FI197" s="201">
        <v>897.57090481956402</v>
      </c>
      <c r="FK197" s="140" t="s">
        <v>166</v>
      </c>
      <c r="FL197" s="217">
        <f t="shared" si="157"/>
        <v>897.57090481956402</v>
      </c>
      <c r="FM197" s="201">
        <v>251.56460486906599</v>
      </c>
      <c r="FN197" s="201">
        <v>195.64592511312708</v>
      </c>
      <c r="FO197" s="140" t="s">
        <v>222</v>
      </c>
      <c r="FP197" s="140" t="s">
        <v>223</v>
      </c>
      <c r="FQ197" s="217" t="s">
        <v>166</v>
      </c>
      <c r="FR197" s="217" t="s">
        <v>166</v>
      </c>
      <c r="FS197" s="217" t="s">
        <v>166</v>
      </c>
      <c r="FT197" s="217" t="s">
        <v>166</v>
      </c>
      <c r="FU197" s="217" t="s">
        <v>166</v>
      </c>
      <c r="FV197" s="217" t="s">
        <v>166</v>
      </c>
      <c r="FW197" s="217" t="s">
        <v>166</v>
      </c>
      <c r="FX197" s="217" t="s">
        <v>166</v>
      </c>
      <c r="FY197" s="217" t="s">
        <v>166</v>
      </c>
      <c r="FZ197" s="217" t="s">
        <v>166</v>
      </c>
      <c r="GA197" s="217" t="s">
        <v>166</v>
      </c>
      <c r="GB197" s="217" t="s">
        <v>166</v>
      </c>
      <c r="GC197" s="202" t="s">
        <v>507</v>
      </c>
    </row>
    <row r="198" spans="1:191" s="140" customFormat="1" ht="17">
      <c r="A198" s="140" t="s">
        <v>162</v>
      </c>
      <c r="B198" s="143" t="s">
        <v>163</v>
      </c>
      <c r="C198" s="140" t="s">
        <v>164</v>
      </c>
      <c r="D198" s="140" t="s">
        <v>165</v>
      </c>
      <c r="E198" s="140">
        <v>2020</v>
      </c>
      <c r="F198" s="140" t="s">
        <v>184</v>
      </c>
      <c r="G198" s="240">
        <v>55977.876934051506</v>
      </c>
      <c r="H198" s="241">
        <f t="shared" ref="H198" si="204">0.0083*G198^(0.9482)</f>
        <v>263.72254895491722</v>
      </c>
      <c r="I198" s="241">
        <f t="shared" si="171"/>
        <v>263.72254895491722</v>
      </c>
      <c r="J198" s="201">
        <v>818.15034506868005</v>
      </c>
      <c r="K198" s="201">
        <v>240.19371341376996</v>
      </c>
      <c r="L198" s="201">
        <v>172.5942903810311</v>
      </c>
      <c r="M198" s="140" t="b">
        <v>1</v>
      </c>
      <c r="N198" s="140">
        <v>1</v>
      </c>
      <c r="O198" s="302" t="s">
        <v>581</v>
      </c>
      <c r="P198" s="140" t="s">
        <v>166</v>
      </c>
      <c r="Q198" s="140" t="s">
        <v>166</v>
      </c>
      <c r="R198" s="140" t="s">
        <v>166</v>
      </c>
      <c r="S198" s="140" t="b">
        <v>1</v>
      </c>
      <c r="T198" s="140" t="b">
        <v>0</v>
      </c>
      <c r="U198" s="140" t="s">
        <v>166</v>
      </c>
      <c r="V198" s="140" t="b">
        <v>0</v>
      </c>
      <c r="W198" s="140" t="b">
        <v>0</v>
      </c>
      <c r="X198" s="140" t="s">
        <v>580</v>
      </c>
      <c r="Y198" s="202" t="s">
        <v>186</v>
      </c>
      <c r="Z198" s="140" t="s">
        <v>184</v>
      </c>
      <c r="AA198" s="242">
        <v>401</v>
      </c>
      <c r="AB198" s="140" t="s">
        <v>166</v>
      </c>
      <c r="AC198" s="140">
        <v>14</v>
      </c>
      <c r="AD198" s="140">
        <v>3</v>
      </c>
      <c r="AE198" s="140">
        <v>143</v>
      </c>
      <c r="AF198" s="140">
        <f t="shared" si="176"/>
        <v>145</v>
      </c>
      <c r="AG198" s="140" t="s">
        <v>166</v>
      </c>
      <c r="AH198" s="243">
        <v>202.94</v>
      </c>
      <c r="AI198" s="140" t="s">
        <v>498</v>
      </c>
      <c r="AJ198" s="140" t="s">
        <v>499</v>
      </c>
      <c r="AK198" s="210">
        <v>47.427500000000002</v>
      </c>
      <c r="AL198" s="210">
        <v>-8.8102999999999998</v>
      </c>
      <c r="AM198" s="244">
        <v>42</v>
      </c>
      <c r="AN198" s="244">
        <v>21</v>
      </c>
      <c r="AO198" s="244">
        <v>-2495</v>
      </c>
      <c r="AP198" s="140">
        <v>-2000</v>
      </c>
      <c r="AQ198" s="140" t="s">
        <v>500</v>
      </c>
      <c r="AR198" s="140" t="s">
        <v>166</v>
      </c>
      <c r="AS198" s="240">
        <v>55.977876934051508</v>
      </c>
      <c r="AT198" s="140" t="s">
        <v>166</v>
      </c>
      <c r="AU198" s="140" t="s">
        <v>166</v>
      </c>
      <c r="AV198" s="140" t="s">
        <v>166</v>
      </c>
      <c r="AW198" s="140" t="s">
        <v>166</v>
      </c>
      <c r="AX198" s="140" t="s">
        <v>501</v>
      </c>
      <c r="AY198" s="140" t="s">
        <v>502</v>
      </c>
      <c r="AZ198" s="215">
        <v>56.031248279293294</v>
      </c>
      <c r="BA198" s="140" t="s">
        <v>166</v>
      </c>
      <c r="BB198" s="140" t="s">
        <v>166</v>
      </c>
      <c r="BC198" s="140" t="s">
        <v>166</v>
      </c>
      <c r="BD198" s="140" t="s">
        <v>166</v>
      </c>
      <c r="BE198" s="140" t="s">
        <v>503</v>
      </c>
      <c r="BF198" s="140" t="s">
        <v>504</v>
      </c>
      <c r="BG198" s="245" t="s">
        <v>505</v>
      </c>
      <c r="BH198" s="207" t="s">
        <v>192</v>
      </c>
      <c r="BI198" s="140" t="s">
        <v>166</v>
      </c>
      <c r="BJ198" s="140" t="s">
        <v>506</v>
      </c>
      <c r="BK198" s="140" t="s">
        <v>226</v>
      </c>
      <c r="BL198" s="140" t="s">
        <v>194</v>
      </c>
      <c r="BM198" s="140" t="s">
        <v>195</v>
      </c>
      <c r="BN198" s="140" t="s">
        <v>466</v>
      </c>
      <c r="BO198" s="140" t="s">
        <v>166</v>
      </c>
      <c r="BP198" s="140" t="s">
        <v>166</v>
      </c>
      <c r="BQ198" s="246">
        <v>14.904098890806683</v>
      </c>
      <c r="BR198" s="140" t="s">
        <v>196</v>
      </c>
      <c r="BS198" s="246">
        <v>0.35801187698640563</v>
      </c>
      <c r="BT198" s="140">
        <v>1</v>
      </c>
      <c r="BU198" s="140" t="s">
        <v>197</v>
      </c>
      <c r="BV198" s="140" t="s">
        <v>166</v>
      </c>
      <c r="BW198" s="140">
        <v>0</v>
      </c>
      <c r="BX198" s="140" t="s">
        <v>197</v>
      </c>
      <c r="BY198" s="140" t="s">
        <v>166</v>
      </c>
      <c r="BZ198" s="140" t="s">
        <v>197</v>
      </c>
      <c r="CA198" s="140" t="s">
        <v>166</v>
      </c>
      <c r="CB198" s="210">
        <f t="shared" si="165"/>
        <v>14.904098890806683</v>
      </c>
      <c r="CC198" s="140" t="s">
        <v>196</v>
      </c>
      <c r="CD198" s="210">
        <f t="shared" si="166"/>
        <v>0.35801187698640563</v>
      </c>
      <c r="CE198" s="140" t="s">
        <v>199</v>
      </c>
      <c r="CF198" s="140" t="s">
        <v>166</v>
      </c>
      <c r="CG198" s="140" t="s">
        <v>474</v>
      </c>
      <c r="CH198" s="140" t="s">
        <v>166</v>
      </c>
      <c r="CI198" s="140" t="s">
        <v>166</v>
      </c>
      <c r="CJ198" s="247">
        <v>32.67188910975824</v>
      </c>
      <c r="CK198" s="140" t="s">
        <v>201</v>
      </c>
      <c r="CL198" s="140">
        <v>2</v>
      </c>
      <c r="CM198" s="140">
        <v>2</v>
      </c>
      <c r="CN198" s="140" t="s">
        <v>166</v>
      </c>
      <c r="CO198" s="248">
        <v>3.4302693765829804</v>
      </c>
      <c r="CP198" s="140" t="s">
        <v>166</v>
      </c>
      <c r="CQ198" s="140" t="s">
        <v>166</v>
      </c>
      <c r="CR198" s="140" t="s">
        <v>166</v>
      </c>
      <c r="CS198" s="249" t="s">
        <v>202</v>
      </c>
      <c r="CT198" s="140" t="s">
        <v>203</v>
      </c>
      <c r="CU198" s="140">
        <v>2.2000000000000002</v>
      </c>
      <c r="CV198" s="140" t="s">
        <v>204</v>
      </c>
      <c r="CW198" s="140" t="s">
        <v>166</v>
      </c>
      <c r="CX198" s="140" t="s">
        <v>166</v>
      </c>
      <c r="CY198" s="140" t="s">
        <v>166</v>
      </c>
      <c r="CZ198" s="140" t="s">
        <v>166</v>
      </c>
      <c r="DA198" s="209" t="s">
        <v>166</v>
      </c>
      <c r="DB198" s="140" t="s">
        <v>166</v>
      </c>
      <c r="DC198" s="140" t="s">
        <v>166</v>
      </c>
      <c r="DD198" s="140" t="s">
        <v>166</v>
      </c>
      <c r="DE198" s="140" t="s">
        <v>166</v>
      </c>
      <c r="DF198" s="140" t="s">
        <v>205</v>
      </c>
      <c r="DG198" s="250">
        <v>35</v>
      </c>
      <c r="DH198" s="250" t="s">
        <v>201</v>
      </c>
      <c r="DI198" s="250">
        <v>1</v>
      </c>
      <c r="DJ198" s="250" t="s">
        <v>206</v>
      </c>
      <c r="DK198" s="250">
        <v>17</v>
      </c>
      <c r="DL198" s="140" t="s">
        <v>166</v>
      </c>
      <c r="DM198" s="140" t="s">
        <v>166</v>
      </c>
      <c r="DN198" s="250" t="s">
        <v>207</v>
      </c>
      <c r="DO198" s="250">
        <v>38</v>
      </c>
      <c r="DP198" s="250" t="s">
        <v>208</v>
      </c>
      <c r="DQ198" s="250">
        <v>3</v>
      </c>
      <c r="DR198" s="250" t="s">
        <v>209</v>
      </c>
      <c r="DS198" s="140" t="s">
        <v>166</v>
      </c>
      <c r="DT198" s="140" t="s">
        <v>166</v>
      </c>
      <c r="DU198" s="140" t="s">
        <v>166</v>
      </c>
      <c r="DV198" s="140" t="s">
        <v>166</v>
      </c>
      <c r="DW198" s="250">
        <v>432.6</v>
      </c>
      <c r="DX198" s="140" t="s">
        <v>166</v>
      </c>
      <c r="DY198" s="140" t="s">
        <v>166</v>
      </c>
      <c r="DZ198" s="140" t="s">
        <v>210</v>
      </c>
      <c r="EA198" s="140" t="s">
        <v>211</v>
      </c>
      <c r="EB198" s="140" t="s">
        <v>212</v>
      </c>
      <c r="EC198" s="140" t="s">
        <v>166</v>
      </c>
      <c r="ED198" s="140" t="s">
        <v>213</v>
      </c>
      <c r="EE198" s="213" t="s">
        <v>214</v>
      </c>
      <c r="EF198" s="213" t="s">
        <v>214</v>
      </c>
      <c r="EG198" s="250">
        <v>1.0271999999999999</v>
      </c>
      <c r="EH198" s="250" t="s">
        <v>215</v>
      </c>
      <c r="EI198" s="250" t="s">
        <v>215</v>
      </c>
      <c r="EJ198" s="250" t="s">
        <v>216</v>
      </c>
      <c r="EK198" s="250" t="s">
        <v>215</v>
      </c>
      <c r="EL198" s="250" t="s">
        <v>215</v>
      </c>
      <c r="EM198" s="250" t="s">
        <v>217</v>
      </c>
      <c r="EN198" s="251" t="s">
        <v>214</v>
      </c>
      <c r="EO198" s="251" t="s">
        <v>214</v>
      </c>
      <c r="EP198" s="251" t="s">
        <v>214</v>
      </c>
      <c r="EQ198" s="251" t="s">
        <v>214</v>
      </c>
      <c r="ER198" s="250"/>
      <c r="ES198" s="250"/>
      <c r="ET198" s="140" t="s">
        <v>218</v>
      </c>
      <c r="EU198" s="250" t="s">
        <v>219</v>
      </c>
      <c r="EV198" s="250" t="s">
        <v>213</v>
      </c>
      <c r="EW198" s="140" t="s">
        <v>166</v>
      </c>
      <c r="EX198" s="140" t="s">
        <v>166</v>
      </c>
      <c r="EY198" s="140" t="s">
        <v>166</v>
      </c>
      <c r="EZ198" s="140" t="s">
        <v>166</v>
      </c>
      <c r="FA198" s="205">
        <v>5.5</v>
      </c>
      <c r="FB198" s="140" t="s">
        <v>220</v>
      </c>
      <c r="FC198" s="205">
        <v>1</v>
      </c>
      <c r="FD198" s="205">
        <v>1</v>
      </c>
      <c r="FE198" s="252">
        <v>7.7381496962165999</v>
      </c>
      <c r="FF198" s="140" t="s">
        <v>221</v>
      </c>
      <c r="FG198" s="252">
        <v>5.0092092494409712E-2</v>
      </c>
      <c r="FH198" s="252">
        <v>4.2238871483970541E-2</v>
      </c>
      <c r="FI198" s="201">
        <v>818.15034506868005</v>
      </c>
      <c r="FK198" s="140" t="s">
        <v>166</v>
      </c>
      <c r="FL198" s="217">
        <f t="shared" si="157"/>
        <v>818.15034506868005</v>
      </c>
      <c r="FM198" s="201">
        <v>240.19371341376996</v>
      </c>
      <c r="FN198" s="201">
        <v>172.5942903810311</v>
      </c>
      <c r="FO198" s="140" t="s">
        <v>222</v>
      </c>
      <c r="FP198" s="140" t="s">
        <v>223</v>
      </c>
      <c r="FQ198" s="217" t="s">
        <v>166</v>
      </c>
      <c r="FR198" s="217" t="s">
        <v>166</v>
      </c>
      <c r="FS198" s="217" t="s">
        <v>166</v>
      </c>
      <c r="FT198" s="217" t="s">
        <v>166</v>
      </c>
      <c r="FU198" s="217" t="s">
        <v>166</v>
      </c>
      <c r="FV198" s="217" t="s">
        <v>166</v>
      </c>
      <c r="FW198" s="217" t="s">
        <v>166</v>
      </c>
      <c r="FX198" s="217" t="s">
        <v>166</v>
      </c>
      <c r="FY198" s="217" t="s">
        <v>166</v>
      </c>
      <c r="FZ198" s="217" t="s">
        <v>166</v>
      </c>
      <c r="GA198" s="217" t="s">
        <v>166</v>
      </c>
      <c r="GB198" s="217" t="s">
        <v>166</v>
      </c>
      <c r="GC198" s="202" t="s">
        <v>507</v>
      </c>
    </row>
    <row r="199" spans="1:191" s="140" customFormat="1" ht="17">
      <c r="A199" s="140" t="s">
        <v>162</v>
      </c>
      <c r="B199" s="143" t="s">
        <v>163</v>
      </c>
      <c r="C199" s="140" t="s">
        <v>164</v>
      </c>
      <c r="D199" s="140" t="s">
        <v>165</v>
      </c>
      <c r="E199" s="140">
        <v>2020</v>
      </c>
      <c r="F199" s="140" t="s">
        <v>184</v>
      </c>
      <c r="G199" s="240">
        <v>56024.173995971716</v>
      </c>
      <c r="H199" s="241">
        <f t="shared" ref="H199" si="205">0.0083*G199^(0.9482)</f>
        <v>263.9293605685649</v>
      </c>
      <c r="I199" s="241">
        <f t="shared" si="171"/>
        <v>263.9293605685649</v>
      </c>
      <c r="J199" s="201">
        <v>961.12576414364401</v>
      </c>
      <c r="K199" s="201">
        <v>294.13039206872611</v>
      </c>
      <c r="L199" s="201">
        <v>237.67461118376002</v>
      </c>
      <c r="M199" s="140" t="b">
        <v>1</v>
      </c>
      <c r="N199" s="140">
        <v>1</v>
      </c>
      <c r="O199" s="302" t="s">
        <v>581</v>
      </c>
      <c r="P199" s="140" t="s">
        <v>166</v>
      </c>
      <c r="Q199" s="140" t="s">
        <v>166</v>
      </c>
      <c r="R199" s="140" t="s">
        <v>166</v>
      </c>
      <c r="S199" s="140" t="b">
        <v>1</v>
      </c>
      <c r="T199" s="140" t="b">
        <v>0</v>
      </c>
      <c r="U199" s="140" t="s">
        <v>166</v>
      </c>
      <c r="V199" s="140" t="b">
        <v>0</v>
      </c>
      <c r="W199" s="140" t="b">
        <v>0</v>
      </c>
      <c r="X199" s="140" t="s">
        <v>580</v>
      </c>
      <c r="Y199" s="202" t="s">
        <v>186</v>
      </c>
      <c r="Z199" s="140" t="s">
        <v>184</v>
      </c>
      <c r="AA199" s="242">
        <v>401</v>
      </c>
      <c r="AB199" s="140" t="s">
        <v>166</v>
      </c>
      <c r="AC199" s="140">
        <v>14</v>
      </c>
      <c r="AD199" s="140">
        <v>4</v>
      </c>
      <c r="AE199" s="140">
        <v>22</v>
      </c>
      <c r="AF199" s="140">
        <v>23</v>
      </c>
      <c r="AG199" s="140" t="s">
        <v>166</v>
      </c>
      <c r="AH199" s="243">
        <v>203.22499999999999</v>
      </c>
      <c r="AI199" s="140" t="s">
        <v>498</v>
      </c>
      <c r="AJ199" s="140" t="s">
        <v>499</v>
      </c>
      <c r="AK199" s="210">
        <v>47.427500000000002</v>
      </c>
      <c r="AL199" s="210">
        <v>-8.8102999999999998</v>
      </c>
      <c r="AM199" s="244">
        <v>42</v>
      </c>
      <c r="AN199" s="244">
        <v>21</v>
      </c>
      <c r="AO199" s="244">
        <v>-2495</v>
      </c>
      <c r="AP199" s="140">
        <v>-2000</v>
      </c>
      <c r="AQ199" s="140" t="s">
        <v>500</v>
      </c>
      <c r="AR199" s="140" t="s">
        <v>166</v>
      </c>
      <c r="AS199" s="240">
        <v>56.024173995971715</v>
      </c>
      <c r="AT199" s="140" t="s">
        <v>166</v>
      </c>
      <c r="AU199" s="140" t="s">
        <v>166</v>
      </c>
      <c r="AV199" s="140" t="s">
        <v>166</v>
      </c>
      <c r="AW199" s="140" t="s">
        <v>166</v>
      </c>
      <c r="AX199" s="140" t="s">
        <v>501</v>
      </c>
      <c r="AY199" s="140" t="s">
        <v>502</v>
      </c>
      <c r="AZ199" s="215">
        <v>56.111603698504069</v>
      </c>
      <c r="BA199" s="140" t="s">
        <v>166</v>
      </c>
      <c r="BB199" s="140" t="s">
        <v>166</v>
      </c>
      <c r="BC199" s="140" t="s">
        <v>166</v>
      </c>
      <c r="BD199" s="140" t="s">
        <v>166</v>
      </c>
      <c r="BE199" s="140" t="s">
        <v>503</v>
      </c>
      <c r="BF199" s="140" t="s">
        <v>504</v>
      </c>
      <c r="BG199" s="245" t="s">
        <v>505</v>
      </c>
      <c r="BH199" s="207" t="s">
        <v>192</v>
      </c>
      <c r="BI199" s="140" t="s">
        <v>166</v>
      </c>
      <c r="BJ199" s="140" t="s">
        <v>506</v>
      </c>
      <c r="BK199" s="140" t="s">
        <v>226</v>
      </c>
      <c r="BL199" s="140" t="s">
        <v>194</v>
      </c>
      <c r="BM199" s="140" t="s">
        <v>195</v>
      </c>
      <c r="BN199" s="140" t="s">
        <v>466</v>
      </c>
      <c r="BO199" s="140" t="s">
        <v>166</v>
      </c>
      <c r="BP199" s="140" t="s">
        <v>166</v>
      </c>
      <c r="BQ199" s="246">
        <v>14.66250121956303</v>
      </c>
      <c r="BR199" s="140" t="s">
        <v>196</v>
      </c>
      <c r="BS199" s="246">
        <v>0.40867283521031128</v>
      </c>
      <c r="BT199" s="140">
        <v>1</v>
      </c>
      <c r="BU199" s="140" t="s">
        <v>197</v>
      </c>
      <c r="BV199" s="140" t="s">
        <v>166</v>
      </c>
      <c r="BW199" s="140">
        <v>0</v>
      </c>
      <c r="BX199" s="140" t="s">
        <v>197</v>
      </c>
      <c r="BY199" s="140" t="s">
        <v>166</v>
      </c>
      <c r="BZ199" s="140" t="s">
        <v>197</v>
      </c>
      <c r="CA199" s="140" t="s">
        <v>166</v>
      </c>
      <c r="CB199" s="210">
        <f t="shared" si="165"/>
        <v>14.66250121956303</v>
      </c>
      <c r="CC199" s="140" t="s">
        <v>196</v>
      </c>
      <c r="CD199" s="210">
        <f t="shared" si="166"/>
        <v>0.40867283521031128</v>
      </c>
      <c r="CE199" s="140" t="s">
        <v>199</v>
      </c>
      <c r="CF199" s="140" t="s">
        <v>166</v>
      </c>
      <c r="CG199" s="140" t="s">
        <v>474</v>
      </c>
      <c r="CH199" s="140" t="s">
        <v>166</v>
      </c>
      <c r="CI199" s="140" t="s">
        <v>166</v>
      </c>
      <c r="CJ199" s="247">
        <v>32.893948136766468</v>
      </c>
      <c r="CK199" s="140" t="s">
        <v>201</v>
      </c>
      <c r="CL199" s="140">
        <v>2</v>
      </c>
      <c r="CM199" s="140">
        <v>2</v>
      </c>
      <c r="CN199" s="140" t="s">
        <v>166</v>
      </c>
      <c r="CO199" s="248">
        <v>3.4734728977347857</v>
      </c>
      <c r="CP199" s="140" t="s">
        <v>166</v>
      </c>
      <c r="CQ199" s="140" t="s">
        <v>166</v>
      </c>
      <c r="CR199" s="140" t="s">
        <v>166</v>
      </c>
      <c r="CS199" s="249" t="s">
        <v>202</v>
      </c>
      <c r="CT199" s="140" t="s">
        <v>203</v>
      </c>
      <c r="CU199" s="140">
        <v>2.2000000000000002</v>
      </c>
      <c r="CV199" s="140" t="s">
        <v>204</v>
      </c>
      <c r="CW199" s="140" t="s">
        <v>166</v>
      </c>
      <c r="CX199" s="140" t="s">
        <v>166</v>
      </c>
      <c r="CY199" s="140" t="s">
        <v>166</v>
      </c>
      <c r="CZ199" s="140" t="s">
        <v>166</v>
      </c>
      <c r="DA199" s="209" t="s">
        <v>166</v>
      </c>
      <c r="DB199" s="140" t="s">
        <v>166</v>
      </c>
      <c r="DC199" s="140" t="s">
        <v>166</v>
      </c>
      <c r="DD199" s="140" t="s">
        <v>166</v>
      </c>
      <c r="DE199" s="140" t="s">
        <v>166</v>
      </c>
      <c r="DF199" s="140" t="s">
        <v>205</v>
      </c>
      <c r="DG199" s="250">
        <v>35</v>
      </c>
      <c r="DH199" s="250" t="s">
        <v>201</v>
      </c>
      <c r="DI199" s="250">
        <v>1</v>
      </c>
      <c r="DJ199" s="250" t="s">
        <v>206</v>
      </c>
      <c r="DK199" s="250">
        <v>17</v>
      </c>
      <c r="DL199" s="140" t="s">
        <v>166</v>
      </c>
      <c r="DM199" s="140" t="s">
        <v>166</v>
      </c>
      <c r="DN199" s="250" t="s">
        <v>207</v>
      </c>
      <c r="DO199" s="250">
        <v>38</v>
      </c>
      <c r="DP199" s="250" t="s">
        <v>208</v>
      </c>
      <c r="DQ199" s="250">
        <v>3</v>
      </c>
      <c r="DR199" s="250" t="s">
        <v>209</v>
      </c>
      <c r="DS199" s="140" t="s">
        <v>166</v>
      </c>
      <c r="DT199" s="140" t="s">
        <v>166</v>
      </c>
      <c r="DU199" s="140" t="s">
        <v>166</v>
      </c>
      <c r="DV199" s="140" t="s">
        <v>166</v>
      </c>
      <c r="DW199" s="250">
        <v>432.6</v>
      </c>
      <c r="DX199" s="140" t="s">
        <v>166</v>
      </c>
      <c r="DY199" s="140" t="s">
        <v>166</v>
      </c>
      <c r="DZ199" s="140" t="s">
        <v>210</v>
      </c>
      <c r="EA199" s="140" t="s">
        <v>211</v>
      </c>
      <c r="EB199" s="140" t="s">
        <v>212</v>
      </c>
      <c r="EC199" s="140" t="s">
        <v>166</v>
      </c>
      <c r="ED199" s="140" t="s">
        <v>213</v>
      </c>
      <c r="EE199" s="213" t="s">
        <v>214</v>
      </c>
      <c r="EF199" s="213" t="s">
        <v>214</v>
      </c>
      <c r="EG199" s="250">
        <v>1.0271999999999999</v>
      </c>
      <c r="EH199" s="250" t="s">
        <v>215</v>
      </c>
      <c r="EI199" s="250" t="s">
        <v>215</v>
      </c>
      <c r="EJ199" s="250" t="s">
        <v>216</v>
      </c>
      <c r="EK199" s="250" t="s">
        <v>215</v>
      </c>
      <c r="EL199" s="250" t="s">
        <v>215</v>
      </c>
      <c r="EM199" s="250" t="s">
        <v>217</v>
      </c>
      <c r="EN199" s="251" t="s">
        <v>214</v>
      </c>
      <c r="EO199" s="251" t="s">
        <v>214</v>
      </c>
      <c r="EP199" s="251" t="s">
        <v>214</v>
      </c>
      <c r="EQ199" s="251" t="s">
        <v>214</v>
      </c>
      <c r="ER199" s="250"/>
      <c r="ES199" s="250"/>
      <c r="ET199" s="140" t="s">
        <v>218</v>
      </c>
      <c r="EU199" s="250" t="s">
        <v>219</v>
      </c>
      <c r="EV199" s="250" t="s">
        <v>213</v>
      </c>
      <c r="EW199" s="140" t="s">
        <v>166</v>
      </c>
      <c r="EX199" s="140" t="s">
        <v>166</v>
      </c>
      <c r="EY199" s="140" t="s">
        <v>166</v>
      </c>
      <c r="EZ199" s="140" t="s">
        <v>166</v>
      </c>
      <c r="FA199" s="205">
        <v>5.5</v>
      </c>
      <c r="FB199" s="140" t="s">
        <v>220</v>
      </c>
      <c r="FC199" s="205">
        <v>1</v>
      </c>
      <c r="FD199" s="205">
        <v>1</v>
      </c>
      <c r="FE199" s="252">
        <v>7.7018034256267898</v>
      </c>
      <c r="FF199" s="140" t="s">
        <v>221</v>
      </c>
      <c r="FG199" s="252">
        <v>5.2587873365789406E-2</v>
      </c>
      <c r="FH199" s="252">
        <v>5.2295786339199957E-2</v>
      </c>
      <c r="FI199" s="201">
        <v>961.12576414364401</v>
      </c>
      <c r="FK199" s="140" t="s">
        <v>166</v>
      </c>
      <c r="FL199" s="217">
        <f t="shared" si="157"/>
        <v>961.12576414364401</v>
      </c>
      <c r="FM199" s="201">
        <v>294.13039206872611</v>
      </c>
      <c r="FN199" s="201">
        <v>237.67461118376002</v>
      </c>
      <c r="FO199" s="140" t="s">
        <v>222</v>
      </c>
      <c r="FP199" s="140" t="s">
        <v>223</v>
      </c>
      <c r="FQ199" s="217" t="s">
        <v>166</v>
      </c>
      <c r="FR199" s="217" t="s">
        <v>166</v>
      </c>
      <c r="FS199" s="217" t="s">
        <v>166</v>
      </c>
      <c r="FT199" s="217" t="s">
        <v>166</v>
      </c>
      <c r="FU199" s="217" t="s">
        <v>166</v>
      </c>
      <c r="FV199" s="217" t="s">
        <v>166</v>
      </c>
      <c r="FW199" s="217" t="s">
        <v>166</v>
      </c>
      <c r="FX199" s="217" t="s">
        <v>166</v>
      </c>
      <c r="FY199" s="217" t="s">
        <v>166</v>
      </c>
      <c r="FZ199" s="217" t="s">
        <v>166</v>
      </c>
      <c r="GA199" s="217" t="s">
        <v>166</v>
      </c>
      <c r="GB199" s="217" t="s">
        <v>166</v>
      </c>
      <c r="GC199" s="202" t="s">
        <v>507</v>
      </c>
    </row>
    <row r="200" spans="1:191" s="140" customFormat="1" ht="17">
      <c r="A200" s="140" t="s">
        <v>162</v>
      </c>
      <c r="B200" s="143" t="s">
        <v>163</v>
      </c>
      <c r="C200" s="140" t="s">
        <v>164</v>
      </c>
      <c r="D200" s="140" t="s">
        <v>165</v>
      </c>
      <c r="E200" s="140">
        <v>2020</v>
      </c>
      <c r="F200" s="140" t="s">
        <v>184</v>
      </c>
      <c r="G200" s="240">
        <v>56040.418579101613</v>
      </c>
      <c r="H200" s="241">
        <f t="shared" ref="H200" si="206">0.0083*G200^(0.9482)</f>
        <v>264.00192394859994</v>
      </c>
      <c r="I200" s="241">
        <f t="shared" si="171"/>
        <v>264.00192394859994</v>
      </c>
      <c r="J200" s="201">
        <v>1287.6272945262101</v>
      </c>
      <c r="K200" s="201">
        <v>360.94390080013</v>
      </c>
      <c r="L200" s="201">
        <v>298.70264573234601</v>
      </c>
      <c r="M200" s="140" t="b">
        <v>1</v>
      </c>
      <c r="N200" s="140">
        <v>1</v>
      </c>
      <c r="O200" s="302" t="s">
        <v>581</v>
      </c>
      <c r="P200" s="140" t="s">
        <v>166</v>
      </c>
      <c r="Q200" s="140" t="s">
        <v>166</v>
      </c>
      <c r="R200" s="140" t="s">
        <v>166</v>
      </c>
      <c r="S200" s="140" t="b">
        <v>1</v>
      </c>
      <c r="T200" s="140" t="b">
        <v>0</v>
      </c>
      <c r="U200" s="140" t="s">
        <v>166</v>
      </c>
      <c r="V200" s="140" t="b">
        <v>0</v>
      </c>
      <c r="W200" s="140" t="b">
        <v>0</v>
      </c>
      <c r="X200" s="140" t="s">
        <v>580</v>
      </c>
      <c r="Y200" s="202" t="s">
        <v>186</v>
      </c>
      <c r="Z200" s="140" t="s">
        <v>184</v>
      </c>
      <c r="AA200" s="242">
        <v>401</v>
      </c>
      <c r="AB200" s="140" t="s">
        <v>166</v>
      </c>
      <c r="AC200" s="140">
        <v>14</v>
      </c>
      <c r="AD200" s="140">
        <v>4</v>
      </c>
      <c r="AE200" s="140">
        <v>32</v>
      </c>
      <c r="AF200" s="140">
        <v>33</v>
      </c>
      <c r="AG200" s="140" t="s">
        <v>166</v>
      </c>
      <c r="AH200" s="243">
        <v>203.32499999999999</v>
      </c>
      <c r="AI200" s="140" t="s">
        <v>498</v>
      </c>
      <c r="AJ200" s="140" t="s">
        <v>499</v>
      </c>
      <c r="AK200" s="210">
        <v>47.427500000000002</v>
      </c>
      <c r="AL200" s="210">
        <v>-8.8102999999999998</v>
      </c>
      <c r="AM200" s="244">
        <v>42</v>
      </c>
      <c r="AN200" s="244">
        <v>21</v>
      </c>
      <c r="AO200" s="244">
        <v>-2495</v>
      </c>
      <c r="AP200" s="140">
        <v>-2000</v>
      </c>
      <c r="AQ200" s="140" t="s">
        <v>500</v>
      </c>
      <c r="AR200" s="140" t="s">
        <v>166</v>
      </c>
      <c r="AS200" s="240">
        <v>56.040418579101612</v>
      </c>
      <c r="AT200" s="140" t="s">
        <v>166</v>
      </c>
      <c r="AU200" s="140" t="s">
        <v>166</v>
      </c>
      <c r="AV200" s="140" t="s">
        <v>166</v>
      </c>
      <c r="AW200" s="140" t="s">
        <v>166</v>
      </c>
      <c r="AX200" s="140" t="s">
        <v>501</v>
      </c>
      <c r="AY200" s="140" t="s">
        <v>502</v>
      </c>
      <c r="AZ200" s="215">
        <v>56.139798582437678</v>
      </c>
      <c r="BA200" s="140" t="s">
        <v>166</v>
      </c>
      <c r="BB200" s="140" t="s">
        <v>166</v>
      </c>
      <c r="BC200" s="140" t="s">
        <v>166</v>
      </c>
      <c r="BD200" s="140" t="s">
        <v>166</v>
      </c>
      <c r="BE200" s="140" t="s">
        <v>503</v>
      </c>
      <c r="BF200" s="140" t="s">
        <v>504</v>
      </c>
      <c r="BG200" s="245" t="s">
        <v>505</v>
      </c>
      <c r="BH200" s="207" t="s">
        <v>192</v>
      </c>
      <c r="BI200" s="140" t="s">
        <v>166</v>
      </c>
      <c r="BJ200" s="140" t="s">
        <v>506</v>
      </c>
      <c r="BK200" s="140" t="s">
        <v>226</v>
      </c>
      <c r="BL200" s="140" t="s">
        <v>194</v>
      </c>
      <c r="BM200" s="140" t="s">
        <v>195</v>
      </c>
      <c r="BN200" s="140" t="s">
        <v>466</v>
      </c>
      <c r="BO200" s="140" t="s">
        <v>166</v>
      </c>
      <c r="BP200" s="140" t="s">
        <v>166</v>
      </c>
      <c r="BQ200" s="246">
        <v>14.211995455575721</v>
      </c>
      <c r="BR200" s="140" t="s">
        <v>196</v>
      </c>
      <c r="BS200" s="246">
        <v>0.34209034860381704</v>
      </c>
      <c r="BT200" s="140">
        <v>1</v>
      </c>
      <c r="BU200" s="140" t="s">
        <v>197</v>
      </c>
      <c r="BV200" s="140" t="s">
        <v>166</v>
      </c>
      <c r="BW200" s="140">
        <v>0</v>
      </c>
      <c r="BX200" s="140" t="s">
        <v>197</v>
      </c>
      <c r="BY200" s="140" t="s">
        <v>166</v>
      </c>
      <c r="BZ200" s="140" t="s">
        <v>197</v>
      </c>
      <c r="CA200" s="140" t="s">
        <v>166</v>
      </c>
      <c r="CB200" s="210">
        <f t="shared" si="165"/>
        <v>14.211995455575721</v>
      </c>
      <c r="CC200" s="140" t="s">
        <v>196</v>
      </c>
      <c r="CD200" s="210">
        <f t="shared" si="166"/>
        <v>0.34209034860381704</v>
      </c>
      <c r="CE200" s="140" t="s">
        <v>199</v>
      </c>
      <c r="CF200" s="140" t="s">
        <v>166</v>
      </c>
      <c r="CG200" s="140" t="s">
        <v>474</v>
      </c>
      <c r="CH200" s="140" t="s">
        <v>166</v>
      </c>
      <c r="CI200" s="140" t="s">
        <v>166</v>
      </c>
      <c r="CJ200" s="247">
        <v>32.738815013688686</v>
      </c>
      <c r="CK200" s="140" t="s">
        <v>201</v>
      </c>
      <c r="CL200" s="140">
        <v>2</v>
      </c>
      <c r="CM200" s="140">
        <v>2</v>
      </c>
      <c r="CN200" s="140" t="s">
        <v>166</v>
      </c>
      <c r="CO200" s="248">
        <v>3.4432335150492195</v>
      </c>
      <c r="CP200" s="140" t="s">
        <v>166</v>
      </c>
      <c r="CQ200" s="140" t="s">
        <v>166</v>
      </c>
      <c r="CR200" s="140" t="s">
        <v>166</v>
      </c>
      <c r="CS200" s="249" t="s">
        <v>202</v>
      </c>
      <c r="CT200" s="140" t="s">
        <v>203</v>
      </c>
      <c r="CU200" s="140">
        <v>2.2000000000000002</v>
      </c>
      <c r="CV200" s="140" t="s">
        <v>204</v>
      </c>
      <c r="CW200" s="140" t="s">
        <v>166</v>
      </c>
      <c r="CX200" s="140" t="s">
        <v>166</v>
      </c>
      <c r="CY200" s="140" t="s">
        <v>166</v>
      </c>
      <c r="CZ200" s="140" t="s">
        <v>166</v>
      </c>
      <c r="DA200" s="209" t="s">
        <v>166</v>
      </c>
      <c r="DB200" s="140" t="s">
        <v>166</v>
      </c>
      <c r="DC200" s="140" t="s">
        <v>166</v>
      </c>
      <c r="DD200" s="140" t="s">
        <v>166</v>
      </c>
      <c r="DE200" s="140" t="s">
        <v>166</v>
      </c>
      <c r="DF200" s="140" t="s">
        <v>205</v>
      </c>
      <c r="DG200" s="250">
        <v>35</v>
      </c>
      <c r="DH200" s="250" t="s">
        <v>201</v>
      </c>
      <c r="DI200" s="250">
        <v>1</v>
      </c>
      <c r="DJ200" s="250" t="s">
        <v>206</v>
      </c>
      <c r="DK200" s="250">
        <v>17</v>
      </c>
      <c r="DL200" s="140" t="s">
        <v>166</v>
      </c>
      <c r="DM200" s="140" t="s">
        <v>166</v>
      </c>
      <c r="DN200" s="250" t="s">
        <v>207</v>
      </c>
      <c r="DO200" s="250">
        <v>38</v>
      </c>
      <c r="DP200" s="250" t="s">
        <v>208</v>
      </c>
      <c r="DQ200" s="250">
        <v>3</v>
      </c>
      <c r="DR200" s="250" t="s">
        <v>209</v>
      </c>
      <c r="DS200" s="140" t="s">
        <v>166</v>
      </c>
      <c r="DT200" s="140" t="s">
        <v>166</v>
      </c>
      <c r="DU200" s="140" t="s">
        <v>166</v>
      </c>
      <c r="DV200" s="140" t="s">
        <v>166</v>
      </c>
      <c r="DW200" s="250">
        <v>432.6</v>
      </c>
      <c r="DX200" s="140" t="s">
        <v>166</v>
      </c>
      <c r="DY200" s="140" t="s">
        <v>166</v>
      </c>
      <c r="DZ200" s="140" t="s">
        <v>210</v>
      </c>
      <c r="EA200" s="140" t="s">
        <v>211</v>
      </c>
      <c r="EB200" s="140" t="s">
        <v>212</v>
      </c>
      <c r="EC200" s="140" t="s">
        <v>166</v>
      </c>
      <c r="ED200" s="140" t="s">
        <v>213</v>
      </c>
      <c r="EE200" s="213" t="s">
        <v>214</v>
      </c>
      <c r="EF200" s="213" t="s">
        <v>214</v>
      </c>
      <c r="EG200" s="250">
        <v>1.0271999999999999</v>
      </c>
      <c r="EH200" s="250" t="s">
        <v>215</v>
      </c>
      <c r="EI200" s="250" t="s">
        <v>215</v>
      </c>
      <c r="EJ200" s="250" t="s">
        <v>216</v>
      </c>
      <c r="EK200" s="250" t="s">
        <v>215</v>
      </c>
      <c r="EL200" s="250" t="s">
        <v>215</v>
      </c>
      <c r="EM200" s="250" t="s">
        <v>217</v>
      </c>
      <c r="EN200" s="251" t="s">
        <v>214</v>
      </c>
      <c r="EO200" s="251" t="s">
        <v>214</v>
      </c>
      <c r="EP200" s="251" t="s">
        <v>214</v>
      </c>
      <c r="EQ200" s="251" t="s">
        <v>214</v>
      </c>
      <c r="ER200" s="250"/>
      <c r="ES200" s="250"/>
      <c r="ET200" s="140" t="s">
        <v>218</v>
      </c>
      <c r="EU200" s="250" t="s">
        <v>219</v>
      </c>
      <c r="EV200" s="250" t="s">
        <v>213</v>
      </c>
      <c r="EW200" s="140" t="s">
        <v>166</v>
      </c>
      <c r="EX200" s="140" t="s">
        <v>166</v>
      </c>
      <c r="EY200" s="140" t="s">
        <v>166</v>
      </c>
      <c r="EZ200" s="140" t="s">
        <v>166</v>
      </c>
      <c r="FA200" s="205">
        <v>5.5</v>
      </c>
      <c r="FB200" s="140" t="s">
        <v>220</v>
      </c>
      <c r="FC200" s="205">
        <v>1</v>
      </c>
      <c r="FD200" s="205">
        <v>1</v>
      </c>
      <c r="FE200" s="252">
        <v>7.6395657591797299</v>
      </c>
      <c r="FF200" s="140" t="s">
        <v>221</v>
      </c>
      <c r="FG200" s="252">
        <v>4.9776368236400081E-2</v>
      </c>
      <c r="FH200" s="252">
        <v>4.7544626630280362E-2</v>
      </c>
      <c r="FI200" s="201">
        <v>1287.6272945262101</v>
      </c>
      <c r="FK200" s="140" t="s">
        <v>166</v>
      </c>
      <c r="FL200" s="217">
        <f t="shared" si="157"/>
        <v>1287.6272945262101</v>
      </c>
      <c r="FM200" s="201">
        <v>360.94390080013</v>
      </c>
      <c r="FN200" s="201">
        <v>298.70264573234601</v>
      </c>
      <c r="FO200" s="140" t="s">
        <v>222</v>
      </c>
      <c r="FP200" s="140" t="s">
        <v>223</v>
      </c>
      <c r="FQ200" s="217" t="s">
        <v>166</v>
      </c>
      <c r="FR200" s="217" t="s">
        <v>166</v>
      </c>
      <c r="FS200" s="217" t="s">
        <v>166</v>
      </c>
      <c r="FT200" s="217" t="s">
        <v>166</v>
      </c>
      <c r="FU200" s="217" t="s">
        <v>166</v>
      </c>
      <c r="FV200" s="217" t="s">
        <v>166</v>
      </c>
      <c r="FW200" s="217" t="s">
        <v>166</v>
      </c>
      <c r="FX200" s="217" t="s">
        <v>166</v>
      </c>
      <c r="FY200" s="217" t="s">
        <v>166</v>
      </c>
      <c r="FZ200" s="217" t="s">
        <v>166</v>
      </c>
      <c r="GA200" s="217" t="s">
        <v>166</v>
      </c>
      <c r="GB200" s="217" t="s">
        <v>166</v>
      </c>
      <c r="GC200" s="202" t="s">
        <v>507</v>
      </c>
    </row>
    <row r="201" spans="1:191" s="140" customFormat="1" ht="17">
      <c r="A201" s="140" t="s">
        <v>162</v>
      </c>
      <c r="B201" s="143" t="s">
        <v>163</v>
      </c>
      <c r="C201" s="140" t="s">
        <v>164</v>
      </c>
      <c r="D201" s="140" t="s">
        <v>165</v>
      </c>
      <c r="E201" s="140">
        <v>2020</v>
      </c>
      <c r="F201" s="140" t="s">
        <v>184</v>
      </c>
      <c r="G201" s="240">
        <v>56051.789787292539</v>
      </c>
      <c r="H201" s="241">
        <f t="shared" ref="H201" si="207">0.0083*G201^(0.9482)</f>
        <v>264.05271766631625</v>
      </c>
      <c r="I201" s="241">
        <f t="shared" si="171"/>
        <v>264.05271766631625</v>
      </c>
      <c r="J201" s="201">
        <v>804.64648319408502</v>
      </c>
      <c r="K201" s="201">
        <v>210.4761355003651</v>
      </c>
      <c r="L201" s="201">
        <v>170.93881694019706</v>
      </c>
      <c r="M201" s="140" t="b">
        <v>1</v>
      </c>
      <c r="N201" s="140">
        <v>1</v>
      </c>
      <c r="O201" s="302" t="s">
        <v>581</v>
      </c>
      <c r="P201" s="140" t="s">
        <v>166</v>
      </c>
      <c r="Q201" s="140" t="s">
        <v>166</v>
      </c>
      <c r="R201" s="140" t="s">
        <v>166</v>
      </c>
      <c r="S201" s="140" t="b">
        <v>1</v>
      </c>
      <c r="T201" s="140" t="b">
        <v>0</v>
      </c>
      <c r="U201" s="140" t="s">
        <v>166</v>
      </c>
      <c r="V201" s="140" t="b">
        <v>0</v>
      </c>
      <c r="W201" s="140" t="b">
        <v>0</v>
      </c>
      <c r="X201" s="140" t="s">
        <v>580</v>
      </c>
      <c r="Y201" s="202" t="s">
        <v>186</v>
      </c>
      <c r="Z201" s="140" t="s">
        <v>184</v>
      </c>
      <c r="AA201" s="242">
        <v>401</v>
      </c>
      <c r="AB201" s="140" t="s">
        <v>166</v>
      </c>
      <c r="AC201" s="140">
        <v>14</v>
      </c>
      <c r="AD201" s="140">
        <v>4</v>
      </c>
      <c r="AE201" s="140">
        <v>39</v>
      </c>
      <c r="AF201" s="140">
        <v>40</v>
      </c>
      <c r="AG201" s="140" t="s">
        <v>166</v>
      </c>
      <c r="AH201" s="243">
        <v>203.39500000000001</v>
      </c>
      <c r="AI201" s="140" t="s">
        <v>498</v>
      </c>
      <c r="AJ201" s="140" t="s">
        <v>499</v>
      </c>
      <c r="AK201" s="210">
        <v>47.427500000000002</v>
      </c>
      <c r="AL201" s="210">
        <v>-8.8102999999999998</v>
      </c>
      <c r="AM201" s="244">
        <v>42</v>
      </c>
      <c r="AN201" s="244">
        <v>21</v>
      </c>
      <c r="AO201" s="244">
        <v>-2495</v>
      </c>
      <c r="AP201" s="140">
        <v>-2000</v>
      </c>
      <c r="AQ201" s="140" t="s">
        <v>500</v>
      </c>
      <c r="AR201" s="140" t="s">
        <v>166</v>
      </c>
      <c r="AS201" s="240">
        <v>56.051789787292542</v>
      </c>
      <c r="AT201" s="140" t="s">
        <v>166</v>
      </c>
      <c r="AU201" s="140" t="s">
        <v>166</v>
      </c>
      <c r="AV201" s="140" t="s">
        <v>166</v>
      </c>
      <c r="AW201" s="140" t="s">
        <v>166</v>
      </c>
      <c r="AX201" s="140" t="s">
        <v>501</v>
      </c>
      <c r="AY201" s="140" t="s">
        <v>502</v>
      </c>
      <c r="AZ201" s="215">
        <v>56.159535001191202</v>
      </c>
      <c r="BA201" s="140" t="s">
        <v>166</v>
      </c>
      <c r="BB201" s="140" t="s">
        <v>166</v>
      </c>
      <c r="BC201" s="140" t="s">
        <v>166</v>
      </c>
      <c r="BD201" s="140" t="s">
        <v>166</v>
      </c>
      <c r="BE201" s="140" t="s">
        <v>503</v>
      </c>
      <c r="BF201" s="140" t="s">
        <v>504</v>
      </c>
      <c r="BG201" s="245" t="s">
        <v>505</v>
      </c>
      <c r="BH201" s="207" t="s">
        <v>192</v>
      </c>
      <c r="BI201" s="140" t="s">
        <v>166</v>
      </c>
      <c r="BJ201" s="140" t="s">
        <v>506</v>
      </c>
      <c r="BK201" s="140" t="s">
        <v>226</v>
      </c>
      <c r="BL201" s="140" t="s">
        <v>194</v>
      </c>
      <c r="BM201" s="140" t="s">
        <v>195</v>
      </c>
      <c r="BN201" s="140" t="s">
        <v>466</v>
      </c>
      <c r="BO201" s="140" t="s">
        <v>166</v>
      </c>
      <c r="BP201" s="140" t="s">
        <v>166</v>
      </c>
      <c r="BQ201" s="246">
        <v>14.946112248022004</v>
      </c>
      <c r="BR201" s="140" t="s">
        <v>196</v>
      </c>
      <c r="BS201" s="246">
        <v>0.33455927158830834</v>
      </c>
      <c r="BT201" s="140">
        <v>1</v>
      </c>
      <c r="BU201" s="140" t="s">
        <v>197</v>
      </c>
      <c r="BV201" s="140" t="s">
        <v>166</v>
      </c>
      <c r="BW201" s="140">
        <v>0</v>
      </c>
      <c r="BX201" s="140" t="s">
        <v>197</v>
      </c>
      <c r="BY201" s="140" t="s">
        <v>166</v>
      </c>
      <c r="BZ201" s="140" t="s">
        <v>197</v>
      </c>
      <c r="CA201" s="140" t="s">
        <v>166</v>
      </c>
      <c r="CB201" s="210">
        <f t="shared" si="165"/>
        <v>14.946112248022004</v>
      </c>
      <c r="CC201" s="140" t="s">
        <v>196</v>
      </c>
      <c r="CD201" s="210">
        <f t="shared" si="166"/>
        <v>0.33455927158830834</v>
      </c>
      <c r="CE201" s="140" t="s">
        <v>199</v>
      </c>
      <c r="CF201" s="140" t="s">
        <v>166</v>
      </c>
      <c r="CG201" s="140" t="s">
        <v>474</v>
      </c>
      <c r="CH201" s="140" t="s">
        <v>166</v>
      </c>
      <c r="CI201" s="140" t="s">
        <v>166</v>
      </c>
      <c r="CJ201" s="247">
        <v>32.825495736972137</v>
      </c>
      <c r="CK201" s="140" t="s">
        <v>201</v>
      </c>
      <c r="CL201" s="140">
        <v>2</v>
      </c>
      <c r="CM201" s="140">
        <v>2</v>
      </c>
      <c r="CN201" s="140" t="s">
        <v>166</v>
      </c>
      <c r="CO201" s="248">
        <v>3.4600971872555037</v>
      </c>
      <c r="CP201" s="140" t="s">
        <v>166</v>
      </c>
      <c r="CQ201" s="140" t="s">
        <v>166</v>
      </c>
      <c r="CR201" s="140" t="s">
        <v>166</v>
      </c>
      <c r="CS201" s="249" t="s">
        <v>202</v>
      </c>
      <c r="CT201" s="140" t="s">
        <v>203</v>
      </c>
      <c r="CU201" s="140">
        <v>2.2000000000000002</v>
      </c>
      <c r="CV201" s="140" t="s">
        <v>204</v>
      </c>
      <c r="CW201" s="140" t="s">
        <v>166</v>
      </c>
      <c r="CX201" s="140" t="s">
        <v>166</v>
      </c>
      <c r="CY201" s="140" t="s">
        <v>166</v>
      </c>
      <c r="CZ201" s="140" t="s">
        <v>166</v>
      </c>
      <c r="DA201" s="209" t="s">
        <v>166</v>
      </c>
      <c r="DB201" s="140" t="s">
        <v>166</v>
      </c>
      <c r="DC201" s="140" t="s">
        <v>166</v>
      </c>
      <c r="DD201" s="140" t="s">
        <v>166</v>
      </c>
      <c r="DE201" s="140" t="s">
        <v>166</v>
      </c>
      <c r="DF201" s="140" t="s">
        <v>205</v>
      </c>
      <c r="DG201" s="250">
        <v>35</v>
      </c>
      <c r="DH201" s="250" t="s">
        <v>201</v>
      </c>
      <c r="DI201" s="250">
        <v>1</v>
      </c>
      <c r="DJ201" s="250" t="s">
        <v>206</v>
      </c>
      <c r="DK201" s="250">
        <v>17</v>
      </c>
      <c r="DL201" s="140" t="s">
        <v>166</v>
      </c>
      <c r="DM201" s="140" t="s">
        <v>166</v>
      </c>
      <c r="DN201" s="250" t="s">
        <v>207</v>
      </c>
      <c r="DO201" s="250">
        <v>38</v>
      </c>
      <c r="DP201" s="250" t="s">
        <v>208</v>
      </c>
      <c r="DQ201" s="250">
        <v>3</v>
      </c>
      <c r="DR201" s="250" t="s">
        <v>209</v>
      </c>
      <c r="DS201" s="140" t="s">
        <v>166</v>
      </c>
      <c r="DT201" s="140" t="s">
        <v>166</v>
      </c>
      <c r="DU201" s="140" t="s">
        <v>166</v>
      </c>
      <c r="DV201" s="140" t="s">
        <v>166</v>
      </c>
      <c r="DW201" s="250">
        <v>432.6</v>
      </c>
      <c r="DX201" s="140" t="s">
        <v>166</v>
      </c>
      <c r="DY201" s="140" t="s">
        <v>166</v>
      </c>
      <c r="DZ201" s="140" t="s">
        <v>210</v>
      </c>
      <c r="EA201" s="140" t="s">
        <v>211</v>
      </c>
      <c r="EB201" s="140" t="s">
        <v>212</v>
      </c>
      <c r="EC201" s="140" t="s">
        <v>166</v>
      </c>
      <c r="ED201" s="140" t="s">
        <v>213</v>
      </c>
      <c r="EE201" s="213" t="s">
        <v>214</v>
      </c>
      <c r="EF201" s="213" t="s">
        <v>214</v>
      </c>
      <c r="EG201" s="250">
        <v>1.0271999999999999</v>
      </c>
      <c r="EH201" s="250" t="s">
        <v>215</v>
      </c>
      <c r="EI201" s="250" t="s">
        <v>215</v>
      </c>
      <c r="EJ201" s="250" t="s">
        <v>216</v>
      </c>
      <c r="EK201" s="250" t="s">
        <v>215</v>
      </c>
      <c r="EL201" s="250" t="s">
        <v>215</v>
      </c>
      <c r="EM201" s="250" t="s">
        <v>217</v>
      </c>
      <c r="EN201" s="251" t="s">
        <v>214</v>
      </c>
      <c r="EO201" s="251" t="s">
        <v>214</v>
      </c>
      <c r="EP201" s="251" t="s">
        <v>214</v>
      </c>
      <c r="EQ201" s="251" t="s">
        <v>214</v>
      </c>
      <c r="ER201" s="250"/>
      <c r="ES201" s="250"/>
      <c r="ET201" s="140" t="s">
        <v>218</v>
      </c>
      <c r="EU201" s="250" t="s">
        <v>219</v>
      </c>
      <c r="EV201" s="250" t="s">
        <v>213</v>
      </c>
      <c r="EW201" s="140" t="s">
        <v>166</v>
      </c>
      <c r="EX201" s="140" t="s">
        <v>166</v>
      </c>
      <c r="EY201" s="140" t="s">
        <v>166</v>
      </c>
      <c r="EZ201" s="140" t="s">
        <v>166</v>
      </c>
      <c r="FA201" s="205">
        <v>5.5</v>
      </c>
      <c r="FB201" s="140" t="s">
        <v>220</v>
      </c>
      <c r="FC201" s="205">
        <v>1</v>
      </c>
      <c r="FD201" s="205">
        <v>1</v>
      </c>
      <c r="FE201" s="252">
        <v>7.7413427712652796</v>
      </c>
      <c r="FF201" s="140" t="s">
        <v>221</v>
      </c>
      <c r="FG201" s="252">
        <v>4.6328651418149569E-2</v>
      </c>
      <c r="FH201" s="252">
        <v>4.009746617866039E-2</v>
      </c>
      <c r="FI201" s="201">
        <v>804.64648319408502</v>
      </c>
      <c r="FK201" s="140" t="s">
        <v>166</v>
      </c>
      <c r="FL201" s="217">
        <f t="shared" si="157"/>
        <v>804.64648319408502</v>
      </c>
      <c r="FM201" s="201">
        <v>210.4761355003651</v>
      </c>
      <c r="FN201" s="201">
        <v>170.93881694019706</v>
      </c>
      <c r="FO201" s="140" t="s">
        <v>222</v>
      </c>
      <c r="FP201" s="140" t="s">
        <v>223</v>
      </c>
      <c r="FQ201" s="217" t="s">
        <v>166</v>
      </c>
      <c r="FR201" s="217" t="s">
        <v>166</v>
      </c>
      <c r="FS201" s="217" t="s">
        <v>166</v>
      </c>
      <c r="FT201" s="217" t="s">
        <v>166</v>
      </c>
      <c r="FU201" s="217" t="s">
        <v>166</v>
      </c>
      <c r="FV201" s="217" t="s">
        <v>166</v>
      </c>
      <c r="FW201" s="217" t="s">
        <v>166</v>
      </c>
      <c r="FX201" s="217" t="s">
        <v>166</v>
      </c>
      <c r="FY201" s="217" t="s">
        <v>166</v>
      </c>
      <c r="FZ201" s="217" t="s">
        <v>166</v>
      </c>
      <c r="GA201" s="217" t="s">
        <v>166</v>
      </c>
      <c r="GB201" s="217" t="s">
        <v>166</v>
      </c>
      <c r="GC201" s="202" t="s">
        <v>507</v>
      </c>
    </row>
    <row r="202" spans="1:191" s="140" customFormat="1" ht="17">
      <c r="A202" s="140" t="s">
        <v>162</v>
      </c>
      <c r="B202" s="143" t="s">
        <v>163</v>
      </c>
      <c r="C202" s="140" t="s">
        <v>164</v>
      </c>
      <c r="D202" s="140" t="s">
        <v>165</v>
      </c>
      <c r="E202" s="140">
        <v>2020</v>
      </c>
      <c r="F202" s="140" t="s">
        <v>184</v>
      </c>
      <c r="G202" s="240">
        <v>56102.147994995226</v>
      </c>
      <c r="H202" s="241">
        <f t="shared" ref="H202" si="208">0.0083*G202^(0.9482)</f>
        <v>264.27765485877086</v>
      </c>
      <c r="I202" s="241">
        <f t="shared" si="171"/>
        <v>264.27765485877086</v>
      </c>
      <c r="J202" s="201">
        <v>1089.65393969558</v>
      </c>
      <c r="K202" s="201">
        <v>329.18230036185014</v>
      </c>
      <c r="L202" s="201">
        <v>262.587175321892</v>
      </c>
      <c r="M202" s="140" t="b">
        <v>1</v>
      </c>
      <c r="N202" s="140">
        <v>1</v>
      </c>
      <c r="O202" s="302" t="s">
        <v>581</v>
      </c>
      <c r="P202" s="140" t="s">
        <v>166</v>
      </c>
      <c r="Q202" s="140" t="s">
        <v>166</v>
      </c>
      <c r="R202" s="140" t="s">
        <v>166</v>
      </c>
      <c r="S202" s="140" t="b">
        <v>1</v>
      </c>
      <c r="T202" s="140" t="b">
        <v>0</v>
      </c>
      <c r="U202" s="140" t="s">
        <v>166</v>
      </c>
      <c r="V202" s="140" t="b">
        <v>0</v>
      </c>
      <c r="W202" s="140" t="b">
        <v>0</v>
      </c>
      <c r="X202" s="140" t="s">
        <v>580</v>
      </c>
      <c r="Y202" s="202" t="s">
        <v>186</v>
      </c>
      <c r="Z202" s="140" t="s">
        <v>184</v>
      </c>
      <c r="AA202" s="242">
        <v>401</v>
      </c>
      <c r="AB202" s="140" t="s">
        <v>166</v>
      </c>
      <c r="AC202" s="140">
        <v>14</v>
      </c>
      <c r="AD202" s="140">
        <v>4</v>
      </c>
      <c r="AE202" s="140">
        <v>70</v>
      </c>
      <c r="AF202" s="140">
        <v>71</v>
      </c>
      <c r="AG202" s="140" t="s">
        <v>166</v>
      </c>
      <c r="AH202" s="243">
        <v>203.70500000000001</v>
      </c>
      <c r="AI202" s="140" t="s">
        <v>498</v>
      </c>
      <c r="AJ202" s="140" t="s">
        <v>499</v>
      </c>
      <c r="AK202" s="210">
        <v>47.427500000000002</v>
      </c>
      <c r="AL202" s="210">
        <v>-8.8102999999999998</v>
      </c>
      <c r="AM202" s="244">
        <v>42</v>
      </c>
      <c r="AN202" s="244">
        <v>21</v>
      </c>
      <c r="AO202" s="244">
        <v>-2495</v>
      </c>
      <c r="AP202" s="140">
        <v>-2000</v>
      </c>
      <c r="AQ202" s="140" t="s">
        <v>500</v>
      </c>
      <c r="AR202" s="140" t="s">
        <v>166</v>
      </c>
      <c r="AS202" s="240">
        <v>56.102147994995228</v>
      </c>
      <c r="AT202" s="140" t="s">
        <v>166</v>
      </c>
      <c r="AU202" s="140" t="s">
        <v>166</v>
      </c>
      <c r="AV202" s="140" t="s">
        <v>166</v>
      </c>
      <c r="AW202" s="140" t="s">
        <v>166</v>
      </c>
      <c r="AX202" s="140" t="s">
        <v>501</v>
      </c>
      <c r="AY202" s="140" t="s">
        <v>502</v>
      </c>
      <c r="AZ202" s="215">
        <v>56.246939141385383</v>
      </c>
      <c r="BA202" s="140" t="s">
        <v>166</v>
      </c>
      <c r="BB202" s="140" t="s">
        <v>166</v>
      </c>
      <c r="BC202" s="140" t="s">
        <v>166</v>
      </c>
      <c r="BD202" s="140" t="s">
        <v>166</v>
      </c>
      <c r="BE202" s="140" t="s">
        <v>503</v>
      </c>
      <c r="BF202" s="140" t="s">
        <v>504</v>
      </c>
      <c r="BG202" s="245" t="s">
        <v>505</v>
      </c>
      <c r="BH202" s="207" t="s">
        <v>192</v>
      </c>
      <c r="BI202" s="140" t="s">
        <v>166</v>
      </c>
      <c r="BJ202" s="140" t="s">
        <v>506</v>
      </c>
      <c r="BK202" s="140" t="s">
        <v>226</v>
      </c>
      <c r="BL202" s="140" t="s">
        <v>194</v>
      </c>
      <c r="BM202" s="140" t="s">
        <v>195</v>
      </c>
      <c r="BN202" s="140" t="s">
        <v>466</v>
      </c>
      <c r="BO202" s="140" t="s">
        <v>166</v>
      </c>
      <c r="BP202" s="140" t="s">
        <v>166</v>
      </c>
      <c r="BQ202" s="246">
        <v>14.441583948388459</v>
      </c>
      <c r="BR202" s="140" t="s">
        <v>196</v>
      </c>
      <c r="BS202" s="246">
        <v>0.38580827922516892</v>
      </c>
      <c r="BT202" s="140">
        <v>1</v>
      </c>
      <c r="BU202" s="140" t="s">
        <v>197</v>
      </c>
      <c r="BV202" s="140" t="s">
        <v>166</v>
      </c>
      <c r="BW202" s="140">
        <v>0</v>
      </c>
      <c r="BX202" s="140" t="s">
        <v>197</v>
      </c>
      <c r="BY202" s="140" t="s">
        <v>166</v>
      </c>
      <c r="BZ202" s="140" t="s">
        <v>197</v>
      </c>
      <c r="CA202" s="140" t="s">
        <v>166</v>
      </c>
      <c r="CB202" s="210">
        <f t="shared" si="165"/>
        <v>14.441583948388459</v>
      </c>
      <c r="CC202" s="140" t="s">
        <v>196</v>
      </c>
      <c r="CD202" s="210">
        <f t="shared" si="166"/>
        <v>0.38580827922516892</v>
      </c>
      <c r="CE202" s="140" t="s">
        <v>199</v>
      </c>
      <c r="CF202" s="140" t="s">
        <v>166</v>
      </c>
      <c r="CG202" s="140" t="s">
        <v>474</v>
      </c>
      <c r="CH202" s="140" t="s">
        <v>166</v>
      </c>
      <c r="CI202" s="140" t="s">
        <v>166</v>
      </c>
      <c r="CJ202" s="247">
        <v>32.08583715373733</v>
      </c>
      <c r="CK202" s="140" t="s">
        <v>201</v>
      </c>
      <c r="CL202" s="140">
        <v>2</v>
      </c>
      <c r="CM202" s="140">
        <v>2</v>
      </c>
      <c r="CN202" s="140" t="s">
        <v>166</v>
      </c>
      <c r="CO202" s="248">
        <v>3.3188109164932915</v>
      </c>
      <c r="CP202" s="140" t="s">
        <v>166</v>
      </c>
      <c r="CQ202" s="140" t="s">
        <v>166</v>
      </c>
      <c r="CR202" s="140" t="s">
        <v>166</v>
      </c>
      <c r="CS202" s="249" t="s">
        <v>202</v>
      </c>
      <c r="CT202" s="140" t="s">
        <v>203</v>
      </c>
      <c r="CU202" s="140">
        <v>2.2000000000000002</v>
      </c>
      <c r="CV202" s="140" t="s">
        <v>204</v>
      </c>
      <c r="CW202" s="140" t="s">
        <v>166</v>
      </c>
      <c r="CX202" s="140" t="s">
        <v>166</v>
      </c>
      <c r="CY202" s="140" t="s">
        <v>166</v>
      </c>
      <c r="CZ202" s="140" t="s">
        <v>166</v>
      </c>
      <c r="DA202" s="209" t="s">
        <v>166</v>
      </c>
      <c r="DB202" s="140" t="s">
        <v>166</v>
      </c>
      <c r="DC202" s="140" t="s">
        <v>166</v>
      </c>
      <c r="DD202" s="140" t="s">
        <v>166</v>
      </c>
      <c r="DE202" s="140" t="s">
        <v>166</v>
      </c>
      <c r="DF202" s="140" t="s">
        <v>205</v>
      </c>
      <c r="DG202" s="250">
        <v>35</v>
      </c>
      <c r="DH202" s="250" t="s">
        <v>201</v>
      </c>
      <c r="DI202" s="250">
        <v>1</v>
      </c>
      <c r="DJ202" s="250" t="s">
        <v>206</v>
      </c>
      <c r="DK202" s="250">
        <v>17</v>
      </c>
      <c r="DL202" s="140" t="s">
        <v>166</v>
      </c>
      <c r="DM202" s="140" t="s">
        <v>166</v>
      </c>
      <c r="DN202" s="250" t="s">
        <v>207</v>
      </c>
      <c r="DO202" s="250">
        <v>38</v>
      </c>
      <c r="DP202" s="250" t="s">
        <v>208</v>
      </c>
      <c r="DQ202" s="250">
        <v>3</v>
      </c>
      <c r="DR202" s="250" t="s">
        <v>209</v>
      </c>
      <c r="DS202" s="140" t="s">
        <v>166</v>
      </c>
      <c r="DT202" s="140" t="s">
        <v>166</v>
      </c>
      <c r="DU202" s="140" t="s">
        <v>166</v>
      </c>
      <c r="DV202" s="140" t="s">
        <v>166</v>
      </c>
      <c r="DW202" s="250">
        <v>432.6</v>
      </c>
      <c r="DX202" s="140" t="s">
        <v>166</v>
      </c>
      <c r="DY202" s="140" t="s">
        <v>166</v>
      </c>
      <c r="DZ202" s="140" t="s">
        <v>210</v>
      </c>
      <c r="EA202" s="140" t="s">
        <v>211</v>
      </c>
      <c r="EB202" s="140" t="s">
        <v>212</v>
      </c>
      <c r="EC202" s="140" t="s">
        <v>166</v>
      </c>
      <c r="ED202" s="140" t="s">
        <v>213</v>
      </c>
      <c r="EE202" s="213" t="s">
        <v>214</v>
      </c>
      <c r="EF202" s="213" t="s">
        <v>214</v>
      </c>
      <c r="EG202" s="250">
        <v>1.0271999999999999</v>
      </c>
      <c r="EH202" s="250" t="s">
        <v>215</v>
      </c>
      <c r="EI202" s="250" t="s">
        <v>215</v>
      </c>
      <c r="EJ202" s="250" t="s">
        <v>216</v>
      </c>
      <c r="EK202" s="250" t="s">
        <v>215</v>
      </c>
      <c r="EL202" s="250" t="s">
        <v>215</v>
      </c>
      <c r="EM202" s="250" t="s">
        <v>217</v>
      </c>
      <c r="EN202" s="251" t="s">
        <v>214</v>
      </c>
      <c r="EO202" s="251" t="s">
        <v>214</v>
      </c>
      <c r="EP202" s="251" t="s">
        <v>214</v>
      </c>
      <c r="EQ202" s="251" t="s">
        <v>214</v>
      </c>
      <c r="ER202" s="250"/>
      <c r="ES202" s="250"/>
      <c r="ET202" s="140" t="s">
        <v>218</v>
      </c>
      <c r="EU202" s="250" t="s">
        <v>219</v>
      </c>
      <c r="EV202" s="250" t="s">
        <v>213</v>
      </c>
      <c r="EW202" s="140" t="s">
        <v>166</v>
      </c>
      <c r="EX202" s="140" t="s">
        <v>166</v>
      </c>
      <c r="EY202" s="140" t="s">
        <v>166</v>
      </c>
      <c r="EZ202" s="140" t="s">
        <v>166</v>
      </c>
      <c r="FA202" s="205">
        <v>5.5</v>
      </c>
      <c r="FB202" s="140" t="s">
        <v>220</v>
      </c>
      <c r="FC202" s="205">
        <v>1</v>
      </c>
      <c r="FD202" s="205">
        <v>1</v>
      </c>
      <c r="FE202" s="252">
        <v>7.6788766707298199</v>
      </c>
      <c r="FF202" s="140" t="s">
        <v>221</v>
      </c>
      <c r="FG202" s="252">
        <v>5.1495835885550179E-2</v>
      </c>
      <c r="FH202" s="252">
        <v>5.355238012996022E-2</v>
      </c>
      <c r="FI202" s="201">
        <v>1089.65393969558</v>
      </c>
      <c r="FK202" s="140" t="s">
        <v>166</v>
      </c>
      <c r="FL202" s="217">
        <f t="shared" si="157"/>
        <v>1089.65393969558</v>
      </c>
      <c r="FM202" s="201">
        <v>329.18230036185014</v>
      </c>
      <c r="FN202" s="201">
        <v>262.587175321892</v>
      </c>
      <c r="FO202" s="140" t="s">
        <v>222</v>
      </c>
      <c r="FP202" s="140" t="s">
        <v>223</v>
      </c>
      <c r="FQ202" s="217" t="s">
        <v>166</v>
      </c>
      <c r="FR202" s="217" t="s">
        <v>166</v>
      </c>
      <c r="FS202" s="217" t="s">
        <v>166</v>
      </c>
      <c r="FT202" s="217" t="s">
        <v>166</v>
      </c>
      <c r="FU202" s="217" t="s">
        <v>166</v>
      </c>
      <c r="FV202" s="217" t="s">
        <v>166</v>
      </c>
      <c r="FW202" s="217" t="s">
        <v>166</v>
      </c>
      <c r="FX202" s="217" t="s">
        <v>166</v>
      </c>
      <c r="FY202" s="217" t="s">
        <v>166</v>
      </c>
      <c r="FZ202" s="217" t="s">
        <v>166</v>
      </c>
      <c r="GA202" s="217" t="s">
        <v>166</v>
      </c>
      <c r="GB202" s="217" t="s">
        <v>166</v>
      </c>
      <c r="GC202" s="202" t="s">
        <v>507</v>
      </c>
    </row>
    <row r="203" spans="1:191" s="140" customFormat="1" ht="17">
      <c r="A203" s="140" t="s">
        <v>162</v>
      </c>
      <c r="B203" s="143" t="s">
        <v>163</v>
      </c>
      <c r="C203" s="140" t="s">
        <v>164</v>
      </c>
      <c r="D203" s="140" t="s">
        <v>165</v>
      </c>
      <c r="E203" s="140">
        <v>2020</v>
      </c>
      <c r="F203" s="140" t="s">
        <v>184</v>
      </c>
      <c r="G203" s="240">
        <v>56134.637161255021</v>
      </c>
      <c r="H203" s="241">
        <f t="shared" ref="H203" si="209">0.0083*G203^(0.9482)</f>
        <v>264.42277007714932</v>
      </c>
      <c r="I203" s="241">
        <f t="shared" si="171"/>
        <v>264.42277007714932</v>
      </c>
      <c r="J203" s="201">
        <v>817.21711593021803</v>
      </c>
      <c r="K203" s="201">
        <v>270.3660303077919</v>
      </c>
      <c r="L203" s="201">
        <v>170.93995218868406</v>
      </c>
      <c r="M203" s="140" t="b">
        <v>1</v>
      </c>
      <c r="N203" s="140">
        <v>1</v>
      </c>
      <c r="O203" s="302" t="s">
        <v>581</v>
      </c>
      <c r="P203" s="140" t="s">
        <v>166</v>
      </c>
      <c r="Q203" s="140" t="s">
        <v>166</v>
      </c>
      <c r="R203" s="140" t="s">
        <v>166</v>
      </c>
      <c r="S203" s="140" t="b">
        <v>1</v>
      </c>
      <c r="T203" s="140" t="b">
        <v>0</v>
      </c>
      <c r="U203" s="140" t="s">
        <v>166</v>
      </c>
      <c r="V203" s="140" t="b">
        <v>0</v>
      </c>
      <c r="W203" s="140" t="b">
        <v>0</v>
      </c>
      <c r="X203" s="140" t="s">
        <v>580</v>
      </c>
      <c r="Y203" s="202" t="s">
        <v>186</v>
      </c>
      <c r="Z203" s="140" t="s">
        <v>184</v>
      </c>
      <c r="AA203" s="242">
        <v>401</v>
      </c>
      <c r="AB203" s="140" t="s">
        <v>166</v>
      </c>
      <c r="AC203" s="140">
        <v>14</v>
      </c>
      <c r="AD203" s="140">
        <v>4</v>
      </c>
      <c r="AE203" s="140">
        <v>90</v>
      </c>
      <c r="AF203" s="140">
        <v>91</v>
      </c>
      <c r="AG203" s="140" t="s">
        <v>166</v>
      </c>
      <c r="AH203" s="243">
        <v>203.905</v>
      </c>
      <c r="AI203" s="140" t="s">
        <v>498</v>
      </c>
      <c r="AJ203" s="140" t="s">
        <v>499</v>
      </c>
      <c r="AK203" s="210">
        <v>47.427500000000002</v>
      </c>
      <c r="AL203" s="210">
        <v>-8.8102999999999998</v>
      </c>
      <c r="AM203" s="244">
        <v>42</v>
      </c>
      <c r="AN203" s="244">
        <v>21</v>
      </c>
      <c r="AO203" s="244">
        <v>-2495</v>
      </c>
      <c r="AP203" s="140">
        <v>-2000</v>
      </c>
      <c r="AQ203" s="140" t="s">
        <v>500</v>
      </c>
      <c r="AR203" s="140" t="s">
        <v>166</v>
      </c>
      <c r="AS203" s="240">
        <v>56.134637161255021</v>
      </c>
      <c r="AT203" s="140" t="s">
        <v>166</v>
      </c>
      <c r="AU203" s="140" t="s">
        <v>166</v>
      </c>
      <c r="AV203" s="140" t="s">
        <v>166</v>
      </c>
      <c r="AW203" s="140" t="s">
        <v>166</v>
      </c>
      <c r="AX203" s="140" t="s">
        <v>501</v>
      </c>
      <c r="AY203" s="140" t="s">
        <v>502</v>
      </c>
      <c r="AZ203" s="215">
        <v>56.303328909252592</v>
      </c>
      <c r="BA203" s="140" t="s">
        <v>166</v>
      </c>
      <c r="BB203" s="140" t="s">
        <v>166</v>
      </c>
      <c r="BC203" s="140" t="s">
        <v>166</v>
      </c>
      <c r="BD203" s="140" t="s">
        <v>166</v>
      </c>
      <c r="BE203" s="140" t="s">
        <v>503</v>
      </c>
      <c r="BF203" s="140" t="s">
        <v>504</v>
      </c>
      <c r="BG203" s="245" t="s">
        <v>505</v>
      </c>
      <c r="BH203" s="207" t="s">
        <v>192</v>
      </c>
      <c r="BI203" s="140" t="s">
        <v>166</v>
      </c>
      <c r="BJ203" s="140" t="s">
        <v>506</v>
      </c>
      <c r="BK203" s="140" t="s">
        <v>226</v>
      </c>
      <c r="BL203" s="140" t="s">
        <v>194</v>
      </c>
      <c r="BM203" s="140" t="s">
        <v>195</v>
      </c>
      <c r="BN203" s="140" t="s">
        <v>466</v>
      </c>
      <c r="BO203" s="140" t="s">
        <v>166</v>
      </c>
      <c r="BP203" s="140" t="s">
        <v>166</v>
      </c>
      <c r="BQ203" s="246">
        <v>14.915064788225019</v>
      </c>
      <c r="BR203" s="140" t="s">
        <v>196</v>
      </c>
      <c r="BS203" s="246">
        <v>0.42500362550775694</v>
      </c>
      <c r="BT203" s="140">
        <v>1</v>
      </c>
      <c r="BU203" s="140" t="s">
        <v>197</v>
      </c>
      <c r="BV203" s="140" t="s">
        <v>166</v>
      </c>
      <c r="BW203" s="140">
        <v>0</v>
      </c>
      <c r="BX203" s="140" t="s">
        <v>197</v>
      </c>
      <c r="BY203" s="140" t="s">
        <v>166</v>
      </c>
      <c r="BZ203" s="140" t="s">
        <v>197</v>
      </c>
      <c r="CA203" s="140" t="s">
        <v>166</v>
      </c>
      <c r="CB203" s="210">
        <f t="shared" si="165"/>
        <v>14.915064788225019</v>
      </c>
      <c r="CC203" s="140" t="s">
        <v>196</v>
      </c>
      <c r="CD203" s="210">
        <f t="shared" si="166"/>
        <v>0.42500362550775694</v>
      </c>
      <c r="CE203" s="140" t="s">
        <v>199</v>
      </c>
      <c r="CF203" s="140" t="s">
        <v>166</v>
      </c>
      <c r="CG203" s="140" t="s">
        <v>474</v>
      </c>
      <c r="CH203" s="140" t="s">
        <v>166</v>
      </c>
      <c r="CI203" s="140" t="s">
        <v>166</v>
      </c>
      <c r="CJ203" s="247">
        <v>32.839044025726864</v>
      </c>
      <c r="CK203" s="140" t="s">
        <v>201</v>
      </c>
      <c r="CL203" s="140">
        <v>2</v>
      </c>
      <c r="CM203" s="140">
        <v>2</v>
      </c>
      <c r="CN203" s="140" t="s">
        <v>166</v>
      </c>
      <c r="CO203" s="248">
        <v>3.4627404502736874</v>
      </c>
      <c r="CP203" s="140" t="s">
        <v>166</v>
      </c>
      <c r="CQ203" s="140" t="s">
        <v>166</v>
      </c>
      <c r="CR203" s="140" t="s">
        <v>166</v>
      </c>
      <c r="CS203" s="249" t="s">
        <v>202</v>
      </c>
      <c r="CT203" s="140" t="s">
        <v>203</v>
      </c>
      <c r="CU203" s="140">
        <v>2.2000000000000002</v>
      </c>
      <c r="CV203" s="140" t="s">
        <v>204</v>
      </c>
      <c r="CW203" s="140" t="s">
        <v>166</v>
      </c>
      <c r="CX203" s="140" t="s">
        <v>166</v>
      </c>
      <c r="CY203" s="140" t="s">
        <v>166</v>
      </c>
      <c r="CZ203" s="140" t="s">
        <v>166</v>
      </c>
      <c r="DA203" s="209" t="s">
        <v>166</v>
      </c>
      <c r="DB203" s="140" t="s">
        <v>166</v>
      </c>
      <c r="DC203" s="140" t="s">
        <v>166</v>
      </c>
      <c r="DD203" s="140" t="s">
        <v>166</v>
      </c>
      <c r="DE203" s="140" t="s">
        <v>166</v>
      </c>
      <c r="DF203" s="140" t="s">
        <v>205</v>
      </c>
      <c r="DG203" s="250">
        <v>35</v>
      </c>
      <c r="DH203" s="250" t="s">
        <v>201</v>
      </c>
      <c r="DI203" s="250">
        <v>1</v>
      </c>
      <c r="DJ203" s="250" t="s">
        <v>206</v>
      </c>
      <c r="DK203" s="250">
        <v>17</v>
      </c>
      <c r="DL203" s="140" t="s">
        <v>166</v>
      </c>
      <c r="DM203" s="140" t="s">
        <v>166</v>
      </c>
      <c r="DN203" s="250" t="s">
        <v>207</v>
      </c>
      <c r="DO203" s="250">
        <v>38</v>
      </c>
      <c r="DP203" s="250" t="s">
        <v>208</v>
      </c>
      <c r="DQ203" s="250">
        <v>3</v>
      </c>
      <c r="DR203" s="250" t="s">
        <v>209</v>
      </c>
      <c r="DS203" s="140" t="s">
        <v>166</v>
      </c>
      <c r="DT203" s="140" t="s">
        <v>166</v>
      </c>
      <c r="DU203" s="140" t="s">
        <v>166</v>
      </c>
      <c r="DV203" s="140" t="s">
        <v>166</v>
      </c>
      <c r="DW203" s="250">
        <v>432.6</v>
      </c>
      <c r="DX203" s="140" t="s">
        <v>166</v>
      </c>
      <c r="DY203" s="140" t="s">
        <v>166</v>
      </c>
      <c r="DZ203" s="140" t="s">
        <v>210</v>
      </c>
      <c r="EA203" s="140" t="s">
        <v>211</v>
      </c>
      <c r="EB203" s="140" t="s">
        <v>212</v>
      </c>
      <c r="EC203" s="140" t="s">
        <v>166</v>
      </c>
      <c r="ED203" s="140" t="s">
        <v>213</v>
      </c>
      <c r="EE203" s="213" t="s">
        <v>214</v>
      </c>
      <c r="EF203" s="213" t="s">
        <v>214</v>
      </c>
      <c r="EG203" s="250">
        <v>1.0271999999999999</v>
      </c>
      <c r="EH203" s="250" t="s">
        <v>215</v>
      </c>
      <c r="EI203" s="250" t="s">
        <v>215</v>
      </c>
      <c r="EJ203" s="250" t="s">
        <v>216</v>
      </c>
      <c r="EK203" s="250" t="s">
        <v>215</v>
      </c>
      <c r="EL203" s="250" t="s">
        <v>215</v>
      </c>
      <c r="EM203" s="250" t="s">
        <v>217</v>
      </c>
      <c r="EN203" s="251" t="s">
        <v>214</v>
      </c>
      <c r="EO203" s="251" t="s">
        <v>214</v>
      </c>
      <c r="EP203" s="251" t="s">
        <v>214</v>
      </c>
      <c r="EQ203" s="251" t="s">
        <v>214</v>
      </c>
      <c r="ER203" s="250"/>
      <c r="ES203" s="250"/>
      <c r="ET203" s="140" t="s">
        <v>218</v>
      </c>
      <c r="EU203" s="250" t="s">
        <v>219</v>
      </c>
      <c r="EV203" s="250" t="s">
        <v>213</v>
      </c>
      <c r="EW203" s="140" t="s">
        <v>166</v>
      </c>
      <c r="EX203" s="140" t="s">
        <v>166</v>
      </c>
      <c r="EY203" s="140" t="s">
        <v>166</v>
      </c>
      <c r="EZ203" s="140" t="s">
        <v>166</v>
      </c>
      <c r="FA203" s="205">
        <v>5.5</v>
      </c>
      <c r="FB203" s="140" t="s">
        <v>220</v>
      </c>
      <c r="FC203" s="205">
        <v>1</v>
      </c>
      <c r="FD203" s="205">
        <v>1</v>
      </c>
      <c r="FE203" s="252">
        <v>7.7344738555913004</v>
      </c>
      <c r="FF203" s="140" t="s">
        <v>221</v>
      </c>
      <c r="FG203" s="252">
        <v>5.0682689629360844E-2</v>
      </c>
      <c r="FH203" s="252">
        <v>5.0291502854079795E-2</v>
      </c>
      <c r="FI203" s="201">
        <v>817.21711593021803</v>
      </c>
      <c r="FK203" s="140" t="s">
        <v>166</v>
      </c>
      <c r="FL203" s="217">
        <f t="shared" si="157"/>
        <v>817.21711593021803</v>
      </c>
      <c r="FM203" s="201">
        <v>270.3660303077919</v>
      </c>
      <c r="FN203" s="201">
        <v>170.93995218868406</v>
      </c>
      <c r="FO203" s="140" t="s">
        <v>222</v>
      </c>
      <c r="FP203" s="140" t="s">
        <v>223</v>
      </c>
      <c r="FQ203" s="217" t="s">
        <v>166</v>
      </c>
      <c r="FR203" s="217" t="s">
        <v>166</v>
      </c>
      <c r="FS203" s="217" t="s">
        <v>166</v>
      </c>
      <c r="FT203" s="217" t="s">
        <v>166</v>
      </c>
      <c r="FU203" s="217" t="s">
        <v>166</v>
      </c>
      <c r="FV203" s="217" t="s">
        <v>166</v>
      </c>
      <c r="FW203" s="217" t="s">
        <v>166</v>
      </c>
      <c r="FX203" s="217" t="s">
        <v>166</v>
      </c>
      <c r="FY203" s="217" t="s">
        <v>166</v>
      </c>
      <c r="FZ203" s="217" t="s">
        <v>166</v>
      </c>
      <c r="GA203" s="217" t="s">
        <v>166</v>
      </c>
      <c r="GB203" s="217" t="s">
        <v>166</v>
      </c>
      <c r="GC203" s="202" t="s">
        <v>507</v>
      </c>
    </row>
    <row r="204" spans="1:191" s="140" customFormat="1" ht="17">
      <c r="A204" s="140" t="s">
        <v>162</v>
      </c>
      <c r="B204" s="143" t="s">
        <v>163</v>
      </c>
      <c r="C204" s="140" t="s">
        <v>164</v>
      </c>
      <c r="D204" s="140" t="s">
        <v>165</v>
      </c>
      <c r="E204" s="140">
        <v>2020</v>
      </c>
      <c r="F204" s="140" t="s">
        <v>184</v>
      </c>
      <c r="G204" s="240">
        <v>56336.882221222244</v>
      </c>
      <c r="H204" s="241">
        <f t="shared" ref="H204" si="210">0.0083*G204^(0.9482)</f>
        <v>265.32601458080586</v>
      </c>
      <c r="I204" s="241">
        <f t="shared" si="171"/>
        <v>265.32601458080586</v>
      </c>
      <c r="J204" s="201">
        <v>545.94606891905903</v>
      </c>
      <c r="K204" s="201">
        <v>231.99170579313204</v>
      </c>
      <c r="L204" s="201">
        <v>138.70945038769105</v>
      </c>
      <c r="M204" s="140" t="b">
        <v>1</v>
      </c>
      <c r="N204" s="140">
        <v>1</v>
      </c>
      <c r="O204" s="302" t="s">
        <v>581</v>
      </c>
      <c r="P204" s="140" t="s">
        <v>166</v>
      </c>
      <c r="Q204" s="140" t="s">
        <v>166</v>
      </c>
      <c r="R204" s="140" t="s">
        <v>166</v>
      </c>
      <c r="S204" s="140" t="b">
        <v>1</v>
      </c>
      <c r="T204" s="140" t="b">
        <v>0</v>
      </c>
      <c r="U204" s="140" t="s">
        <v>166</v>
      </c>
      <c r="V204" s="140" t="b">
        <v>0</v>
      </c>
      <c r="W204" s="140" t="b">
        <v>0</v>
      </c>
      <c r="X204" s="140" t="s">
        <v>580</v>
      </c>
      <c r="Y204" s="220" t="s">
        <v>186</v>
      </c>
      <c r="Z204" s="221" t="s">
        <v>184</v>
      </c>
      <c r="AA204" s="254">
        <v>401</v>
      </c>
      <c r="AB204" s="221" t="s">
        <v>166</v>
      </c>
      <c r="AC204" s="221">
        <v>14</v>
      </c>
      <c r="AD204" s="221">
        <v>4</v>
      </c>
      <c r="AE204" s="221">
        <v>64</v>
      </c>
      <c r="AF204" s="221">
        <f t="shared" si="176"/>
        <v>66</v>
      </c>
      <c r="AG204" s="221" t="s">
        <v>166</v>
      </c>
      <c r="AH204" s="255">
        <v>205.15</v>
      </c>
      <c r="AI204" s="221" t="s">
        <v>498</v>
      </c>
      <c r="AJ204" s="221" t="s">
        <v>499</v>
      </c>
      <c r="AK204" s="230">
        <v>47.427500000000002</v>
      </c>
      <c r="AL204" s="230">
        <v>-8.8102999999999998</v>
      </c>
      <c r="AM204" s="256">
        <v>42</v>
      </c>
      <c r="AN204" s="256">
        <v>21</v>
      </c>
      <c r="AO204" s="256">
        <v>-2495</v>
      </c>
      <c r="AP204" s="221">
        <v>-2000</v>
      </c>
      <c r="AQ204" s="221" t="s">
        <v>500</v>
      </c>
      <c r="AR204" s="221" t="s">
        <v>166</v>
      </c>
      <c r="AS204" s="257">
        <v>56.336882221222247</v>
      </c>
      <c r="AT204" s="221" t="s">
        <v>166</v>
      </c>
      <c r="AU204" s="221" t="s">
        <v>166</v>
      </c>
      <c r="AV204" s="221" t="s">
        <v>166</v>
      </c>
      <c r="AW204" s="221" t="s">
        <v>166</v>
      </c>
      <c r="AX204" s="221" t="s">
        <v>501</v>
      </c>
      <c r="AY204" s="221" t="s">
        <v>502</v>
      </c>
      <c r="AZ204" s="235">
        <v>56.65435521422598</v>
      </c>
      <c r="BA204" s="221" t="s">
        <v>166</v>
      </c>
      <c r="BB204" s="221" t="s">
        <v>166</v>
      </c>
      <c r="BC204" s="221" t="s">
        <v>166</v>
      </c>
      <c r="BD204" s="221" t="s">
        <v>166</v>
      </c>
      <c r="BE204" s="221" t="s">
        <v>503</v>
      </c>
      <c r="BF204" s="221" t="s">
        <v>504</v>
      </c>
      <c r="BG204" s="258" t="s">
        <v>505</v>
      </c>
      <c r="BH204" s="227" t="s">
        <v>192</v>
      </c>
      <c r="BI204" s="221" t="s">
        <v>166</v>
      </c>
      <c r="BJ204" s="221" t="s">
        <v>506</v>
      </c>
      <c r="BK204" s="221" t="s">
        <v>226</v>
      </c>
      <c r="BL204" s="221" t="s">
        <v>194</v>
      </c>
      <c r="BM204" s="221" t="s">
        <v>195</v>
      </c>
      <c r="BN204" s="221" t="s">
        <v>466</v>
      </c>
      <c r="BO204" s="221" t="s">
        <v>166</v>
      </c>
      <c r="BP204" s="221" t="s">
        <v>166</v>
      </c>
      <c r="BQ204" s="259">
        <v>15.633514573287766</v>
      </c>
      <c r="BR204" s="221" t="s">
        <v>196</v>
      </c>
      <c r="BS204" s="259">
        <v>0.60838953494790915</v>
      </c>
      <c r="BT204" s="221">
        <v>1</v>
      </c>
      <c r="BU204" s="221" t="s">
        <v>197</v>
      </c>
      <c r="BV204" s="221" t="s">
        <v>166</v>
      </c>
      <c r="BW204" s="221">
        <v>0</v>
      </c>
      <c r="BX204" s="221" t="s">
        <v>197</v>
      </c>
      <c r="BY204" s="221" t="s">
        <v>166</v>
      </c>
      <c r="BZ204" s="221" t="s">
        <v>197</v>
      </c>
      <c r="CA204" s="221" t="s">
        <v>166</v>
      </c>
      <c r="CB204" s="230">
        <f t="shared" si="165"/>
        <v>15.633514573287766</v>
      </c>
      <c r="CC204" s="221" t="s">
        <v>196</v>
      </c>
      <c r="CD204" s="230">
        <f t="shared" si="166"/>
        <v>0.60838953494790915</v>
      </c>
      <c r="CE204" s="221" t="s">
        <v>199</v>
      </c>
      <c r="CF204" s="221" t="s">
        <v>166</v>
      </c>
      <c r="CG204" s="221" t="s">
        <v>474</v>
      </c>
      <c r="CH204" s="221" t="s">
        <v>166</v>
      </c>
      <c r="CI204" s="221" t="s">
        <v>166</v>
      </c>
      <c r="CJ204" s="260">
        <v>33.436704970437695</v>
      </c>
      <c r="CK204" s="221" t="s">
        <v>201</v>
      </c>
      <c r="CL204" s="221">
        <v>2</v>
      </c>
      <c r="CM204" s="221">
        <v>2</v>
      </c>
      <c r="CN204" s="221" t="s">
        <v>166</v>
      </c>
      <c r="CO204" s="261">
        <v>3.5813752500753488</v>
      </c>
      <c r="CP204" s="221" t="s">
        <v>166</v>
      </c>
      <c r="CQ204" s="221" t="s">
        <v>166</v>
      </c>
      <c r="CR204" s="221" t="s">
        <v>166</v>
      </c>
      <c r="CS204" s="262" t="s">
        <v>202</v>
      </c>
      <c r="CT204" s="221" t="s">
        <v>203</v>
      </c>
      <c r="CU204" s="221">
        <v>2.2000000000000002</v>
      </c>
      <c r="CV204" s="221" t="s">
        <v>204</v>
      </c>
      <c r="CW204" s="221" t="s">
        <v>166</v>
      </c>
      <c r="CX204" s="221" t="s">
        <v>166</v>
      </c>
      <c r="CY204" s="221" t="s">
        <v>166</v>
      </c>
      <c r="CZ204" s="221" t="s">
        <v>166</v>
      </c>
      <c r="DA204" s="229" t="s">
        <v>166</v>
      </c>
      <c r="DB204" s="221" t="s">
        <v>166</v>
      </c>
      <c r="DC204" s="221" t="s">
        <v>166</v>
      </c>
      <c r="DD204" s="221" t="s">
        <v>166</v>
      </c>
      <c r="DE204" s="221" t="s">
        <v>166</v>
      </c>
      <c r="DF204" s="221" t="s">
        <v>205</v>
      </c>
      <c r="DG204" s="263">
        <v>35</v>
      </c>
      <c r="DH204" s="263" t="s">
        <v>201</v>
      </c>
      <c r="DI204" s="263">
        <v>1</v>
      </c>
      <c r="DJ204" s="263" t="s">
        <v>206</v>
      </c>
      <c r="DK204" s="263">
        <v>17</v>
      </c>
      <c r="DL204" s="221" t="s">
        <v>166</v>
      </c>
      <c r="DM204" s="221" t="s">
        <v>166</v>
      </c>
      <c r="DN204" s="263" t="s">
        <v>207</v>
      </c>
      <c r="DO204" s="263">
        <v>38</v>
      </c>
      <c r="DP204" s="263" t="s">
        <v>208</v>
      </c>
      <c r="DQ204" s="263">
        <v>3</v>
      </c>
      <c r="DR204" s="263" t="s">
        <v>209</v>
      </c>
      <c r="DS204" s="221" t="s">
        <v>166</v>
      </c>
      <c r="DT204" s="221" t="s">
        <v>166</v>
      </c>
      <c r="DU204" s="221" t="s">
        <v>166</v>
      </c>
      <c r="DV204" s="221" t="s">
        <v>166</v>
      </c>
      <c r="DW204" s="263">
        <v>432.6</v>
      </c>
      <c r="DX204" s="221" t="s">
        <v>166</v>
      </c>
      <c r="DY204" s="221" t="s">
        <v>166</v>
      </c>
      <c r="DZ204" s="221" t="s">
        <v>210</v>
      </c>
      <c r="EA204" s="221" t="s">
        <v>211</v>
      </c>
      <c r="EB204" s="221" t="s">
        <v>212</v>
      </c>
      <c r="EC204" s="221" t="s">
        <v>166</v>
      </c>
      <c r="ED204" s="221" t="s">
        <v>213</v>
      </c>
      <c r="EE204" s="233" t="s">
        <v>214</v>
      </c>
      <c r="EF204" s="233" t="s">
        <v>214</v>
      </c>
      <c r="EG204" s="263">
        <v>1.0271999999999999</v>
      </c>
      <c r="EH204" s="263" t="s">
        <v>215</v>
      </c>
      <c r="EI204" s="263" t="s">
        <v>215</v>
      </c>
      <c r="EJ204" s="263" t="s">
        <v>216</v>
      </c>
      <c r="EK204" s="263" t="s">
        <v>215</v>
      </c>
      <c r="EL204" s="263" t="s">
        <v>215</v>
      </c>
      <c r="EM204" s="263" t="s">
        <v>217</v>
      </c>
      <c r="EN204" s="264" t="s">
        <v>214</v>
      </c>
      <c r="EO204" s="264" t="s">
        <v>214</v>
      </c>
      <c r="EP204" s="264" t="s">
        <v>214</v>
      </c>
      <c r="EQ204" s="264" t="s">
        <v>214</v>
      </c>
      <c r="ER204" s="263"/>
      <c r="ES204" s="263"/>
      <c r="ET204" s="221" t="s">
        <v>218</v>
      </c>
      <c r="EU204" s="263" t="s">
        <v>219</v>
      </c>
      <c r="EV204" s="263" t="s">
        <v>213</v>
      </c>
      <c r="EW204" s="221" t="s">
        <v>166</v>
      </c>
      <c r="EX204" s="221" t="s">
        <v>166</v>
      </c>
      <c r="EY204" s="221" t="s">
        <v>166</v>
      </c>
      <c r="EZ204" s="221" t="s">
        <v>166</v>
      </c>
      <c r="FA204" s="224">
        <v>5.5</v>
      </c>
      <c r="FB204" s="221" t="s">
        <v>220</v>
      </c>
      <c r="FC204" s="224">
        <v>1</v>
      </c>
      <c r="FD204" s="224">
        <v>1</v>
      </c>
      <c r="FE204" s="265">
        <v>7.8187281413068703</v>
      </c>
      <c r="FF204" s="221" t="s">
        <v>221</v>
      </c>
      <c r="FG204" s="265">
        <v>6.7653571152690439E-2</v>
      </c>
      <c r="FH204" s="265">
        <v>5.8297896635989943E-2</v>
      </c>
      <c r="FI204" s="239">
        <v>545.94606891905903</v>
      </c>
      <c r="FJ204" s="221"/>
      <c r="FK204" s="221" t="s">
        <v>166</v>
      </c>
      <c r="FL204" s="238">
        <f t="shared" si="157"/>
        <v>545.94606891905903</v>
      </c>
      <c r="FM204" s="239">
        <v>231.99170579313204</v>
      </c>
      <c r="FN204" s="239">
        <v>138.70945038769105</v>
      </c>
      <c r="FO204" s="221" t="s">
        <v>222</v>
      </c>
      <c r="FP204" s="221" t="s">
        <v>223</v>
      </c>
      <c r="FQ204" s="238" t="s">
        <v>166</v>
      </c>
      <c r="FR204" s="238" t="s">
        <v>166</v>
      </c>
      <c r="FS204" s="238" t="s">
        <v>166</v>
      </c>
      <c r="FT204" s="238" t="s">
        <v>166</v>
      </c>
      <c r="FU204" s="238" t="s">
        <v>166</v>
      </c>
      <c r="FV204" s="238" t="s">
        <v>166</v>
      </c>
      <c r="FW204" s="238" t="s">
        <v>166</v>
      </c>
      <c r="FX204" s="238" t="s">
        <v>166</v>
      </c>
      <c r="FY204" s="238" t="s">
        <v>166</v>
      </c>
      <c r="FZ204" s="238" t="s">
        <v>166</v>
      </c>
      <c r="GA204" s="238" t="s">
        <v>166</v>
      </c>
      <c r="GB204" s="238" t="s">
        <v>166</v>
      </c>
      <c r="GC204" s="220" t="s">
        <v>507</v>
      </c>
      <c r="GD204" s="221"/>
      <c r="GE204" s="221"/>
      <c r="GF204" s="221"/>
      <c r="GG204" s="221"/>
      <c r="GH204" s="221"/>
      <c r="GI204" s="221"/>
    </row>
    <row r="205" spans="1:191" s="140" customFormat="1" ht="17">
      <c r="A205" s="140" t="s">
        <v>162</v>
      </c>
      <c r="B205" s="143" t="s">
        <v>163</v>
      </c>
      <c r="C205" s="140" t="s">
        <v>164</v>
      </c>
      <c r="D205" s="140" t="s">
        <v>165</v>
      </c>
      <c r="E205" s="140">
        <v>2020</v>
      </c>
      <c r="F205" s="140" t="s">
        <v>184</v>
      </c>
      <c r="G205" s="240">
        <v>53963.01491127476</v>
      </c>
      <c r="H205" s="241">
        <f t="shared" ref="H205" si="211">0.0083*G205^(0.9482)</f>
        <v>254.7133540302103</v>
      </c>
      <c r="I205" s="241">
        <f t="shared" si="171"/>
        <v>254.7133540302103</v>
      </c>
      <c r="J205" s="266">
        <v>809.84430209294896</v>
      </c>
      <c r="K205" s="266">
        <v>197.40766251385099</v>
      </c>
      <c r="L205" s="266">
        <v>150.74105375466195</v>
      </c>
      <c r="M205" s="140" t="b">
        <v>1</v>
      </c>
      <c r="N205" s="140">
        <v>1</v>
      </c>
      <c r="O205" s="302" t="s">
        <v>581</v>
      </c>
      <c r="P205" s="140" t="s">
        <v>166</v>
      </c>
      <c r="Q205" s="140" t="s">
        <v>166</v>
      </c>
      <c r="R205" s="140" t="s">
        <v>166</v>
      </c>
      <c r="S205" s="140" t="b">
        <v>1</v>
      </c>
      <c r="T205" s="140" t="b">
        <v>0</v>
      </c>
      <c r="U205" s="140" t="s">
        <v>166</v>
      </c>
      <c r="V205" s="140" t="b">
        <v>0</v>
      </c>
      <c r="W205" s="140" t="b">
        <v>0</v>
      </c>
      <c r="X205" s="140" t="s">
        <v>580</v>
      </c>
      <c r="Y205" s="202" t="s">
        <v>186</v>
      </c>
      <c r="Z205" s="140" t="s">
        <v>184</v>
      </c>
      <c r="AA205" s="267">
        <v>1210</v>
      </c>
      <c r="AB205" s="207" t="s">
        <v>233</v>
      </c>
      <c r="AC205" s="207">
        <v>19</v>
      </c>
      <c r="AD205" s="207">
        <v>6</v>
      </c>
      <c r="AE205" s="207">
        <v>38</v>
      </c>
      <c r="AF205" s="207">
        <v>40</v>
      </c>
      <c r="AG205" s="140">
        <v>178.57999999999998</v>
      </c>
      <c r="AH205" s="268">
        <v>200.22</v>
      </c>
      <c r="AI205" s="140" t="s">
        <v>508</v>
      </c>
      <c r="AJ205" s="140" t="s">
        <v>509</v>
      </c>
      <c r="AK205" s="210">
        <v>32.223500000000001</v>
      </c>
      <c r="AL205" s="210">
        <v>158.259333</v>
      </c>
      <c r="AM205" s="140">
        <v>28</v>
      </c>
      <c r="AN205" s="140" t="s">
        <v>166</v>
      </c>
      <c r="AO205" s="140">
        <v>-2573</v>
      </c>
      <c r="AP205" s="140">
        <v>-2100</v>
      </c>
      <c r="AQ205" s="140" t="s">
        <v>510</v>
      </c>
      <c r="AR205" s="140" t="s">
        <v>511</v>
      </c>
      <c r="AS205" s="240">
        <v>53.963014911274762</v>
      </c>
      <c r="AT205" s="140" t="s">
        <v>166</v>
      </c>
      <c r="AU205" s="140" t="s">
        <v>166</v>
      </c>
      <c r="AV205" s="140" t="s">
        <v>166</v>
      </c>
      <c r="AW205" s="140" t="s">
        <v>255</v>
      </c>
      <c r="AX205" s="140" t="s">
        <v>512</v>
      </c>
      <c r="AY205" s="140" t="s">
        <v>190</v>
      </c>
      <c r="AZ205" s="140" t="s">
        <v>166</v>
      </c>
      <c r="BA205" s="140" t="s">
        <v>166</v>
      </c>
      <c r="BB205" s="140" t="s">
        <v>166</v>
      </c>
      <c r="BC205" s="140" t="s">
        <v>166</v>
      </c>
      <c r="BD205" s="140" t="s">
        <v>166</v>
      </c>
      <c r="BE205" s="140" t="s">
        <v>166</v>
      </c>
      <c r="BF205" s="140" t="s">
        <v>166</v>
      </c>
      <c r="BG205" s="269" t="s">
        <v>513</v>
      </c>
      <c r="BH205" s="207" t="s">
        <v>236</v>
      </c>
      <c r="BI205" s="140" t="s">
        <v>514</v>
      </c>
      <c r="BJ205" s="140">
        <v>1.8809999999999718</v>
      </c>
      <c r="BK205" s="140" t="s">
        <v>515</v>
      </c>
      <c r="BL205" s="140" t="s">
        <v>516</v>
      </c>
      <c r="BM205" s="140" t="s">
        <v>517</v>
      </c>
      <c r="BN205" s="140" t="s">
        <v>466</v>
      </c>
      <c r="BO205" s="207">
        <v>4</v>
      </c>
      <c r="BP205" s="140">
        <v>0.31</v>
      </c>
      <c r="BQ205" s="209">
        <v>15.2</v>
      </c>
      <c r="BR205" s="140" t="s">
        <v>518</v>
      </c>
      <c r="BS205" s="207">
        <v>0.31</v>
      </c>
      <c r="BT205" s="140">
        <v>1</v>
      </c>
      <c r="BU205" s="140" t="s">
        <v>197</v>
      </c>
      <c r="BV205" s="140" t="s">
        <v>166</v>
      </c>
      <c r="BW205" s="140">
        <v>0</v>
      </c>
      <c r="BX205" s="140" t="s">
        <v>197</v>
      </c>
      <c r="BY205" s="140" t="s">
        <v>166</v>
      </c>
      <c r="BZ205" s="140" t="s">
        <v>197</v>
      </c>
      <c r="CA205" s="140" t="s">
        <v>166</v>
      </c>
      <c r="CB205" s="210">
        <f t="shared" si="165"/>
        <v>15.2</v>
      </c>
      <c r="CC205" s="140" t="s">
        <v>196</v>
      </c>
      <c r="CD205" s="140">
        <f t="shared" si="166"/>
        <v>0.31</v>
      </c>
      <c r="CE205" s="140" t="s">
        <v>199</v>
      </c>
      <c r="CF205" s="140" t="s">
        <v>166</v>
      </c>
      <c r="CG205" s="140" t="s">
        <v>474</v>
      </c>
      <c r="CH205" s="140" t="s">
        <v>166</v>
      </c>
      <c r="CI205" s="140" t="s">
        <v>166</v>
      </c>
      <c r="CJ205" s="247">
        <v>36.88622896426746</v>
      </c>
      <c r="CK205" s="140" t="s">
        <v>201</v>
      </c>
      <c r="CL205" s="140">
        <v>2</v>
      </c>
      <c r="CM205" s="140">
        <v>2</v>
      </c>
      <c r="CN205" s="140" t="s">
        <v>166</v>
      </c>
      <c r="CO205" s="209">
        <v>4.3499999999999996</v>
      </c>
      <c r="CP205" s="140" t="s">
        <v>519</v>
      </c>
      <c r="CQ205" s="270">
        <v>0.13049999999999998</v>
      </c>
      <c r="CR205" s="270">
        <v>0.13049999999999998</v>
      </c>
      <c r="CS205" s="249" t="s">
        <v>202</v>
      </c>
      <c r="CT205" s="140" t="s">
        <v>203</v>
      </c>
      <c r="CU205" s="140">
        <v>2.2000000000000002</v>
      </c>
      <c r="CV205" s="140" t="s">
        <v>204</v>
      </c>
      <c r="CW205" s="140" t="s">
        <v>166</v>
      </c>
      <c r="CX205" s="140" t="s">
        <v>166</v>
      </c>
      <c r="CY205" s="140" t="s">
        <v>166</v>
      </c>
      <c r="CZ205" s="140" t="s">
        <v>166</v>
      </c>
      <c r="DA205" s="271" t="s">
        <v>166</v>
      </c>
      <c r="DB205" s="140" t="s">
        <v>166</v>
      </c>
      <c r="DC205" s="140" t="s">
        <v>166</v>
      </c>
      <c r="DD205" s="140" t="s">
        <v>166</v>
      </c>
      <c r="DE205" s="140" t="s">
        <v>166</v>
      </c>
      <c r="DF205" s="140" t="s">
        <v>520</v>
      </c>
      <c r="DG205" s="140">
        <v>35</v>
      </c>
      <c r="DH205" s="140" t="s">
        <v>201</v>
      </c>
      <c r="DI205" s="140">
        <v>1</v>
      </c>
      <c r="DJ205" s="140" t="s">
        <v>206</v>
      </c>
      <c r="DK205" s="140">
        <v>17</v>
      </c>
      <c r="DL205" s="140" t="s">
        <v>166</v>
      </c>
      <c r="DM205" s="140" t="s">
        <v>166</v>
      </c>
      <c r="DN205" s="140" t="s">
        <v>207</v>
      </c>
      <c r="DO205" s="140">
        <v>38</v>
      </c>
      <c r="DP205" s="140" t="s">
        <v>208</v>
      </c>
      <c r="DQ205" s="140">
        <v>3</v>
      </c>
      <c r="DR205" s="140" t="s">
        <v>209</v>
      </c>
      <c r="DS205" s="140" t="s">
        <v>166</v>
      </c>
      <c r="DT205" s="140" t="s">
        <v>166</v>
      </c>
      <c r="DU205" s="140" t="s">
        <v>166</v>
      </c>
      <c r="DV205" s="140" t="s">
        <v>166</v>
      </c>
      <c r="DW205" s="140">
        <v>432.6</v>
      </c>
      <c r="DX205" s="140" t="s">
        <v>166</v>
      </c>
      <c r="DY205" s="140" t="s">
        <v>166</v>
      </c>
      <c r="DZ205" s="140" t="s">
        <v>210</v>
      </c>
      <c r="EA205" s="140" t="s">
        <v>211</v>
      </c>
      <c r="EB205" s="140" t="s">
        <v>212</v>
      </c>
      <c r="EC205" s="140" t="s">
        <v>166</v>
      </c>
      <c r="ED205" s="140" t="s">
        <v>213</v>
      </c>
      <c r="EE205" s="213" t="s">
        <v>214</v>
      </c>
      <c r="EF205" s="213" t="s">
        <v>214</v>
      </c>
      <c r="EG205" s="140">
        <v>1.0271999999999999</v>
      </c>
      <c r="EH205" s="140" t="s">
        <v>215</v>
      </c>
      <c r="EI205" s="140" t="s">
        <v>215</v>
      </c>
      <c r="EJ205" s="140" t="s">
        <v>216</v>
      </c>
      <c r="EK205" s="140" t="s">
        <v>215</v>
      </c>
      <c r="EL205" s="140" t="s">
        <v>215</v>
      </c>
      <c r="EM205" s="140" t="s">
        <v>217</v>
      </c>
      <c r="EN205" s="214" t="s">
        <v>214</v>
      </c>
      <c r="EO205" s="214" t="s">
        <v>214</v>
      </c>
      <c r="EP205" s="214" t="s">
        <v>214</v>
      </c>
      <c r="EQ205" s="214" t="s">
        <v>214</v>
      </c>
      <c r="ET205" s="140" t="s">
        <v>218</v>
      </c>
      <c r="EU205" s="140" t="s">
        <v>219</v>
      </c>
      <c r="EV205" s="140" t="s">
        <v>213</v>
      </c>
      <c r="EW205" s="140" t="s">
        <v>166</v>
      </c>
      <c r="EX205" s="140" t="s">
        <v>166</v>
      </c>
      <c r="EY205" s="140" t="s">
        <v>166</v>
      </c>
      <c r="EZ205" s="140" t="s">
        <v>166</v>
      </c>
      <c r="FA205" s="205">
        <v>6</v>
      </c>
      <c r="FB205" s="140" t="s">
        <v>220</v>
      </c>
      <c r="FC205" s="205">
        <v>1</v>
      </c>
      <c r="FD205" s="205">
        <v>1</v>
      </c>
      <c r="FE205" s="215">
        <v>7.7263741177652498</v>
      </c>
      <c r="FF205" s="140" t="s">
        <v>221</v>
      </c>
      <c r="FG205" s="215">
        <v>3.6682900162880117E-2</v>
      </c>
      <c r="FH205" s="215">
        <v>3.7400778847479721E-2</v>
      </c>
      <c r="FI205" s="266">
        <v>809.84430209294896</v>
      </c>
      <c r="FK205" s="140" t="s">
        <v>166</v>
      </c>
      <c r="FL205" s="217">
        <f t="shared" si="157"/>
        <v>809.84430209294896</v>
      </c>
      <c r="FM205" s="266">
        <v>197.40766251385099</v>
      </c>
      <c r="FN205" s="266">
        <v>150.74105375466195</v>
      </c>
      <c r="FO205" s="140" t="s">
        <v>222</v>
      </c>
      <c r="FP205" s="140" t="s">
        <v>223</v>
      </c>
      <c r="FQ205" s="217" t="s">
        <v>166</v>
      </c>
      <c r="FR205" s="217" t="s">
        <v>166</v>
      </c>
      <c r="FS205" s="217" t="s">
        <v>166</v>
      </c>
      <c r="FT205" s="217" t="s">
        <v>166</v>
      </c>
      <c r="FU205" s="217" t="s">
        <v>166</v>
      </c>
      <c r="FV205" s="217" t="s">
        <v>166</v>
      </c>
      <c r="FW205" s="217" t="s">
        <v>166</v>
      </c>
      <c r="FX205" s="217" t="s">
        <v>166</v>
      </c>
      <c r="FY205" s="217" t="s">
        <v>166</v>
      </c>
      <c r="FZ205" s="217" t="s">
        <v>166</v>
      </c>
      <c r="GA205" s="217" t="s">
        <v>166</v>
      </c>
      <c r="GB205" s="217" t="s">
        <v>166</v>
      </c>
      <c r="GC205" s="202" t="s">
        <v>521</v>
      </c>
    </row>
    <row r="206" spans="1:191" s="140" customFormat="1" ht="17">
      <c r="A206" s="140" t="s">
        <v>162</v>
      </c>
      <c r="B206" s="143" t="s">
        <v>163</v>
      </c>
      <c r="C206" s="140" t="s">
        <v>164</v>
      </c>
      <c r="D206" s="140" t="s">
        <v>165</v>
      </c>
      <c r="E206" s="140">
        <v>2020</v>
      </c>
      <c r="F206" s="140" t="s">
        <v>184</v>
      </c>
      <c r="G206" s="240">
        <v>53969.257368669554</v>
      </c>
      <c r="H206" s="241">
        <f t="shared" ref="H206" si="212">0.0083*G206^(0.9482)</f>
        <v>254.7412929586749</v>
      </c>
      <c r="I206" s="241">
        <f t="shared" si="171"/>
        <v>254.7412929586749</v>
      </c>
      <c r="J206" s="266">
        <v>577.157803871223</v>
      </c>
      <c r="K206" s="266">
        <v>124.36595039028805</v>
      </c>
      <c r="L206" s="266">
        <v>93.421235752572954</v>
      </c>
      <c r="M206" s="140" t="b">
        <v>1</v>
      </c>
      <c r="N206" s="140">
        <v>1</v>
      </c>
      <c r="O206" s="302" t="s">
        <v>581</v>
      </c>
      <c r="P206" s="140" t="s">
        <v>166</v>
      </c>
      <c r="Q206" s="140" t="s">
        <v>166</v>
      </c>
      <c r="R206" s="140" t="s">
        <v>166</v>
      </c>
      <c r="S206" s="140" t="b">
        <v>1</v>
      </c>
      <c r="T206" s="140" t="b">
        <v>0</v>
      </c>
      <c r="U206" s="140" t="s">
        <v>166</v>
      </c>
      <c r="V206" s="140" t="b">
        <v>0</v>
      </c>
      <c r="W206" s="140" t="b">
        <v>0</v>
      </c>
      <c r="X206" s="140" t="s">
        <v>580</v>
      </c>
      <c r="Y206" s="202" t="s">
        <v>186</v>
      </c>
      <c r="Z206" s="140" t="s">
        <v>184</v>
      </c>
      <c r="AA206" s="267">
        <v>1210</v>
      </c>
      <c r="AB206" s="207" t="s">
        <v>233</v>
      </c>
      <c r="AC206" s="207">
        <v>19</v>
      </c>
      <c r="AD206" s="207">
        <v>6</v>
      </c>
      <c r="AE206" s="207">
        <v>44</v>
      </c>
      <c r="AF206" s="207">
        <v>46</v>
      </c>
      <c r="AG206" s="140">
        <v>178.64</v>
      </c>
      <c r="AH206" s="268">
        <v>200.28</v>
      </c>
      <c r="AI206" s="140" t="s">
        <v>508</v>
      </c>
      <c r="AJ206" s="140" t="s">
        <v>509</v>
      </c>
      <c r="AK206" s="210">
        <v>32.223500000000001</v>
      </c>
      <c r="AL206" s="210">
        <v>158.259333</v>
      </c>
      <c r="AM206" s="140">
        <v>28</v>
      </c>
      <c r="AN206" s="140" t="s">
        <v>166</v>
      </c>
      <c r="AO206" s="140">
        <v>-2573</v>
      </c>
      <c r="AP206" s="140">
        <v>-2100</v>
      </c>
      <c r="AQ206" s="140" t="s">
        <v>510</v>
      </c>
      <c r="AR206" s="140" t="s">
        <v>511</v>
      </c>
      <c r="AS206" s="240">
        <v>53.969257368669552</v>
      </c>
      <c r="AT206" s="140" t="s">
        <v>166</v>
      </c>
      <c r="AU206" s="140" t="s">
        <v>166</v>
      </c>
      <c r="AV206" s="140" t="s">
        <v>166</v>
      </c>
      <c r="AW206" s="140" t="s">
        <v>255</v>
      </c>
      <c r="AX206" s="140" t="s">
        <v>512</v>
      </c>
      <c r="AY206" s="140" t="s">
        <v>190</v>
      </c>
      <c r="AZ206" s="140" t="s">
        <v>166</v>
      </c>
      <c r="BA206" s="140" t="s">
        <v>166</v>
      </c>
      <c r="BB206" s="140" t="s">
        <v>166</v>
      </c>
      <c r="BC206" s="140" t="s">
        <v>166</v>
      </c>
      <c r="BD206" s="140" t="s">
        <v>166</v>
      </c>
      <c r="BE206" s="140" t="s">
        <v>166</v>
      </c>
      <c r="BF206" s="140" t="s">
        <v>166</v>
      </c>
      <c r="BG206" s="269" t="s">
        <v>513</v>
      </c>
      <c r="BH206" s="207" t="s">
        <v>236</v>
      </c>
      <c r="BI206" s="140" t="s">
        <v>514</v>
      </c>
      <c r="BJ206" s="140">
        <v>2.0290000000000532</v>
      </c>
      <c r="BK206" s="140" t="s">
        <v>515</v>
      </c>
      <c r="BL206" s="140" t="s">
        <v>516</v>
      </c>
      <c r="BM206" s="140" t="s">
        <v>517</v>
      </c>
      <c r="BN206" s="140" t="s">
        <v>466</v>
      </c>
      <c r="BO206" s="207">
        <v>8</v>
      </c>
      <c r="BP206" s="140">
        <v>0.28999999999999998</v>
      </c>
      <c r="BQ206" s="207">
        <v>15.81</v>
      </c>
      <c r="BR206" s="140" t="s">
        <v>518</v>
      </c>
      <c r="BS206" s="207">
        <v>0.28999999999999998</v>
      </c>
      <c r="BT206" s="140">
        <v>1</v>
      </c>
      <c r="BU206" s="140" t="s">
        <v>197</v>
      </c>
      <c r="BV206" s="140" t="s">
        <v>166</v>
      </c>
      <c r="BW206" s="140">
        <v>0</v>
      </c>
      <c r="BX206" s="140" t="s">
        <v>197</v>
      </c>
      <c r="BY206" s="140" t="s">
        <v>166</v>
      </c>
      <c r="BZ206" s="140" t="s">
        <v>197</v>
      </c>
      <c r="CA206" s="140" t="s">
        <v>166</v>
      </c>
      <c r="CB206" s="210">
        <f t="shared" si="165"/>
        <v>15.81</v>
      </c>
      <c r="CC206" s="140" t="s">
        <v>196</v>
      </c>
      <c r="CD206" s="140">
        <f t="shared" si="166"/>
        <v>0.28999999999999998</v>
      </c>
      <c r="CE206" s="140" t="s">
        <v>199</v>
      </c>
      <c r="CF206" s="140" t="s">
        <v>166</v>
      </c>
      <c r="CG206" s="140" t="s">
        <v>474</v>
      </c>
      <c r="CH206" s="140" t="s">
        <v>166</v>
      </c>
      <c r="CI206" s="140" t="s">
        <v>166</v>
      </c>
      <c r="CJ206" s="247">
        <v>35.705815124829364</v>
      </c>
      <c r="CK206" s="140" t="s">
        <v>201</v>
      </c>
      <c r="CL206" s="140">
        <v>2</v>
      </c>
      <c r="CM206" s="140">
        <v>2</v>
      </c>
      <c r="CN206" s="140" t="s">
        <v>166</v>
      </c>
      <c r="CO206" s="209">
        <v>4.07</v>
      </c>
      <c r="CP206" s="140" t="s">
        <v>519</v>
      </c>
      <c r="CQ206" s="270">
        <v>0.1221</v>
      </c>
      <c r="CR206" s="270">
        <v>0.1221</v>
      </c>
      <c r="CS206" s="249" t="s">
        <v>202</v>
      </c>
      <c r="CT206" s="140" t="s">
        <v>203</v>
      </c>
      <c r="CU206" s="140">
        <v>2.2000000000000002</v>
      </c>
      <c r="CV206" s="140" t="s">
        <v>204</v>
      </c>
      <c r="CW206" s="140" t="s">
        <v>166</v>
      </c>
      <c r="CX206" s="140" t="s">
        <v>166</v>
      </c>
      <c r="CY206" s="140" t="s">
        <v>166</v>
      </c>
      <c r="CZ206" s="140" t="s">
        <v>166</v>
      </c>
      <c r="DA206" s="271" t="s">
        <v>166</v>
      </c>
      <c r="DB206" s="140" t="s">
        <v>166</v>
      </c>
      <c r="DC206" s="140" t="s">
        <v>166</v>
      </c>
      <c r="DD206" s="140" t="s">
        <v>166</v>
      </c>
      <c r="DE206" s="140" t="s">
        <v>166</v>
      </c>
      <c r="DF206" s="140" t="s">
        <v>520</v>
      </c>
      <c r="DG206" s="140">
        <v>35</v>
      </c>
      <c r="DH206" s="140" t="s">
        <v>201</v>
      </c>
      <c r="DI206" s="140">
        <v>1</v>
      </c>
      <c r="DJ206" s="140" t="s">
        <v>206</v>
      </c>
      <c r="DK206" s="140">
        <v>17</v>
      </c>
      <c r="DL206" s="140" t="s">
        <v>166</v>
      </c>
      <c r="DM206" s="140" t="s">
        <v>166</v>
      </c>
      <c r="DN206" s="140" t="s">
        <v>207</v>
      </c>
      <c r="DO206" s="140">
        <v>38</v>
      </c>
      <c r="DP206" s="140" t="s">
        <v>208</v>
      </c>
      <c r="DQ206" s="140">
        <v>3</v>
      </c>
      <c r="DR206" s="140" t="s">
        <v>209</v>
      </c>
      <c r="DS206" s="140" t="s">
        <v>166</v>
      </c>
      <c r="DT206" s="140" t="s">
        <v>166</v>
      </c>
      <c r="DU206" s="140" t="s">
        <v>166</v>
      </c>
      <c r="DV206" s="140" t="s">
        <v>166</v>
      </c>
      <c r="DW206" s="140">
        <v>432.6</v>
      </c>
      <c r="DX206" s="140" t="s">
        <v>166</v>
      </c>
      <c r="DY206" s="140" t="s">
        <v>166</v>
      </c>
      <c r="DZ206" s="140" t="s">
        <v>210</v>
      </c>
      <c r="EA206" s="140" t="s">
        <v>211</v>
      </c>
      <c r="EB206" s="140" t="s">
        <v>212</v>
      </c>
      <c r="EC206" s="140" t="s">
        <v>166</v>
      </c>
      <c r="ED206" s="140" t="s">
        <v>213</v>
      </c>
      <c r="EE206" s="213" t="s">
        <v>214</v>
      </c>
      <c r="EF206" s="213" t="s">
        <v>214</v>
      </c>
      <c r="EG206" s="140">
        <v>1.0271999999999999</v>
      </c>
      <c r="EH206" s="140" t="s">
        <v>215</v>
      </c>
      <c r="EI206" s="140" t="s">
        <v>215</v>
      </c>
      <c r="EJ206" s="140" t="s">
        <v>216</v>
      </c>
      <c r="EK206" s="140" t="s">
        <v>215</v>
      </c>
      <c r="EL206" s="140" t="s">
        <v>215</v>
      </c>
      <c r="EM206" s="140" t="s">
        <v>217</v>
      </c>
      <c r="EN206" s="214" t="s">
        <v>214</v>
      </c>
      <c r="EO206" s="214" t="s">
        <v>214</v>
      </c>
      <c r="EP206" s="214" t="s">
        <v>214</v>
      </c>
      <c r="EQ206" s="214" t="s">
        <v>214</v>
      </c>
      <c r="ET206" s="140" t="s">
        <v>218</v>
      </c>
      <c r="EU206" s="140" t="s">
        <v>219</v>
      </c>
      <c r="EV206" s="140" t="s">
        <v>213</v>
      </c>
      <c r="EW206" s="140" t="s">
        <v>166</v>
      </c>
      <c r="EX206" s="140" t="s">
        <v>166</v>
      </c>
      <c r="EY206" s="140" t="s">
        <v>166</v>
      </c>
      <c r="EZ206" s="140" t="s">
        <v>166</v>
      </c>
      <c r="FA206" s="205">
        <v>6</v>
      </c>
      <c r="FB206" s="140" t="s">
        <v>220</v>
      </c>
      <c r="FC206" s="205">
        <v>1</v>
      </c>
      <c r="FD206" s="205">
        <v>1</v>
      </c>
      <c r="FE206" s="215">
        <v>7.8099206836383601</v>
      </c>
      <c r="FF206" s="140" t="s">
        <v>221</v>
      </c>
      <c r="FG206" s="215">
        <v>3.4017215060419659E-2</v>
      </c>
      <c r="FH206" s="215">
        <v>3.6777014450920298E-2</v>
      </c>
      <c r="FI206" s="266">
        <v>577.157803871223</v>
      </c>
      <c r="FK206" s="140" t="s">
        <v>166</v>
      </c>
      <c r="FL206" s="217">
        <f t="shared" si="157"/>
        <v>577.157803871223</v>
      </c>
      <c r="FM206" s="266">
        <v>124.36595039028805</v>
      </c>
      <c r="FN206" s="266">
        <v>93.421235752572954</v>
      </c>
      <c r="FO206" s="140" t="s">
        <v>222</v>
      </c>
      <c r="FP206" s="140" t="s">
        <v>223</v>
      </c>
      <c r="FQ206" s="217" t="s">
        <v>166</v>
      </c>
      <c r="FR206" s="217" t="s">
        <v>166</v>
      </c>
      <c r="FS206" s="217" t="s">
        <v>166</v>
      </c>
      <c r="FT206" s="217" t="s">
        <v>166</v>
      </c>
      <c r="FU206" s="217" t="s">
        <v>166</v>
      </c>
      <c r="FV206" s="217" t="s">
        <v>166</v>
      </c>
      <c r="FW206" s="217" t="s">
        <v>166</v>
      </c>
      <c r="FX206" s="217" t="s">
        <v>166</v>
      </c>
      <c r="FY206" s="217" t="s">
        <v>166</v>
      </c>
      <c r="FZ206" s="217" t="s">
        <v>166</v>
      </c>
      <c r="GA206" s="217" t="s">
        <v>166</v>
      </c>
      <c r="GB206" s="217" t="s">
        <v>166</v>
      </c>
      <c r="GC206" s="202" t="s">
        <v>521</v>
      </c>
    </row>
    <row r="207" spans="1:191" s="140" customFormat="1" ht="17">
      <c r="A207" s="140" t="s">
        <v>162</v>
      </c>
      <c r="B207" s="143" t="s">
        <v>163</v>
      </c>
      <c r="C207" s="140" t="s">
        <v>164</v>
      </c>
      <c r="D207" s="140" t="s">
        <v>165</v>
      </c>
      <c r="E207" s="140">
        <v>2020</v>
      </c>
      <c r="F207" s="140" t="s">
        <v>184</v>
      </c>
      <c r="G207" s="240">
        <v>54007.844877097574</v>
      </c>
      <c r="H207" s="241">
        <f t="shared" ref="H207" si="213">0.0083*G207^(0.9482)</f>
        <v>254.91399264731092</v>
      </c>
      <c r="I207" s="241">
        <f t="shared" si="171"/>
        <v>254.91399264731092</v>
      </c>
      <c r="J207" s="266">
        <v>871.736872889099</v>
      </c>
      <c r="K207" s="266">
        <v>213.78491508523098</v>
      </c>
      <c r="L207" s="266">
        <v>176.35109653183997</v>
      </c>
      <c r="M207" s="140" t="b">
        <v>1</v>
      </c>
      <c r="N207" s="140">
        <v>1</v>
      </c>
      <c r="O207" s="302" t="s">
        <v>581</v>
      </c>
      <c r="P207" s="140" t="s">
        <v>166</v>
      </c>
      <c r="Q207" s="140" t="s">
        <v>166</v>
      </c>
      <c r="R207" s="140" t="s">
        <v>166</v>
      </c>
      <c r="S207" s="140" t="b">
        <v>1</v>
      </c>
      <c r="T207" s="140" t="b">
        <v>0</v>
      </c>
      <c r="U207" s="140" t="s">
        <v>166</v>
      </c>
      <c r="V207" s="140" t="b">
        <v>0</v>
      </c>
      <c r="W207" s="140" t="b">
        <v>0</v>
      </c>
      <c r="X207" s="140" t="s">
        <v>580</v>
      </c>
      <c r="Y207" s="202" t="s">
        <v>186</v>
      </c>
      <c r="Z207" s="140" t="s">
        <v>184</v>
      </c>
      <c r="AA207" s="267">
        <v>1210</v>
      </c>
      <c r="AB207" s="207" t="s">
        <v>233</v>
      </c>
      <c r="AC207" s="207">
        <v>19</v>
      </c>
      <c r="AD207" s="207">
        <v>6</v>
      </c>
      <c r="AE207" s="207">
        <v>63</v>
      </c>
      <c r="AF207" s="207">
        <v>64</v>
      </c>
      <c r="AG207" s="140">
        <v>178.82999999999998</v>
      </c>
      <c r="AH207" s="272">
        <v>200.47</v>
      </c>
      <c r="AI207" s="140" t="s">
        <v>508</v>
      </c>
      <c r="AJ207" s="140" t="s">
        <v>509</v>
      </c>
      <c r="AK207" s="210">
        <v>32.223500000000001</v>
      </c>
      <c r="AL207" s="210">
        <v>158.259333</v>
      </c>
      <c r="AM207" s="140">
        <v>28</v>
      </c>
      <c r="AN207" s="140" t="s">
        <v>166</v>
      </c>
      <c r="AO207" s="140">
        <v>-2573</v>
      </c>
      <c r="AP207" s="140">
        <v>-2100</v>
      </c>
      <c r="AQ207" s="140" t="s">
        <v>510</v>
      </c>
      <c r="AR207" s="140" t="s">
        <v>511</v>
      </c>
      <c r="AS207" s="240">
        <v>54.007844877097575</v>
      </c>
      <c r="AT207" s="140" t="s">
        <v>166</v>
      </c>
      <c r="AU207" s="140" t="s">
        <v>166</v>
      </c>
      <c r="AV207" s="140" t="s">
        <v>166</v>
      </c>
      <c r="AW207" s="140" t="s">
        <v>255</v>
      </c>
      <c r="AX207" s="140" t="s">
        <v>512</v>
      </c>
      <c r="AY207" s="140" t="s">
        <v>190</v>
      </c>
      <c r="AZ207" s="140" t="s">
        <v>166</v>
      </c>
      <c r="BA207" s="140" t="s">
        <v>166</v>
      </c>
      <c r="BB207" s="140" t="s">
        <v>166</v>
      </c>
      <c r="BC207" s="140" t="s">
        <v>166</v>
      </c>
      <c r="BD207" s="140" t="s">
        <v>166</v>
      </c>
      <c r="BE207" s="140" t="s">
        <v>166</v>
      </c>
      <c r="BF207" s="140" t="s">
        <v>166</v>
      </c>
      <c r="BG207" s="269" t="s">
        <v>513</v>
      </c>
      <c r="BH207" s="207" t="s">
        <v>236</v>
      </c>
      <c r="BI207" s="140" t="s">
        <v>514</v>
      </c>
      <c r="BJ207" s="140">
        <v>2.08299999999997</v>
      </c>
      <c r="BK207" s="140" t="s">
        <v>515</v>
      </c>
      <c r="BL207" s="140" t="s">
        <v>516</v>
      </c>
      <c r="BM207" s="140" t="s">
        <v>517</v>
      </c>
      <c r="BN207" s="140" t="s">
        <v>466</v>
      </c>
      <c r="BO207" s="207">
        <v>8</v>
      </c>
      <c r="BP207" s="273">
        <v>0.36</v>
      </c>
      <c r="BQ207" s="209">
        <v>15</v>
      </c>
      <c r="BR207" s="140" t="s">
        <v>518</v>
      </c>
      <c r="BS207" s="207">
        <v>0.36</v>
      </c>
      <c r="BT207" s="140">
        <v>1</v>
      </c>
      <c r="BU207" s="140" t="s">
        <v>197</v>
      </c>
      <c r="BV207" s="140" t="s">
        <v>166</v>
      </c>
      <c r="BW207" s="140">
        <v>0</v>
      </c>
      <c r="BX207" s="140" t="s">
        <v>197</v>
      </c>
      <c r="BY207" s="140" t="s">
        <v>166</v>
      </c>
      <c r="BZ207" s="140" t="s">
        <v>197</v>
      </c>
      <c r="CA207" s="140" t="s">
        <v>166</v>
      </c>
      <c r="CB207" s="210">
        <f t="shared" si="165"/>
        <v>15</v>
      </c>
      <c r="CC207" s="140" t="s">
        <v>196</v>
      </c>
      <c r="CD207" s="140">
        <f t="shared" si="166"/>
        <v>0.36</v>
      </c>
      <c r="CE207" s="140" t="s">
        <v>199</v>
      </c>
      <c r="CF207" s="140" t="s">
        <v>166</v>
      </c>
      <c r="CG207" s="140" t="s">
        <v>474</v>
      </c>
      <c r="CH207" s="140" t="s">
        <v>166</v>
      </c>
      <c r="CI207" s="140" t="s">
        <v>166</v>
      </c>
      <c r="CJ207" s="247">
        <v>33.918677106348348</v>
      </c>
      <c r="CK207" s="140" t="s">
        <v>201</v>
      </c>
      <c r="CL207" s="140">
        <v>2</v>
      </c>
      <c r="CM207" s="140">
        <v>2</v>
      </c>
      <c r="CN207" s="140" t="s">
        <v>166</v>
      </c>
      <c r="CO207" s="209">
        <v>3.68</v>
      </c>
      <c r="CP207" s="140" t="s">
        <v>519</v>
      </c>
      <c r="CQ207" s="270">
        <v>0.1104</v>
      </c>
      <c r="CR207" s="270">
        <v>0.1104</v>
      </c>
      <c r="CS207" s="249" t="s">
        <v>202</v>
      </c>
      <c r="CT207" s="140" t="s">
        <v>203</v>
      </c>
      <c r="CU207" s="140">
        <v>2.2000000000000002</v>
      </c>
      <c r="CV207" s="140" t="s">
        <v>204</v>
      </c>
      <c r="CW207" s="140" t="s">
        <v>166</v>
      </c>
      <c r="CX207" s="140" t="s">
        <v>166</v>
      </c>
      <c r="CY207" s="140" t="s">
        <v>166</v>
      </c>
      <c r="CZ207" s="140" t="s">
        <v>166</v>
      </c>
      <c r="DA207" s="271" t="s">
        <v>166</v>
      </c>
      <c r="DB207" s="140" t="s">
        <v>166</v>
      </c>
      <c r="DC207" s="140" t="s">
        <v>166</v>
      </c>
      <c r="DD207" s="140" t="s">
        <v>166</v>
      </c>
      <c r="DE207" s="140" t="s">
        <v>166</v>
      </c>
      <c r="DF207" s="140" t="s">
        <v>520</v>
      </c>
      <c r="DG207" s="140">
        <v>35</v>
      </c>
      <c r="DH207" s="140" t="s">
        <v>201</v>
      </c>
      <c r="DI207" s="140">
        <v>1</v>
      </c>
      <c r="DJ207" s="140" t="s">
        <v>206</v>
      </c>
      <c r="DK207" s="140">
        <v>17</v>
      </c>
      <c r="DL207" s="140" t="s">
        <v>166</v>
      </c>
      <c r="DM207" s="140" t="s">
        <v>166</v>
      </c>
      <c r="DN207" s="140" t="s">
        <v>207</v>
      </c>
      <c r="DO207" s="140">
        <v>38</v>
      </c>
      <c r="DP207" s="140" t="s">
        <v>208</v>
      </c>
      <c r="DQ207" s="140">
        <v>3</v>
      </c>
      <c r="DR207" s="140" t="s">
        <v>209</v>
      </c>
      <c r="DS207" s="140" t="s">
        <v>166</v>
      </c>
      <c r="DT207" s="140" t="s">
        <v>166</v>
      </c>
      <c r="DU207" s="140" t="s">
        <v>166</v>
      </c>
      <c r="DV207" s="140" t="s">
        <v>166</v>
      </c>
      <c r="DW207" s="140">
        <v>432.6</v>
      </c>
      <c r="DX207" s="140" t="s">
        <v>166</v>
      </c>
      <c r="DY207" s="140" t="s">
        <v>166</v>
      </c>
      <c r="DZ207" s="140" t="s">
        <v>210</v>
      </c>
      <c r="EA207" s="140" t="s">
        <v>211</v>
      </c>
      <c r="EB207" s="140" t="s">
        <v>212</v>
      </c>
      <c r="EC207" s="140" t="s">
        <v>166</v>
      </c>
      <c r="ED207" s="140" t="s">
        <v>213</v>
      </c>
      <c r="EE207" s="213" t="s">
        <v>214</v>
      </c>
      <c r="EF207" s="213" t="s">
        <v>214</v>
      </c>
      <c r="EG207" s="140">
        <v>1.0271999999999999</v>
      </c>
      <c r="EH207" s="140" t="s">
        <v>215</v>
      </c>
      <c r="EI207" s="140" t="s">
        <v>215</v>
      </c>
      <c r="EJ207" s="140" t="s">
        <v>216</v>
      </c>
      <c r="EK207" s="140" t="s">
        <v>215</v>
      </c>
      <c r="EL207" s="140" t="s">
        <v>215</v>
      </c>
      <c r="EM207" s="140" t="s">
        <v>217</v>
      </c>
      <c r="EN207" s="214" t="s">
        <v>214</v>
      </c>
      <c r="EO207" s="214" t="s">
        <v>214</v>
      </c>
      <c r="EP207" s="214" t="s">
        <v>214</v>
      </c>
      <c r="EQ207" s="214" t="s">
        <v>214</v>
      </c>
      <c r="ET207" s="140" t="s">
        <v>218</v>
      </c>
      <c r="EU207" s="140" t="s">
        <v>219</v>
      </c>
      <c r="EV207" s="140" t="s">
        <v>213</v>
      </c>
      <c r="EW207" s="140" t="s">
        <v>166</v>
      </c>
      <c r="EX207" s="140" t="s">
        <v>166</v>
      </c>
      <c r="EY207" s="140" t="s">
        <v>166</v>
      </c>
      <c r="EZ207" s="140" t="s">
        <v>166</v>
      </c>
      <c r="FA207" s="205">
        <v>6</v>
      </c>
      <c r="FB207" s="140" t="s">
        <v>220</v>
      </c>
      <c r="FC207" s="205">
        <v>1</v>
      </c>
      <c r="FD207" s="205">
        <v>1</v>
      </c>
      <c r="FE207" s="215">
        <v>7.7353127449760004</v>
      </c>
      <c r="FF207" s="140" t="s">
        <v>221</v>
      </c>
      <c r="FG207" s="215">
        <v>4.1191113500159915E-2</v>
      </c>
      <c r="FH207" s="215">
        <v>4.3582516003130678E-2</v>
      </c>
      <c r="FI207" s="266">
        <v>871.736872889099</v>
      </c>
      <c r="FK207" s="140" t="s">
        <v>166</v>
      </c>
      <c r="FL207" s="217">
        <f t="shared" si="157"/>
        <v>871.736872889099</v>
      </c>
      <c r="FM207" s="266">
        <v>213.78491508523098</v>
      </c>
      <c r="FN207" s="266">
        <v>176.35109653183997</v>
      </c>
      <c r="FO207" s="140" t="s">
        <v>222</v>
      </c>
      <c r="FP207" s="140" t="s">
        <v>223</v>
      </c>
      <c r="FQ207" s="217" t="s">
        <v>166</v>
      </c>
      <c r="FR207" s="217" t="s">
        <v>166</v>
      </c>
      <c r="FS207" s="217" t="s">
        <v>166</v>
      </c>
      <c r="FT207" s="217" t="s">
        <v>166</v>
      </c>
      <c r="FU207" s="217" t="s">
        <v>166</v>
      </c>
      <c r="FV207" s="217" t="s">
        <v>166</v>
      </c>
      <c r="FW207" s="217" t="s">
        <v>166</v>
      </c>
      <c r="FX207" s="217" t="s">
        <v>166</v>
      </c>
      <c r="FY207" s="217" t="s">
        <v>166</v>
      </c>
      <c r="FZ207" s="217" t="s">
        <v>166</v>
      </c>
      <c r="GA207" s="217" t="s">
        <v>166</v>
      </c>
      <c r="GB207" s="217" t="s">
        <v>166</v>
      </c>
      <c r="GC207" s="202" t="s">
        <v>521</v>
      </c>
    </row>
    <row r="208" spans="1:191" s="140" customFormat="1" ht="17">
      <c r="A208" s="140" t="s">
        <v>162</v>
      </c>
      <c r="B208" s="143" t="s">
        <v>163</v>
      </c>
      <c r="C208" s="140" t="s">
        <v>164</v>
      </c>
      <c r="D208" s="140" t="s">
        <v>165</v>
      </c>
      <c r="E208" s="140">
        <v>2020</v>
      </c>
      <c r="F208" s="140" t="s">
        <v>184</v>
      </c>
      <c r="G208" s="240">
        <v>54038.089098071127</v>
      </c>
      <c r="H208" s="241">
        <f t="shared" ref="H208" si="214">0.0083*G208^(0.9482)</f>
        <v>255.0493472047971</v>
      </c>
      <c r="I208" s="241">
        <f t="shared" si="171"/>
        <v>255.0493472047971</v>
      </c>
      <c r="J208" s="266">
        <v>1213.8505924262099</v>
      </c>
      <c r="K208" s="266">
        <v>324.44102405605008</v>
      </c>
      <c r="L208" s="266">
        <v>232.32694890470691</v>
      </c>
      <c r="M208" s="140" t="b">
        <v>1</v>
      </c>
      <c r="N208" s="140">
        <v>1</v>
      </c>
      <c r="O208" s="302" t="s">
        <v>581</v>
      </c>
      <c r="P208" s="140" t="s">
        <v>166</v>
      </c>
      <c r="Q208" s="140" t="s">
        <v>166</v>
      </c>
      <c r="R208" s="140" t="s">
        <v>166</v>
      </c>
      <c r="S208" s="140" t="b">
        <v>1</v>
      </c>
      <c r="T208" s="140" t="b">
        <v>0</v>
      </c>
      <c r="U208" s="140" t="s">
        <v>166</v>
      </c>
      <c r="V208" s="140" t="b">
        <v>0</v>
      </c>
      <c r="W208" s="140" t="b">
        <v>0</v>
      </c>
      <c r="X208" s="140" t="s">
        <v>580</v>
      </c>
      <c r="Y208" s="202" t="s">
        <v>186</v>
      </c>
      <c r="Z208" s="140" t="s">
        <v>184</v>
      </c>
      <c r="AA208" s="267">
        <v>1210</v>
      </c>
      <c r="AB208" s="207" t="s">
        <v>233</v>
      </c>
      <c r="AC208" s="207">
        <v>19</v>
      </c>
      <c r="AD208" s="207">
        <v>6</v>
      </c>
      <c r="AE208" s="207">
        <v>75</v>
      </c>
      <c r="AF208" s="207">
        <v>76</v>
      </c>
      <c r="AG208" s="140">
        <v>178.95</v>
      </c>
      <c r="AH208" s="272">
        <v>200.59</v>
      </c>
      <c r="AI208" s="140" t="s">
        <v>508</v>
      </c>
      <c r="AJ208" s="140" t="s">
        <v>509</v>
      </c>
      <c r="AK208" s="210">
        <v>32.223500000000001</v>
      </c>
      <c r="AL208" s="210">
        <v>158.259333</v>
      </c>
      <c r="AM208" s="140">
        <v>28</v>
      </c>
      <c r="AN208" s="140" t="s">
        <v>166</v>
      </c>
      <c r="AO208" s="140">
        <v>-2573</v>
      </c>
      <c r="AP208" s="140">
        <v>-2100</v>
      </c>
      <c r="AQ208" s="140" t="s">
        <v>510</v>
      </c>
      <c r="AR208" s="140" t="s">
        <v>511</v>
      </c>
      <c r="AS208" s="240">
        <v>54.038089098071126</v>
      </c>
      <c r="AT208" s="140" t="s">
        <v>166</v>
      </c>
      <c r="AU208" s="140" t="s">
        <v>166</v>
      </c>
      <c r="AV208" s="140" t="s">
        <v>166</v>
      </c>
      <c r="AW208" s="140" t="s">
        <v>255</v>
      </c>
      <c r="AX208" s="140" t="s">
        <v>512</v>
      </c>
      <c r="AY208" s="140" t="s">
        <v>190</v>
      </c>
      <c r="AZ208" s="140" t="s">
        <v>166</v>
      </c>
      <c r="BA208" s="140" t="s">
        <v>166</v>
      </c>
      <c r="BB208" s="140" t="s">
        <v>166</v>
      </c>
      <c r="BC208" s="140" t="s">
        <v>166</v>
      </c>
      <c r="BD208" s="140" t="s">
        <v>166</v>
      </c>
      <c r="BE208" s="140" t="s">
        <v>166</v>
      </c>
      <c r="BF208" s="140" t="s">
        <v>166</v>
      </c>
      <c r="BG208" s="269" t="s">
        <v>513</v>
      </c>
      <c r="BH208" s="207" t="s">
        <v>236</v>
      </c>
      <c r="BI208" s="140" t="s">
        <v>514</v>
      </c>
      <c r="BJ208" s="140">
        <v>2.48599999999999</v>
      </c>
      <c r="BK208" s="140" t="s">
        <v>515</v>
      </c>
      <c r="BL208" s="140" t="s">
        <v>516</v>
      </c>
      <c r="BM208" s="140" t="s">
        <v>517</v>
      </c>
      <c r="BN208" s="140" t="s">
        <v>466</v>
      </c>
      <c r="BO208" s="207">
        <v>6</v>
      </c>
      <c r="BP208" s="273">
        <v>0.25</v>
      </c>
      <c r="BQ208" s="207">
        <v>14.45</v>
      </c>
      <c r="BR208" s="140" t="s">
        <v>518</v>
      </c>
      <c r="BS208" s="207">
        <v>0.28999999999999998</v>
      </c>
      <c r="BT208" s="140">
        <v>1</v>
      </c>
      <c r="BU208" s="140" t="s">
        <v>197</v>
      </c>
      <c r="BV208" s="140" t="s">
        <v>166</v>
      </c>
      <c r="BW208" s="140">
        <v>0</v>
      </c>
      <c r="BX208" s="140" t="s">
        <v>197</v>
      </c>
      <c r="BY208" s="140" t="s">
        <v>166</v>
      </c>
      <c r="BZ208" s="140" t="s">
        <v>197</v>
      </c>
      <c r="CA208" s="140" t="s">
        <v>166</v>
      </c>
      <c r="CB208" s="210">
        <f t="shared" si="165"/>
        <v>14.45</v>
      </c>
      <c r="CC208" s="140" t="s">
        <v>196</v>
      </c>
      <c r="CD208" s="140">
        <f t="shared" si="166"/>
        <v>0.28999999999999998</v>
      </c>
      <c r="CE208" s="140" t="s">
        <v>199</v>
      </c>
      <c r="CF208" s="140" t="s">
        <v>166</v>
      </c>
      <c r="CG208" s="140" t="s">
        <v>474</v>
      </c>
      <c r="CH208" s="140" t="s">
        <v>166</v>
      </c>
      <c r="CI208" s="140" t="s">
        <v>166</v>
      </c>
      <c r="CJ208" s="247">
        <v>33.966823190224517</v>
      </c>
      <c r="CK208" s="140" t="s">
        <v>201</v>
      </c>
      <c r="CL208" s="140">
        <v>2</v>
      </c>
      <c r="CM208" s="140">
        <v>2</v>
      </c>
      <c r="CN208" s="140" t="s">
        <v>166</v>
      </c>
      <c r="CO208" s="209">
        <v>3.69</v>
      </c>
      <c r="CP208" s="140" t="s">
        <v>519</v>
      </c>
      <c r="CQ208" s="270">
        <v>0.11069999999999999</v>
      </c>
      <c r="CR208" s="270">
        <v>0.11069999999999999</v>
      </c>
      <c r="CS208" s="249" t="s">
        <v>202</v>
      </c>
      <c r="CT208" s="140" t="s">
        <v>203</v>
      </c>
      <c r="CU208" s="140">
        <v>2.2000000000000002</v>
      </c>
      <c r="CV208" s="140" t="s">
        <v>204</v>
      </c>
      <c r="CW208" s="140" t="s">
        <v>166</v>
      </c>
      <c r="CX208" s="140" t="s">
        <v>166</v>
      </c>
      <c r="CY208" s="140" t="s">
        <v>166</v>
      </c>
      <c r="CZ208" s="140" t="s">
        <v>166</v>
      </c>
      <c r="DA208" s="271" t="s">
        <v>166</v>
      </c>
      <c r="DB208" s="140" t="s">
        <v>166</v>
      </c>
      <c r="DC208" s="140" t="s">
        <v>166</v>
      </c>
      <c r="DD208" s="140" t="s">
        <v>166</v>
      </c>
      <c r="DE208" s="140" t="s">
        <v>166</v>
      </c>
      <c r="DF208" s="140" t="s">
        <v>520</v>
      </c>
      <c r="DG208" s="140">
        <v>35</v>
      </c>
      <c r="DH208" s="140" t="s">
        <v>201</v>
      </c>
      <c r="DI208" s="140">
        <v>1</v>
      </c>
      <c r="DJ208" s="140" t="s">
        <v>206</v>
      </c>
      <c r="DK208" s="140">
        <v>17</v>
      </c>
      <c r="DL208" s="140" t="s">
        <v>166</v>
      </c>
      <c r="DM208" s="140" t="s">
        <v>166</v>
      </c>
      <c r="DN208" s="140" t="s">
        <v>207</v>
      </c>
      <c r="DO208" s="140">
        <v>38</v>
      </c>
      <c r="DP208" s="140" t="s">
        <v>208</v>
      </c>
      <c r="DQ208" s="140">
        <v>3</v>
      </c>
      <c r="DR208" s="140" t="s">
        <v>209</v>
      </c>
      <c r="DS208" s="140" t="s">
        <v>166</v>
      </c>
      <c r="DT208" s="140" t="s">
        <v>166</v>
      </c>
      <c r="DU208" s="140" t="s">
        <v>166</v>
      </c>
      <c r="DV208" s="140" t="s">
        <v>166</v>
      </c>
      <c r="DW208" s="140">
        <v>432.6</v>
      </c>
      <c r="DX208" s="140" t="s">
        <v>166</v>
      </c>
      <c r="DY208" s="140" t="s">
        <v>166</v>
      </c>
      <c r="DZ208" s="140" t="s">
        <v>210</v>
      </c>
      <c r="EA208" s="140" t="s">
        <v>211</v>
      </c>
      <c r="EB208" s="140" t="s">
        <v>212</v>
      </c>
      <c r="EC208" s="140" t="s">
        <v>166</v>
      </c>
      <c r="ED208" s="140" t="s">
        <v>213</v>
      </c>
      <c r="EE208" s="213" t="s">
        <v>214</v>
      </c>
      <c r="EF208" s="213" t="s">
        <v>214</v>
      </c>
      <c r="EG208" s="140">
        <v>1.0271999999999999</v>
      </c>
      <c r="EH208" s="140" t="s">
        <v>215</v>
      </c>
      <c r="EI208" s="140" t="s">
        <v>215</v>
      </c>
      <c r="EJ208" s="140" t="s">
        <v>216</v>
      </c>
      <c r="EK208" s="140" t="s">
        <v>215</v>
      </c>
      <c r="EL208" s="140" t="s">
        <v>215</v>
      </c>
      <c r="EM208" s="140" t="s">
        <v>217</v>
      </c>
      <c r="EN208" s="214" t="s">
        <v>214</v>
      </c>
      <c r="EO208" s="214" t="s">
        <v>214</v>
      </c>
      <c r="EP208" s="214" t="s">
        <v>214</v>
      </c>
      <c r="EQ208" s="214" t="s">
        <v>214</v>
      </c>
      <c r="ET208" s="140" t="s">
        <v>218</v>
      </c>
      <c r="EU208" s="140" t="s">
        <v>219</v>
      </c>
      <c r="EV208" s="140" t="s">
        <v>213</v>
      </c>
      <c r="EW208" s="140" t="s">
        <v>166</v>
      </c>
      <c r="EX208" s="140" t="s">
        <v>166</v>
      </c>
      <c r="EY208" s="140" t="s">
        <v>166</v>
      </c>
      <c r="EZ208" s="140" t="s">
        <v>166</v>
      </c>
      <c r="FA208" s="205">
        <v>6</v>
      </c>
      <c r="FB208" s="140" t="s">
        <v>220</v>
      </c>
      <c r="FC208" s="205">
        <v>1</v>
      </c>
      <c r="FD208" s="205">
        <v>1</v>
      </c>
      <c r="FE208" s="215">
        <v>7.6610958809687197</v>
      </c>
      <c r="FF208" s="140" t="s">
        <v>221</v>
      </c>
      <c r="FG208" s="215">
        <v>3.9790542964560416E-2</v>
      </c>
      <c r="FH208" s="215">
        <v>4.5027975147769794E-2</v>
      </c>
      <c r="FI208" s="266">
        <v>1213.8505924262099</v>
      </c>
      <c r="FK208" s="140" t="s">
        <v>166</v>
      </c>
      <c r="FL208" s="217">
        <f t="shared" si="157"/>
        <v>1213.8505924262099</v>
      </c>
      <c r="FM208" s="266">
        <v>324.44102405605008</v>
      </c>
      <c r="FN208" s="266">
        <v>232.32694890470691</v>
      </c>
      <c r="FO208" s="140" t="s">
        <v>222</v>
      </c>
      <c r="FP208" s="140" t="s">
        <v>223</v>
      </c>
      <c r="FQ208" s="217" t="s">
        <v>166</v>
      </c>
      <c r="FR208" s="217" t="s">
        <v>166</v>
      </c>
      <c r="FS208" s="217" t="s">
        <v>166</v>
      </c>
      <c r="FT208" s="217" t="s">
        <v>166</v>
      </c>
      <c r="FU208" s="217" t="s">
        <v>166</v>
      </c>
      <c r="FV208" s="217" t="s">
        <v>166</v>
      </c>
      <c r="FW208" s="217" t="s">
        <v>166</v>
      </c>
      <c r="FX208" s="217" t="s">
        <v>166</v>
      </c>
      <c r="FY208" s="217" t="s">
        <v>166</v>
      </c>
      <c r="FZ208" s="217" t="s">
        <v>166</v>
      </c>
      <c r="GA208" s="217" t="s">
        <v>166</v>
      </c>
      <c r="GB208" s="217" t="s">
        <v>166</v>
      </c>
      <c r="GC208" s="202" t="s">
        <v>521</v>
      </c>
    </row>
    <row r="209" spans="1:185" s="140" customFormat="1" ht="17">
      <c r="A209" s="140" t="s">
        <v>162</v>
      </c>
      <c r="B209" s="143" t="s">
        <v>163</v>
      </c>
      <c r="C209" s="140" t="s">
        <v>164</v>
      </c>
      <c r="D209" s="140" t="s">
        <v>165</v>
      </c>
      <c r="E209" s="140">
        <v>2020</v>
      </c>
      <c r="F209" s="140" t="s">
        <v>184</v>
      </c>
      <c r="G209" s="240">
        <v>54044.122860865973</v>
      </c>
      <c r="H209" s="241">
        <f t="shared" ref="H209" si="215">0.0083*G209^(0.9482)</f>
        <v>255.07635015161657</v>
      </c>
      <c r="I209" s="241">
        <f t="shared" si="171"/>
        <v>255.07635015161657</v>
      </c>
      <c r="J209" s="266">
        <v>980.17065828282</v>
      </c>
      <c r="K209" s="266">
        <v>173.65905608718015</v>
      </c>
      <c r="L209" s="266">
        <v>160.07894536237302</v>
      </c>
      <c r="M209" s="140" t="b">
        <v>1</v>
      </c>
      <c r="N209" s="140">
        <v>1</v>
      </c>
      <c r="O209" s="302" t="s">
        <v>581</v>
      </c>
      <c r="P209" s="140" t="s">
        <v>166</v>
      </c>
      <c r="Q209" s="140" t="s">
        <v>166</v>
      </c>
      <c r="R209" s="140" t="s">
        <v>166</v>
      </c>
      <c r="S209" s="140" t="b">
        <v>1</v>
      </c>
      <c r="T209" s="140" t="b">
        <v>0</v>
      </c>
      <c r="U209" s="140" t="s">
        <v>166</v>
      </c>
      <c r="V209" s="140" t="b">
        <v>0</v>
      </c>
      <c r="W209" s="140" t="b">
        <v>0</v>
      </c>
      <c r="X209" s="140" t="s">
        <v>580</v>
      </c>
      <c r="Y209" s="202" t="s">
        <v>186</v>
      </c>
      <c r="Z209" s="140" t="s">
        <v>184</v>
      </c>
      <c r="AA209" s="267">
        <v>1210</v>
      </c>
      <c r="AB209" s="207" t="s">
        <v>233</v>
      </c>
      <c r="AC209" s="207">
        <v>19</v>
      </c>
      <c r="AD209" s="207">
        <v>6</v>
      </c>
      <c r="AE209" s="207">
        <v>80</v>
      </c>
      <c r="AF209" s="207">
        <v>81</v>
      </c>
      <c r="AG209" s="210">
        <v>179</v>
      </c>
      <c r="AH209" s="272">
        <v>200.64</v>
      </c>
      <c r="AI209" s="140" t="s">
        <v>508</v>
      </c>
      <c r="AJ209" s="140" t="s">
        <v>509</v>
      </c>
      <c r="AK209" s="210">
        <v>32.223500000000001</v>
      </c>
      <c r="AL209" s="210">
        <v>158.259333</v>
      </c>
      <c r="AM209" s="140">
        <v>28</v>
      </c>
      <c r="AN209" s="140" t="s">
        <v>166</v>
      </c>
      <c r="AO209" s="140">
        <v>-2573</v>
      </c>
      <c r="AP209" s="140">
        <v>-2100</v>
      </c>
      <c r="AQ209" s="140" t="s">
        <v>510</v>
      </c>
      <c r="AR209" s="140" t="s">
        <v>511</v>
      </c>
      <c r="AS209" s="240">
        <v>54.044122860865976</v>
      </c>
      <c r="AT209" s="140" t="s">
        <v>166</v>
      </c>
      <c r="AU209" s="140" t="s">
        <v>166</v>
      </c>
      <c r="AV209" s="140" t="s">
        <v>166</v>
      </c>
      <c r="AW209" s="140" t="s">
        <v>255</v>
      </c>
      <c r="AX209" s="140" t="s">
        <v>512</v>
      </c>
      <c r="AY209" s="140" t="s">
        <v>190</v>
      </c>
      <c r="AZ209" s="140" t="s">
        <v>166</v>
      </c>
      <c r="BA209" s="140" t="s">
        <v>166</v>
      </c>
      <c r="BB209" s="140" t="s">
        <v>166</v>
      </c>
      <c r="BC209" s="140" t="s">
        <v>166</v>
      </c>
      <c r="BD209" s="140" t="s">
        <v>166</v>
      </c>
      <c r="BE209" s="140" t="s">
        <v>166</v>
      </c>
      <c r="BF209" s="140" t="s">
        <v>166</v>
      </c>
      <c r="BG209" s="269" t="s">
        <v>513</v>
      </c>
      <c r="BH209" s="207" t="s">
        <v>236</v>
      </c>
      <c r="BI209" s="140" t="s">
        <v>514</v>
      </c>
      <c r="BJ209" s="140">
        <v>2.6229999999999905</v>
      </c>
      <c r="BK209" s="140" t="s">
        <v>515</v>
      </c>
      <c r="BL209" s="140" t="s">
        <v>516</v>
      </c>
      <c r="BM209" s="140" t="s">
        <v>517</v>
      </c>
      <c r="BN209" s="140" t="s">
        <v>466</v>
      </c>
      <c r="BO209" s="207">
        <v>7</v>
      </c>
      <c r="BP209" s="273">
        <v>0.19</v>
      </c>
      <c r="BQ209" s="207">
        <v>14.89</v>
      </c>
      <c r="BR209" s="140" t="s">
        <v>518</v>
      </c>
      <c r="BS209" s="207">
        <v>0.19</v>
      </c>
      <c r="BT209" s="140">
        <v>1</v>
      </c>
      <c r="BU209" s="140" t="s">
        <v>197</v>
      </c>
      <c r="BV209" s="140" t="s">
        <v>166</v>
      </c>
      <c r="BW209" s="140">
        <v>0</v>
      </c>
      <c r="BX209" s="140" t="s">
        <v>197</v>
      </c>
      <c r="BY209" s="140" t="s">
        <v>166</v>
      </c>
      <c r="BZ209" s="140" t="s">
        <v>197</v>
      </c>
      <c r="CA209" s="140" t="s">
        <v>166</v>
      </c>
      <c r="CB209" s="210">
        <f t="shared" si="165"/>
        <v>14.89</v>
      </c>
      <c r="CC209" s="140" t="s">
        <v>196</v>
      </c>
      <c r="CD209" s="140">
        <f t="shared" si="166"/>
        <v>0.19</v>
      </c>
      <c r="CE209" s="140" t="s">
        <v>199</v>
      </c>
      <c r="CF209" s="140" t="s">
        <v>166</v>
      </c>
      <c r="CG209" s="140" t="s">
        <v>474</v>
      </c>
      <c r="CH209" s="140" t="s">
        <v>166</v>
      </c>
      <c r="CI209" s="140" t="s">
        <v>166</v>
      </c>
      <c r="CJ209" s="247">
        <v>36.763447705936372</v>
      </c>
      <c r="CK209" s="140" t="s">
        <v>201</v>
      </c>
      <c r="CL209" s="140">
        <v>2</v>
      </c>
      <c r="CM209" s="140">
        <v>2</v>
      </c>
      <c r="CN209" s="140" t="s">
        <v>166</v>
      </c>
      <c r="CO209" s="209">
        <v>4.32</v>
      </c>
      <c r="CP209" s="140" t="s">
        <v>519</v>
      </c>
      <c r="CQ209" s="270">
        <v>0.12959999999999999</v>
      </c>
      <c r="CR209" s="270">
        <v>0.12959999999999999</v>
      </c>
      <c r="CS209" s="249" t="s">
        <v>202</v>
      </c>
      <c r="CT209" s="140" t="s">
        <v>203</v>
      </c>
      <c r="CU209" s="140">
        <v>2.2000000000000002</v>
      </c>
      <c r="CV209" s="140" t="s">
        <v>204</v>
      </c>
      <c r="CW209" s="140" t="s">
        <v>166</v>
      </c>
      <c r="CX209" s="140" t="s">
        <v>166</v>
      </c>
      <c r="CY209" s="140" t="s">
        <v>166</v>
      </c>
      <c r="CZ209" s="140" t="s">
        <v>166</v>
      </c>
      <c r="DA209" s="271" t="s">
        <v>166</v>
      </c>
      <c r="DB209" s="140" t="s">
        <v>166</v>
      </c>
      <c r="DC209" s="140" t="s">
        <v>166</v>
      </c>
      <c r="DD209" s="140" t="s">
        <v>166</v>
      </c>
      <c r="DE209" s="140" t="s">
        <v>166</v>
      </c>
      <c r="DF209" s="140" t="s">
        <v>520</v>
      </c>
      <c r="DG209" s="140">
        <v>35</v>
      </c>
      <c r="DH209" s="140" t="s">
        <v>201</v>
      </c>
      <c r="DI209" s="140">
        <v>1</v>
      </c>
      <c r="DJ209" s="140" t="s">
        <v>206</v>
      </c>
      <c r="DK209" s="140">
        <v>17</v>
      </c>
      <c r="DL209" s="140" t="s">
        <v>166</v>
      </c>
      <c r="DM209" s="140" t="s">
        <v>166</v>
      </c>
      <c r="DN209" s="140" t="s">
        <v>207</v>
      </c>
      <c r="DO209" s="140">
        <v>38</v>
      </c>
      <c r="DP209" s="140" t="s">
        <v>208</v>
      </c>
      <c r="DQ209" s="140">
        <v>3</v>
      </c>
      <c r="DR209" s="140" t="s">
        <v>209</v>
      </c>
      <c r="DS209" s="140" t="s">
        <v>166</v>
      </c>
      <c r="DT209" s="140" t="s">
        <v>166</v>
      </c>
      <c r="DU209" s="140" t="s">
        <v>166</v>
      </c>
      <c r="DV209" s="140" t="s">
        <v>166</v>
      </c>
      <c r="DW209" s="140">
        <v>432.6</v>
      </c>
      <c r="DX209" s="140" t="s">
        <v>166</v>
      </c>
      <c r="DY209" s="140" t="s">
        <v>166</v>
      </c>
      <c r="DZ209" s="140" t="s">
        <v>210</v>
      </c>
      <c r="EA209" s="140" t="s">
        <v>211</v>
      </c>
      <c r="EB209" s="140" t="s">
        <v>212</v>
      </c>
      <c r="EC209" s="140" t="s">
        <v>166</v>
      </c>
      <c r="ED209" s="140" t="s">
        <v>213</v>
      </c>
      <c r="EE209" s="213" t="s">
        <v>214</v>
      </c>
      <c r="EF209" s="213" t="s">
        <v>214</v>
      </c>
      <c r="EG209" s="140">
        <v>1.0271999999999999</v>
      </c>
      <c r="EH209" s="140" t="s">
        <v>215</v>
      </c>
      <c r="EI209" s="140" t="s">
        <v>215</v>
      </c>
      <c r="EJ209" s="140" t="s">
        <v>216</v>
      </c>
      <c r="EK209" s="140" t="s">
        <v>215</v>
      </c>
      <c r="EL209" s="140" t="s">
        <v>215</v>
      </c>
      <c r="EM209" s="140" t="s">
        <v>217</v>
      </c>
      <c r="EN209" s="214" t="s">
        <v>214</v>
      </c>
      <c r="EO209" s="214" t="s">
        <v>214</v>
      </c>
      <c r="EP209" s="214" t="s">
        <v>214</v>
      </c>
      <c r="EQ209" s="214" t="s">
        <v>214</v>
      </c>
      <c r="ET209" s="140" t="s">
        <v>218</v>
      </c>
      <c r="EU209" s="140" t="s">
        <v>219</v>
      </c>
      <c r="EV209" s="140" t="s">
        <v>213</v>
      </c>
      <c r="EW209" s="140" t="s">
        <v>166</v>
      </c>
      <c r="EX209" s="140" t="s">
        <v>166</v>
      </c>
      <c r="EY209" s="140" t="s">
        <v>166</v>
      </c>
      <c r="EZ209" s="140" t="s">
        <v>166</v>
      </c>
      <c r="FA209" s="205">
        <v>6</v>
      </c>
      <c r="FB209" s="140" t="s">
        <v>220</v>
      </c>
      <c r="FC209" s="205">
        <v>1</v>
      </c>
      <c r="FD209" s="205">
        <v>1</v>
      </c>
      <c r="FE209" s="215">
        <v>7.6892286227764997</v>
      </c>
      <c r="FF209" s="140" t="s">
        <v>221</v>
      </c>
      <c r="FG209" s="215">
        <v>2.7692437711600348E-2</v>
      </c>
      <c r="FH209" s="215">
        <v>3.1259640343259676E-2</v>
      </c>
      <c r="FI209" s="266">
        <v>980.17065828282</v>
      </c>
      <c r="FK209" s="140" t="s">
        <v>166</v>
      </c>
      <c r="FL209" s="217">
        <f t="shared" si="157"/>
        <v>980.17065828282</v>
      </c>
      <c r="FM209" s="266">
        <v>173.65905608718015</v>
      </c>
      <c r="FN209" s="266">
        <v>160.07894536237302</v>
      </c>
      <c r="FO209" s="140" t="s">
        <v>222</v>
      </c>
      <c r="FP209" s="140" t="s">
        <v>223</v>
      </c>
      <c r="FQ209" s="217" t="s">
        <v>166</v>
      </c>
      <c r="FR209" s="217" t="s">
        <v>166</v>
      </c>
      <c r="FS209" s="217" t="s">
        <v>166</v>
      </c>
      <c r="FT209" s="217" t="s">
        <v>166</v>
      </c>
      <c r="FU209" s="217" t="s">
        <v>166</v>
      </c>
      <c r="FV209" s="217" t="s">
        <v>166</v>
      </c>
      <c r="FW209" s="217" t="s">
        <v>166</v>
      </c>
      <c r="FX209" s="217" t="s">
        <v>166</v>
      </c>
      <c r="FY209" s="217" t="s">
        <v>166</v>
      </c>
      <c r="FZ209" s="217" t="s">
        <v>166</v>
      </c>
      <c r="GA209" s="217" t="s">
        <v>166</v>
      </c>
      <c r="GB209" s="217" t="s">
        <v>166</v>
      </c>
      <c r="GC209" s="202" t="s">
        <v>521</v>
      </c>
    </row>
    <row r="210" spans="1:185" s="140" customFormat="1" ht="17">
      <c r="A210" s="140" t="s">
        <v>162</v>
      </c>
      <c r="B210" s="143" t="s">
        <v>163</v>
      </c>
      <c r="C210" s="140" t="s">
        <v>164</v>
      </c>
      <c r="D210" s="140" t="s">
        <v>165</v>
      </c>
      <c r="E210" s="140">
        <v>2020</v>
      </c>
      <c r="F210" s="140" t="s">
        <v>184</v>
      </c>
      <c r="G210" s="240">
        <v>54047.743118542887</v>
      </c>
      <c r="H210" s="241">
        <f t="shared" ref="H210" si="216">0.0083*G210^(0.9482)</f>
        <v>255.09255184474819</v>
      </c>
      <c r="I210" s="241">
        <f t="shared" si="171"/>
        <v>255.09255184474819</v>
      </c>
      <c r="J210" s="266">
        <v>743.94823704595001</v>
      </c>
      <c r="K210" s="266">
        <v>136.98165317948303</v>
      </c>
      <c r="L210" s="266">
        <v>122.62361630846908</v>
      </c>
      <c r="M210" s="140" t="b">
        <v>1</v>
      </c>
      <c r="N210" s="140">
        <v>1</v>
      </c>
      <c r="O210" s="302" t="s">
        <v>581</v>
      </c>
      <c r="P210" s="140" t="s">
        <v>166</v>
      </c>
      <c r="Q210" s="140" t="s">
        <v>166</v>
      </c>
      <c r="R210" s="140" t="s">
        <v>166</v>
      </c>
      <c r="S210" s="140" t="b">
        <v>1</v>
      </c>
      <c r="T210" s="140" t="b">
        <v>0</v>
      </c>
      <c r="U210" s="140" t="s">
        <v>166</v>
      </c>
      <c r="V210" s="140" t="b">
        <v>0</v>
      </c>
      <c r="W210" s="140" t="b">
        <v>0</v>
      </c>
      <c r="X210" s="140" t="s">
        <v>580</v>
      </c>
      <c r="Y210" s="202" t="s">
        <v>186</v>
      </c>
      <c r="Z210" s="140" t="s">
        <v>184</v>
      </c>
      <c r="AA210" s="267">
        <v>1210</v>
      </c>
      <c r="AB210" s="207" t="s">
        <v>233</v>
      </c>
      <c r="AC210" s="207">
        <v>19</v>
      </c>
      <c r="AD210" s="207">
        <v>6</v>
      </c>
      <c r="AE210" s="207">
        <v>83</v>
      </c>
      <c r="AF210" s="207">
        <v>84</v>
      </c>
      <c r="AG210" s="140">
        <v>179.02999999999997</v>
      </c>
      <c r="AH210" s="272">
        <v>200.67</v>
      </c>
      <c r="AI210" s="140" t="s">
        <v>508</v>
      </c>
      <c r="AJ210" s="140" t="s">
        <v>509</v>
      </c>
      <c r="AK210" s="210">
        <v>32.223500000000001</v>
      </c>
      <c r="AL210" s="210">
        <v>158.259333</v>
      </c>
      <c r="AM210" s="140">
        <v>28</v>
      </c>
      <c r="AN210" s="140" t="s">
        <v>166</v>
      </c>
      <c r="AO210" s="140">
        <v>-2573</v>
      </c>
      <c r="AP210" s="140">
        <v>-2100</v>
      </c>
      <c r="AQ210" s="140" t="s">
        <v>510</v>
      </c>
      <c r="AR210" s="140" t="s">
        <v>511</v>
      </c>
      <c r="AS210" s="240">
        <v>54.04774311854289</v>
      </c>
      <c r="AT210" s="140" t="s">
        <v>166</v>
      </c>
      <c r="AU210" s="140" t="s">
        <v>166</v>
      </c>
      <c r="AV210" s="140" t="s">
        <v>166</v>
      </c>
      <c r="AW210" s="140" t="s">
        <v>255</v>
      </c>
      <c r="AX210" s="140" t="s">
        <v>512</v>
      </c>
      <c r="AY210" s="140" t="s">
        <v>190</v>
      </c>
      <c r="AZ210" s="140" t="s">
        <v>166</v>
      </c>
      <c r="BA210" s="140" t="s">
        <v>166</v>
      </c>
      <c r="BB210" s="140" t="s">
        <v>166</v>
      </c>
      <c r="BC210" s="140" t="s">
        <v>166</v>
      </c>
      <c r="BD210" s="140" t="s">
        <v>166</v>
      </c>
      <c r="BE210" s="140" t="s">
        <v>166</v>
      </c>
      <c r="BF210" s="140" t="s">
        <v>166</v>
      </c>
      <c r="BG210" s="269" t="s">
        <v>513</v>
      </c>
      <c r="BH210" s="207" t="s">
        <v>236</v>
      </c>
      <c r="BI210" s="140" t="s">
        <v>514</v>
      </c>
      <c r="BJ210" s="140">
        <v>2.6279999999999291</v>
      </c>
      <c r="BK210" s="140" t="s">
        <v>515</v>
      </c>
      <c r="BL210" s="140" t="s">
        <v>516</v>
      </c>
      <c r="BM210" s="140" t="s">
        <v>517</v>
      </c>
      <c r="BN210" s="140" t="s">
        <v>466</v>
      </c>
      <c r="BO210" s="207">
        <v>3</v>
      </c>
      <c r="BP210" s="273">
        <v>0.19</v>
      </c>
      <c r="BQ210" s="207">
        <v>15.33</v>
      </c>
      <c r="BR210" s="140" t="s">
        <v>518</v>
      </c>
      <c r="BS210" s="207">
        <v>0.19</v>
      </c>
      <c r="BT210" s="140">
        <v>1</v>
      </c>
      <c r="BU210" s="140" t="s">
        <v>197</v>
      </c>
      <c r="BV210" s="140" t="s">
        <v>166</v>
      </c>
      <c r="BW210" s="140">
        <v>0</v>
      </c>
      <c r="BX210" s="140" t="s">
        <v>197</v>
      </c>
      <c r="BY210" s="140" t="s">
        <v>166</v>
      </c>
      <c r="BZ210" s="140" t="s">
        <v>197</v>
      </c>
      <c r="CA210" s="140" t="s">
        <v>166</v>
      </c>
      <c r="CB210" s="210">
        <f t="shared" si="165"/>
        <v>15.33</v>
      </c>
      <c r="CC210" s="140" t="s">
        <v>196</v>
      </c>
      <c r="CD210" s="140">
        <f t="shared" si="166"/>
        <v>0.19</v>
      </c>
      <c r="CE210" s="140" t="s">
        <v>199</v>
      </c>
      <c r="CF210" s="140" t="s">
        <v>166</v>
      </c>
      <c r="CG210" s="140" t="s">
        <v>474</v>
      </c>
      <c r="CH210" s="140" t="s">
        <v>166</v>
      </c>
      <c r="CI210" s="140" t="s">
        <v>166</v>
      </c>
      <c r="CJ210" s="247">
        <v>35.264453533114718</v>
      </c>
      <c r="CK210" s="140" t="s">
        <v>201</v>
      </c>
      <c r="CL210" s="140">
        <v>2</v>
      </c>
      <c r="CM210" s="140">
        <v>2</v>
      </c>
      <c r="CN210" s="140" t="s">
        <v>166</v>
      </c>
      <c r="CO210" s="209">
        <v>3.97</v>
      </c>
      <c r="CP210" s="140" t="s">
        <v>519</v>
      </c>
      <c r="CQ210" s="270">
        <v>0.1191</v>
      </c>
      <c r="CR210" s="270">
        <v>0.1191</v>
      </c>
      <c r="CS210" s="249" t="s">
        <v>202</v>
      </c>
      <c r="CT210" s="140" t="s">
        <v>203</v>
      </c>
      <c r="CU210" s="140">
        <v>2.2000000000000002</v>
      </c>
      <c r="CV210" s="140" t="s">
        <v>204</v>
      </c>
      <c r="CW210" s="140" t="s">
        <v>166</v>
      </c>
      <c r="CX210" s="140" t="s">
        <v>166</v>
      </c>
      <c r="CY210" s="140" t="s">
        <v>166</v>
      </c>
      <c r="CZ210" s="140" t="s">
        <v>166</v>
      </c>
      <c r="DA210" s="271" t="s">
        <v>166</v>
      </c>
      <c r="DB210" s="140" t="s">
        <v>166</v>
      </c>
      <c r="DC210" s="140" t="s">
        <v>166</v>
      </c>
      <c r="DD210" s="140" t="s">
        <v>166</v>
      </c>
      <c r="DE210" s="140" t="s">
        <v>166</v>
      </c>
      <c r="DF210" s="140" t="s">
        <v>520</v>
      </c>
      <c r="DG210" s="140">
        <v>35</v>
      </c>
      <c r="DH210" s="140" t="s">
        <v>201</v>
      </c>
      <c r="DI210" s="140">
        <v>1</v>
      </c>
      <c r="DJ210" s="140" t="s">
        <v>206</v>
      </c>
      <c r="DK210" s="140">
        <v>17</v>
      </c>
      <c r="DL210" s="140" t="s">
        <v>166</v>
      </c>
      <c r="DM210" s="140" t="s">
        <v>166</v>
      </c>
      <c r="DN210" s="140" t="s">
        <v>207</v>
      </c>
      <c r="DO210" s="140">
        <v>38</v>
      </c>
      <c r="DP210" s="140" t="s">
        <v>208</v>
      </c>
      <c r="DQ210" s="140">
        <v>3</v>
      </c>
      <c r="DR210" s="140" t="s">
        <v>209</v>
      </c>
      <c r="DS210" s="140" t="s">
        <v>166</v>
      </c>
      <c r="DT210" s="140" t="s">
        <v>166</v>
      </c>
      <c r="DU210" s="140" t="s">
        <v>166</v>
      </c>
      <c r="DV210" s="140" t="s">
        <v>166</v>
      </c>
      <c r="DW210" s="140">
        <v>432.6</v>
      </c>
      <c r="DX210" s="140" t="s">
        <v>166</v>
      </c>
      <c r="DY210" s="140" t="s">
        <v>166</v>
      </c>
      <c r="DZ210" s="140" t="s">
        <v>210</v>
      </c>
      <c r="EA210" s="140" t="s">
        <v>211</v>
      </c>
      <c r="EB210" s="140" t="s">
        <v>212</v>
      </c>
      <c r="EC210" s="140" t="s">
        <v>166</v>
      </c>
      <c r="ED210" s="140" t="s">
        <v>213</v>
      </c>
      <c r="EE210" s="213" t="s">
        <v>214</v>
      </c>
      <c r="EF210" s="213" t="s">
        <v>214</v>
      </c>
      <c r="EG210" s="140">
        <v>1.0271999999999999</v>
      </c>
      <c r="EH210" s="140" t="s">
        <v>215</v>
      </c>
      <c r="EI210" s="140" t="s">
        <v>215</v>
      </c>
      <c r="EJ210" s="140" t="s">
        <v>216</v>
      </c>
      <c r="EK210" s="140" t="s">
        <v>215</v>
      </c>
      <c r="EL210" s="140" t="s">
        <v>215</v>
      </c>
      <c r="EM210" s="140" t="s">
        <v>217</v>
      </c>
      <c r="EN210" s="214" t="s">
        <v>214</v>
      </c>
      <c r="EO210" s="214" t="s">
        <v>214</v>
      </c>
      <c r="EP210" s="214" t="s">
        <v>214</v>
      </c>
      <c r="EQ210" s="214" t="s">
        <v>214</v>
      </c>
      <c r="ET210" s="140" t="s">
        <v>218</v>
      </c>
      <c r="EU210" s="140" t="s">
        <v>219</v>
      </c>
      <c r="EV210" s="140" t="s">
        <v>213</v>
      </c>
      <c r="EW210" s="140" t="s">
        <v>166</v>
      </c>
      <c r="EX210" s="140" t="s">
        <v>166</v>
      </c>
      <c r="EY210" s="140" t="s">
        <v>166</v>
      </c>
      <c r="EZ210" s="140" t="s">
        <v>166</v>
      </c>
      <c r="FA210" s="205">
        <v>6</v>
      </c>
      <c r="FB210" s="140" t="s">
        <v>220</v>
      </c>
      <c r="FC210" s="205">
        <v>1</v>
      </c>
      <c r="FD210" s="205">
        <v>1</v>
      </c>
      <c r="FE210" s="215">
        <v>7.7585516255428297</v>
      </c>
      <c r="FF210" s="140" t="s">
        <v>221</v>
      </c>
      <c r="FG210" s="215">
        <v>2.930260423983988E-2</v>
      </c>
      <c r="FH210" s="215">
        <v>2.9542141941779398E-2</v>
      </c>
      <c r="FI210" s="266">
        <v>743.94823704595001</v>
      </c>
      <c r="FK210" s="140" t="s">
        <v>166</v>
      </c>
      <c r="FL210" s="217">
        <f t="shared" si="157"/>
        <v>743.94823704595001</v>
      </c>
      <c r="FM210" s="266">
        <v>136.98165317948303</v>
      </c>
      <c r="FN210" s="266">
        <v>122.62361630846908</v>
      </c>
      <c r="FO210" s="140" t="s">
        <v>222</v>
      </c>
      <c r="FP210" s="140" t="s">
        <v>223</v>
      </c>
      <c r="FQ210" s="217" t="s">
        <v>166</v>
      </c>
      <c r="FR210" s="217" t="s">
        <v>166</v>
      </c>
      <c r="FS210" s="217" t="s">
        <v>166</v>
      </c>
      <c r="FT210" s="217" t="s">
        <v>166</v>
      </c>
      <c r="FU210" s="217" t="s">
        <v>166</v>
      </c>
      <c r="FV210" s="217" t="s">
        <v>166</v>
      </c>
      <c r="FW210" s="217" t="s">
        <v>166</v>
      </c>
      <c r="FX210" s="217" t="s">
        <v>166</v>
      </c>
      <c r="FY210" s="217" t="s">
        <v>166</v>
      </c>
      <c r="FZ210" s="217" t="s">
        <v>166</v>
      </c>
      <c r="GA210" s="217" t="s">
        <v>166</v>
      </c>
      <c r="GB210" s="217" t="s">
        <v>166</v>
      </c>
      <c r="GC210" s="202" t="s">
        <v>521</v>
      </c>
    </row>
    <row r="211" spans="1:185" s="140" customFormat="1" ht="17">
      <c r="A211" s="140" t="s">
        <v>162</v>
      </c>
      <c r="B211" s="143" t="s">
        <v>163</v>
      </c>
      <c r="C211" s="140" t="s">
        <v>164</v>
      </c>
      <c r="D211" s="140" t="s">
        <v>165</v>
      </c>
      <c r="E211" s="140">
        <v>2020</v>
      </c>
      <c r="F211" s="140" t="s">
        <v>184</v>
      </c>
      <c r="G211" s="240">
        <v>54049.971600767538</v>
      </c>
      <c r="H211" s="241">
        <f t="shared" ref="H211" si="217">0.0083*G211^(0.9482)</f>
        <v>255.10252491494973</v>
      </c>
      <c r="I211" s="241">
        <f t="shared" si="171"/>
        <v>255.10252491494973</v>
      </c>
      <c r="J211" s="266">
        <v>646.56362647727497</v>
      </c>
      <c r="K211" s="266">
        <v>129.57002693354002</v>
      </c>
      <c r="L211" s="266">
        <v>100.31173368378995</v>
      </c>
      <c r="M211" s="140" t="b">
        <v>1</v>
      </c>
      <c r="N211" s="140">
        <v>1</v>
      </c>
      <c r="O211" s="302" t="s">
        <v>581</v>
      </c>
      <c r="P211" s="140" t="s">
        <v>166</v>
      </c>
      <c r="Q211" s="140" t="s">
        <v>166</v>
      </c>
      <c r="R211" s="140" t="s">
        <v>166</v>
      </c>
      <c r="S211" s="140" t="b">
        <v>1</v>
      </c>
      <c r="T211" s="140" t="b">
        <v>0</v>
      </c>
      <c r="U211" s="140" t="s">
        <v>166</v>
      </c>
      <c r="V211" s="140" t="b">
        <v>0</v>
      </c>
      <c r="W211" s="140" t="b">
        <v>0</v>
      </c>
      <c r="X211" s="140" t="s">
        <v>580</v>
      </c>
      <c r="Y211" s="202" t="s">
        <v>186</v>
      </c>
      <c r="Z211" s="140" t="s">
        <v>184</v>
      </c>
      <c r="AA211" s="267">
        <v>1210</v>
      </c>
      <c r="AB211" s="207" t="s">
        <v>233</v>
      </c>
      <c r="AC211" s="207">
        <v>19</v>
      </c>
      <c r="AD211" s="207">
        <v>6</v>
      </c>
      <c r="AE211" s="207">
        <v>86</v>
      </c>
      <c r="AF211" s="207">
        <v>87</v>
      </c>
      <c r="AG211" s="140">
        <v>179.06</v>
      </c>
      <c r="AH211" s="272">
        <v>200.7</v>
      </c>
      <c r="AI211" s="140" t="s">
        <v>508</v>
      </c>
      <c r="AJ211" s="140" t="s">
        <v>509</v>
      </c>
      <c r="AK211" s="210">
        <v>32.223500000000001</v>
      </c>
      <c r="AL211" s="210">
        <v>158.259333</v>
      </c>
      <c r="AM211" s="140">
        <v>28</v>
      </c>
      <c r="AN211" s="140" t="s">
        <v>166</v>
      </c>
      <c r="AO211" s="140">
        <v>-2573</v>
      </c>
      <c r="AP211" s="140">
        <v>-2100</v>
      </c>
      <c r="AQ211" s="140" t="s">
        <v>510</v>
      </c>
      <c r="AR211" s="140" t="s">
        <v>511</v>
      </c>
      <c r="AS211" s="240">
        <v>54.049971600767535</v>
      </c>
      <c r="AT211" s="140" t="s">
        <v>166</v>
      </c>
      <c r="AU211" s="140" t="s">
        <v>166</v>
      </c>
      <c r="AV211" s="140" t="s">
        <v>166</v>
      </c>
      <c r="AW211" s="140" t="s">
        <v>255</v>
      </c>
      <c r="AX211" s="140" t="s">
        <v>512</v>
      </c>
      <c r="AY211" s="140" t="s">
        <v>190</v>
      </c>
      <c r="AZ211" s="140" t="s">
        <v>166</v>
      </c>
      <c r="BA211" s="140" t="s">
        <v>166</v>
      </c>
      <c r="BB211" s="140" t="s">
        <v>166</v>
      </c>
      <c r="BC211" s="140" t="s">
        <v>166</v>
      </c>
      <c r="BD211" s="140" t="s">
        <v>166</v>
      </c>
      <c r="BE211" s="140" t="s">
        <v>166</v>
      </c>
      <c r="BF211" s="140" t="s">
        <v>166</v>
      </c>
      <c r="BG211" s="269" t="s">
        <v>513</v>
      </c>
      <c r="BH211" s="207" t="s">
        <v>236</v>
      </c>
      <c r="BI211" s="140" t="s">
        <v>514</v>
      </c>
      <c r="BJ211" s="140">
        <v>2.4749999999999659</v>
      </c>
      <c r="BK211" s="140" t="s">
        <v>515</v>
      </c>
      <c r="BL211" s="140" t="s">
        <v>516</v>
      </c>
      <c r="BM211" s="140" t="s">
        <v>517</v>
      </c>
      <c r="BN211" s="140" t="s">
        <v>466</v>
      </c>
      <c r="BO211" s="207">
        <v>7</v>
      </c>
      <c r="BP211" s="273">
        <v>0.18</v>
      </c>
      <c r="BQ211" s="207">
        <v>15.61</v>
      </c>
      <c r="BR211" s="140" t="s">
        <v>518</v>
      </c>
      <c r="BS211" s="207">
        <v>0.21</v>
      </c>
      <c r="BT211" s="140">
        <v>1</v>
      </c>
      <c r="BU211" s="140" t="s">
        <v>197</v>
      </c>
      <c r="BV211" s="140" t="s">
        <v>166</v>
      </c>
      <c r="BW211" s="140">
        <v>0</v>
      </c>
      <c r="BX211" s="140" t="s">
        <v>197</v>
      </c>
      <c r="BY211" s="140" t="s">
        <v>166</v>
      </c>
      <c r="BZ211" s="140" t="s">
        <v>197</v>
      </c>
      <c r="CA211" s="140" t="s">
        <v>166</v>
      </c>
      <c r="CB211" s="210">
        <f t="shared" si="165"/>
        <v>15.61</v>
      </c>
      <c r="CC211" s="140" t="s">
        <v>196</v>
      </c>
      <c r="CD211" s="140">
        <f t="shared" si="166"/>
        <v>0.21</v>
      </c>
      <c r="CE211" s="140" t="s">
        <v>199</v>
      </c>
      <c r="CF211" s="140" t="s">
        <v>166</v>
      </c>
      <c r="CG211" s="140" t="s">
        <v>474</v>
      </c>
      <c r="CH211" s="140" t="s">
        <v>166</v>
      </c>
      <c r="CI211" s="140" t="s">
        <v>166</v>
      </c>
      <c r="CJ211" s="247">
        <v>36.051165610744192</v>
      </c>
      <c r="CK211" s="140" t="s">
        <v>201</v>
      </c>
      <c r="CL211" s="140">
        <v>2</v>
      </c>
      <c r="CM211" s="140">
        <v>2</v>
      </c>
      <c r="CN211" s="140" t="s">
        <v>166</v>
      </c>
      <c r="CO211" s="209">
        <v>4.1500000000000004</v>
      </c>
      <c r="CP211" s="140" t="s">
        <v>519</v>
      </c>
      <c r="CQ211" s="270">
        <v>0.1245</v>
      </c>
      <c r="CR211" s="270">
        <v>0.1245</v>
      </c>
      <c r="CS211" s="249" t="s">
        <v>202</v>
      </c>
      <c r="CT211" s="140" t="s">
        <v>203</v>
      </c>
      <c r="CU211" s="140">
        <v>2.2000000000000002</v>
      </c>
      <c r="CV211" s="140" t="s">
        <v>204</v>
      </c>
      <c r="CW211" s="140" t="s">
        <v>166</v>
      </c>
      <c r="CX211" s="140" t="s">
        <v>166</v>
      </c>
      <c r="CY211" s="140" t="s">
        <v>166</v>
      </c>
      <c r="CZ211" s="140" t="s">
        <v>166</v>
      </c>
      <c r="DA211" s="271" t="s">
        <v>166</v>
      </c>
      <c r="DB211" s="140" t="s">
        <v>166</v>
      </c>
      <c r="DC211" s="140" t="s">
        <v>166</v>
      </c>
      <c r="DD211" s="140" t="s">
        <v>166</v>
      </c>
      <c r="DE211" s="140" t="s">
        <v>166</v>
      </c>
      <c r="DF211" s="140" t="s">
        <v>520</v>
      </c>
      <c r="DG211" s="140">
        <v>35</v>
      </c>
      <c r="DH211" s="140" t="s">
        <v>201</v>
      </c>
      <c r="DI211" s="140">
        <v>1</v>
      </c>
      <c r="DJ211" s="140" t="s">
        <v>206</v>
      </c>
      <c r="DK211" s="140">
        <v>17</v>
      </c>
      <c r="DL211" s="140" t="s">
        <v>166</v>
      </c>
      <c r="DM211" s="140" t="s">
        <v>166</v>
      </c>
      <c r="DN211" s="140" t="s">
        <v>207</v>
      </c>
      <c r="DO211" s="140">
        <v>38</v>
      </c>
      <c r="DP211" s="140" t="s">
        <v>208</v>
      </c>
      <c r="DQ211" s="140">
        <v>3</v>
      </c>
      <c r="DR211" s="140" t="s">
        <v>209</v>
      </c>
      <c r="DS211" s="140" t="s">
        <v>166</v>
      </c>
      <c r="DT211" s="140" t="s">
        <v>166</v>
      </c>
      <c r="DU211" s="140" t="s">
        <v>166</v>
      </c>
      <c r="DV211" s="140" t="s">
        <v>166</v>
      </c>
      <c r="DW211" s="140">
        <v>432.6</v>
      </c>
      <c r="DX211" s="140" t="s">
        <v>166</v>
      </c>
      <c r="DY211" s="140" t="s">
        <v>166</v>
      </c>
      <c r="DZ211" s="140" t="s">
        <v>210</v>
      </c>
      <c r="EA211" s="140" t="s">
        <v>211</v>
      </c>
      <c r="EB211" s="140" t="s">
        <v>212</v>
      </c>
      <c r="EC211" s="140" t="s">
        <v>166</v>
      </c>
      <c r="ED211" s="140" t="s">
        <v>213</v>
      </c>
      <c r="EE211" s="213" t="s">
        <v>214</v>
      </c>
      <c r="EF211" s="213" t="s">
        <v>214</v>
      </c>
      <c r="EG211" s="140">
        <v>1.0271999999999999</v>
      </c>
      <c r="EH211" s="140" t="s">
        <v>215</v>
      </c>
      <c r="EI211" s="140" t="s">
        <v>215</v>
      </c>
      <c r="EJ211" s="140" t="s">
        <v>216</v>
      </c>
      <c r="EK211" s="140" t="s">
        <v>215</v>
      </c>
      <c r="EL211" s="140" t="s">
        <v>215</v>
      </c>
      <c r="EM211" s="140" t="s">
        <v>217</v>
      </c>
      <c r="EN211" s="214" t="s">
        <v>214</v>
      </c>
      <c r="EO211" s="214" t="s">
        <v>214</v>
      </c>
      <c r="EP211" s="214" t="s">
        <v>214</v>
      </c>
      <c r="EQ211" s="214" t="s">
        <v>214</v>
      </c>
      <c r="ET211" s="140" t="s">
        <v>218</v>
      </c>
      <c r="EU211" s="140" t="s">
        <v>219</v>
      </c>
      <c r="EV211" s="140" t="s">
        <v>213</v>
      </c>
      <c r="EW211" s="140" t="s">
        <v>166</v>
      </c>
      <c r="EX211" s="140" t="s">
        <v>166</v>
      </c>
      <c r="EY211" s="140" t="s">
        <v>166</v>
      </c>
      <c r="EZ211" s="140" t="s">
        <v>166</v>
      </c>
      <c r="FA211" s="205">
        <v>6</v>
      </c>
      <c r="FB211" s="140" t="s">
        <v>220</v>
      </c>
      <c r="FC211" s="205">
        <v>1</v>
      </c>
      <c r="FD211" s="205">
        <v>1</v>
      </c>
      <c r="FE211" s="215">
        <v>7.78314319996832</v>
      </c>
      <c r="FF211" s="140" t="s">
        <v>221</v>
      </c>
      <c r="FG211" s="215">
        <v>3.1088845152550171E-2</v>
      </c>
      <c r="FH211" s="215">
        <v>3.0940503460329616E-2</v>
      </c>
      <c r="FI211" s="266">
        <v>646.56362647727497</v>
      </c>
      <c r="FK211" s="140" t="s">
        <v>166</v>
      </c>
      <c r="FL211" s="217">
        <f t="shared" si="157"/>
        <v>646.56362647727497</v>
      </c>
      <c r="FM211" s="266">
        <v>129.57002693354002</v>
      </c>
      <c r="FN211" s="266">
        <v>100.31173368378995</v>
      </c>
      <c r="FO211" s="140" t="s">
        <v>222</v>
      </c>
      <c r="FP211" s="140" t="s">
        <v>223</v>
      </c>
      <c r="FQ211" s="217" t="s">
        <v>166</v>
      </c>
      <c r="FR211" s="217" t="s">
        <v>166</v>
      </c>
      <c r="FS211" s="217" t="s">
        <v>166</v>
      </c>
      <c r="FT211" s="217" t="s">
        <v>166</v>
      </c>
      <c r="FU211" s="217" t="s">
        <v>166</v>
      </c>
      <c r="FV211" s="217" t="s">
        <v>166</v>
      </c>
      <c r="FW211" s="217" t="s">
        <v>166</v>
      </c>
      <c r="FX211" s="217" t="s">
        <v>166</v>
      </c>
      <c r="FY211" s="217" t="s">
        <v>166</v>
      </c>
      <c r="FZ211" s="217" t="s">
        <v>166</v>
      </c>
      <c r="GA211" s="217" t="s">
        <v>166</v>
      </c>
      <c r="GB211" s="217" t="s">
        <v>166</v>
      </c>
      <c r="GC211" s="202" t="s">
        <v>521</v>
      </c>
    </row>
    <row r="212" spans="1:185" s="140" customFormat="1" ht="17">
      <c r="A212" s="140" t="s">
        <v>162</v>
      </c>
      <c r="B212" s="143" t="s">
        <v>163</v>
      </c>
      <c r="C212" s="140" t="s">
        <v>164</v>
      </c>
      <c r="D212" s="140" t="s">
        <v>165</v>
      </c>
      <c r="E212" s="140">
        <v>2020</v>
      </c>
      <c r="F212" s="140" t="s">
        <v>184</v>
      </c>
      <c r="G212" s="240">
        <v>54050.752074610486</v>
      </c>
      <c r="H212" s="241">
        <f t="shared" ref="H212" si="218">0.0083*G212^(0.9482)</f>
        <v>255.10601774478585</v>
      </c>
      <c r="I212" s="241">
        <f t="shared" si="171"/>
        <v>255.10601774478585</v>
      </c>
      <c r="J212" s="266">
        <v>746.84848727205099</v>
      </c>
      <c r="K212" s="266">
        <v>178.96484794914295</v>
      </c>
      <c r="L212" s="266">
        <v>142.83320195745307</v>
      </c>
      <c r="M212" s="140" t="b">
        <v>1</v>
      </c>
      <c r="N212" s="140">
        <v>1</v>
      </c>
      <c r="O212" s="302" t="s">
        <v>581</v>
      </c>
      <c r="P212" s="140" t="s">
        <v>166</v>
      </c>
      <c r="Q212" s="140" t="s">
        <v>166</v>
      </c>
      <c r="R212" s="140" t="s">
        <v>166</v>
      </c>
      <c r="S212" s="140" t="b">
        <v>1</v>
      </c>
      <c r="T212" s="140" t="b">
        <v>0</v>
      </c>
      <c r="U212" s="140" t="s">
        <v>166</v>
      </c>
      <c r="V212" s="140" t="b">
        <v>0</v>
      </c>
      <c r="W212" s="140" t="b">
        <v>0</v>
      </c>
      <c r="X212" s="140" t="s">
        <v>580</v>
      </c>
      <c r="Y212" s="202" t="s">
        <v>186</v>
      </c>
      <c r="Z212" s="140" t="s">
        <v>184</v>
      </c>
      <c r="AA212" s="267">
        <v>1210</v>
      </c>
      <c r="AB212" s="207" t="s">
        <v>233</v>
      </c>
      <c r="AC212" s="207">
        <v>19</v>
      </c>
      <c r="AD212" s="207">
        <v>6</v>
      </c>
      <c r="AE212" s="207">
        <v>89</v>
      </c>
      <c r="AF212" s="207">
        <v>90</v>
      </c>
      <c r="AG212" s="140">
        <v>179.08999999999997</v>
      </c>
      <c r="AH212" s="272">
        <v>200.73</v>
      </c>
      <c r="AI212" s="140" t="s">
        <v>508</v>
      </c>
      <c r="AJ212" s="140" t="s">
        <v>509</v>
      </c>
      <c r="AK212" s="210">
        <v>32.223500000000001</v>
      </c>
      <c r="AL212" s="210">
        <v>158.259333</v>
      </c>
      <c r="AM212" s="140">
        <v>28</v>
      </c>
      <c r="AN212" s="140" t="s">
        <v>166</v>
      </c>
      <c r="AO212" s="140">
        <v>-2573</v>
      </c>
      <c r="AP212" s="140">
        <v>-2100</v>
      </c>
      <c r="AQ212" s="140" t="s">
        <v>510</v>
      </c>
      <c r="AR212" s="140" t="s">
        <v>511</v>
      </c>
      <c r="AS212" s="240">
        <v>54.050752074610486</v>
      </c>
      <c r="AT212" s="140" t="s">
        <v>166</v>
      </c>
      <c r="AU212" s="140" t="s">
        <v>166</v>
      </c>
      <c r="AV212" s="140" t="s">
        <v>166</v>
      </c>
      <c r="AW212" s="140" t="s">
        <v>255</v>
      </c>
      <c r="AX212" s="140" t="s">
        <v>512</v>
      </c>
      <c r="AY212" s="140" t="s">
        <v>190</v>
      </c>
      <c r="AZ212" s="140" t="s">
        <v>166</v>
      </c>
      <c r="BA212" s="140" t="s">
        <v>166</v>
      </c>
      <c r="BB212" s="140" t="s">
        <v>166</v>
      </c>
      <c r="BC212" s="140" t="s">
        <v>166</v>
      </c>
      <c r="BD212" s="140" t="s">
        <v>166</v>
      </c>
      <c r="BE212" s="140" t="s">
        <v>166</v>
      </c>
      <c r="BF212" s="140" t="s">
        <v>166</v>
      </c>
      <c r="BG212" s="269" t="s">
        <v>513</v>
      </c>
      <c r="BH212" s="207" t="s">
        <v>236</v>
      </c>
      <c r="BI212" s="140" t="s">
        <v>514</v>
      </c>
      <c r="BJ212" s="140">
        <v>2.4029999999999632</v>
      </c>
      <c r="BK212" s="140" t="s">
        <v>515</v>
      </c>
      <c r="BL212" s="140" t="s">
        <v>516</v>
      </c>
      <c r="BM212" s="140" t="s">
        <v>517</v>
      </c>
      <c r="BN212" s="140" t="s">
        <v>466</v>
      </c>
      <c r="BO212" s="207">
        <v>8</v>
      </c>
      <c r="BP212" s="273">
        <v>0.33</v>
      </c>
      <c r="BQ212" s="207">
        <v>15.36</v>
      </c>
      <c r="BR212" s="140" t="s">
        <v>518</v>
      </c>
      <c r="BS212" s="207">
        <v>0.34</v>
      </c>
      <c r="BT212" s="140">
        <v>1</v>
      </c>
      <c r="BU212" s="140" t="s">
        <v>197</v>
      </c>
      <c r="BV212" s="140" t="s">
        <v>166</v>
      </c>
      <c r="BW212" s="140">
        <v>0</v>
      </c>
      <c r="BX212" s="140" t="s">
        <v>197</v>
      </c>
      <c r="BY212" s="140" t="s">
        <v>166</v>
      </c>
      <c r="BZ212" s="140" t="s">
        <v>197</v>
      </c>
      <c r="CA212" s="140" t="s">
        <v>166</v>
      </c>
      <c r="CB212" s="210">
        <f t="shared" si="165"/>
        <v>15.36</v>
      </c>
      <c r="CC212" s="140" t="s">
        <v>196</v>
      </c>
      <c r="CD212" s="140">
        <f t="shared" si="166"/>
        <v>0.34</v>
      </c>
      <c r="CE212" s="140" t="s">
        <v>199</v>
      </c>
      <c r="CF212" s="140" t="s">
        <v>166</v>
      </c>
      <c r="CG212" s="140" t="s">
        <v>474</v>
      </c>
      <c r="CH212" s="140" t="s">
        <v>166</v>
      </c>
      <c r="CI212" s="140" t="s">
        <v>166</v>
      </c>
      <c r="CJ212" s="247">
        <v>36.473609878250372</v>
      </c>
      <c r="CK212" s="140" t="s">
        <v>201</v>
      </c>
      <c r="CL212" s="140">
        <v>2</v>
      </c>
      <c r="CM212" s="140">
        <v>2</v>
      </c>
      <c r="CN212" s="140" t="s">
        <v>166</v>
      </c>
      <c r="CO212" s="209">
        <v>4.25</v>
      </c>
      <c r="CP212" s="140" t="s">
        <v>519</v>
      </c>
      <c r="CQ212" s="270">
        <v>0.1275</v>
      </c>
      <c r="CR212" s="270">
        <v>0.1275</v>
      </c>
      <c r="CS212" s="249" t="s">
        <v>202</v>
      </c>
      <c r="CT212" s="140" t="s">
        <v>203</v>
      </c>
      <c r="CU212" s="140">
        <v>2.2000000000000002</v>
      </c>
      <c r="CV212" s="140" t="s">
        <v>204</v>
      </c>
      <c r="CW212" s="140" t="s">
        <v>166</v>
      </c>
      <c r="CX212" s="140" t="s">
        <v>166</v>
      </c>
      <c r="CY212" s="140" t="s">
        <v>166</v>
      </c>
      <c r="CZ212" s="140" t="s">
        <v>166</v>
      </c>
      <c r="DA212" s="271" t="s">
        <v>166</v>
      </c>
      <c r="DB212" s="140" t="s">
        <v>166</v>
      </c>
      <c r="DC212" s="140" t="s">
        <v>166</v>
      </c>
      <c r="DD212" s="140" t="s">
        <v>166</v>
      </c>
      <c r="DE212" s="140" t="s">
        <v>166</v>
      </c>
      <c r="DF212" s="140" t="s">
        <v>520</v>
      </c>
      <c r="DG212" s="140">
        <v>35</v>
      </c>
      <c r="DH212" s="140" t="s">
        <v>201</v>
      </c>
      <c r="DI212" s="140">
        <v>1</v>
      </c>
      <c r="DJ212" s="140" t="s">
        <v>206</v>
      </c>
      <c r="DK212" s="140">
        <v>17</v>
      </c>
      <c r="DL212" s="140" t="s">
        <v>166</v>
      </c>
      <c r="DM212" s="140" t="s">
        <v>166</v>
      </c>
      <c r="DN212" s="140" t="s">
        <v>207</v>
      </c>
      <c r="DO212" s="140">
        <v>38</v>
      </c>
      <c r="DP212" s="140" t="s">
        <v>208</v>
      </c>
      <c r="DQ212" s="140">
        <v>3</v>
      </c>
      <c r="DR212" s="140" t="s">
        <v>209</v>
      </c>
      <c r="DS212" s="140" t="s">
        <v>166</v>
      </c>
      <c r="DT212" s="140" t="s">
        <v>166</v>
      </c>
      <c r="DU212" s="140" t="s">
        <v>166</v>
      </c>
      <c r="DV212" s="140" t="s">
        <v>166</v>
      </c>
      <c r="DW212" s="140">
        <v>432.6</v>
      </c>
      <c r="DX212" s="140" t="s">
        <v>166</v>
      </c>
      <c r="DY212" s="140" t="s">
        <v>166</v>
      </c>
      <c r="DZ212" s="140" t="s">
        <v>210</v>
      </c>
      <c r="EA212" s="140" t="s">
        <v>211</v>
      </c>
      <c r="EB212" s="140" t="s">
        <v>212</v>
      </c>
      <c r="EC212" s="140" t="s">
        <v>166</v>
      </c>
      <c r="ED212" s="140" t="s">
        <v>213</v>
      </c>
      <c r="EE212" s="213" t="s">
        <v>214</v>
      </c>
      <c r="EF212" s="213" t="s">
        <v>214</v>
      </c>
      <c r="EG212" s="140">
        <v>1.0271999999999999</v>
      </c>
      <c r="EH212" s="140" t="s">
        <v>215</v>
      </c>
      <c r="EI212" s="140" t="s">
        <v>215</v>
      </c>
      <c r="EJ212" s="140" t="s">
        <v>216</v>
      </c>
      <c r="EK212" s="140" t="s">
        <v>215</v>
      </c>
      <c r="EL212" s="140" t="s">
        <v>215</v>
      </c>
      <c r="EM212" s="140" t="s">
        <v>217</v>
      </c>
      <c r="EN212" s="214" t="s">
        <v>214</v>
      </c>
      <c r="EO212" s="214" t="s">
        <v>214</v>
      </c>
      <c r="EP212" s="214" t="s">
        <v>214</v>
      </c>
      <c r="EQ212" s="214" t="s">
        <v>214</v>
      </c>
      <c r="ET212" s="140" t="s">
        <v>218</v>
      </c>
      <c r="EU212" s="140" t="s">
        <v>219</v>
      </c>
      <c r="EV212" s="140" t="s">
        <v>213</v>
      </c>
      <c r="EW212" s="140" t="s">
        <v>166</v>
      </c>
      <c r="EX212" s="140" t="s">
        <v>166</v>
      </c>
      <c r="EY212" s="140" t="s">
        <v>166</v>
      </c>
      <c r="EZ212" s="140" t="s">
        <v>166</v>
      </c>
      <c r="FA212" s="205">
        <v>6</v>
      </c>
      <c r="FB212" s="140" t="s">
        <v>220</v>
      </c>
      <c r="FC212" s="205">
        <v>1</v>
      </c>
      <c r="FD212" s="205">
        <v>1</v>
      </c>
      <c r="FE212" s="215">
        <v>7.7493258920760404</v>
      </c>
      <c r="FF212" s="140" t="s">
        <v>221</v>
      </c>
      <c r="FG212" s="215">
        <v>3.8085194853739956E-2</v>
      </c>
      <c r="FH212" s="215">
        <v>4.1597176542770065E-2</v>
      </c>
      <c r="FI212" s="266">
        <v>746.84848727205099</v>
      </c>
      <c r="FK212" s="140" t="s">
        <v>166</v>
      </c>
      <c r="FL212" s="217">
        <f t="shared" si="157"/>
        <v>746.84848727205099</v>
      </c>
      <c r="FM212" s="266">
        <v>178.96484794914295</v>
      </c>
      <c r="FN212" s="266">
        <v>142.83320195745307</v>
      </c>
      <c r="FO212" s="140" t="s">
        <v>222</v>
      </c>
      <c r="FP212" s="140" t="s">
        <v>223</v>
      </c>
      <c r="FQ212" s="217" t="s">
        <v>166</v>
      </c>
      <c r="FR212" s="217" t="s">
        <v>166</v>
      </c>
      <c r="FS212" s="217" t="s">
        <v>166</v>
      </c>
      <c r="FT212" s="217" t="s">
        <v>166</v>
      </c>
      <c r="FU212" s="217" t="s">
        <v>166</v>
      </c>
      <c r="FV212" s="217" t="s">
        <v>166</v>
      </c>
      <c r="FW212" s="217" t="s">
        <v>166</v>
      </c>
      <c r="FX212" s="217" t="s">
        <v>166</v>
      </c>
      <c r="FY212" s="217" t="s">
        <v>166</v>
      </c>
      <c r="FZ212" s="217" t="s">
        <v>166</v>
      </c>
      <c r="GA212" s="217" t="s">
        <v>166</v>
      </c>
      <c r="GB212" s="217" t="s">
        <v>166</v>
      </c>
      <c r="GC212" s="202" t="s">
        <v>521</v>
      </c>
    </row>
    <row r="213" spans="1:185" s="140" customFormat="1" ht="17">
      <c r="A213" s="140" t="s">
        <v>162</v>
      </c>
      <c r="B213" s="143" t="s">
        <v>163</v>
      </c>
      <c r="C213" s="140" t="s">
        <v>164</v>
      </c>
      <c r="D213" s="140" t="s">
        <v>165</v>
      </c>
      <c r="E213" s="140">
        <v>2020</v>
      </c>
      <c r="F213" s="140" t="s">
        <v>184</v>
      </c>
      <c r="G213" s="240">
        <v>54051.532548453441</v>
      </c>
      <c r="H213" s="241">
        <f t="shared" ref="H213" si="219">0.0083*G213^(0.9482)</f>
        <v>255.10951057200896</v>
      </c>
      <c r="I213" s="241">
        <f t="shared" si="171"/>
        <v>255.10951057200896</v>
      </c>
      <c r="J213" s="266">
        <v>815.47695653145604</v>
      </c>
      <c r="K213" s="266">
        <v>193.95447053184387</v>
      </c>
      <c r="L213" s="266">
        <v>153.19460404899712</v>
      </c>
      <c r="M213" s="140" t="b">
        <v>1</v>
      </c>
      <c r="N213" s="140">
        <v>1</v>
      </c>
      <c r="O213" s="302" t="s">
        <v>581</v>
      </c>
      <c r="P213" s="140" t="s">
        <v>166</v>
      </c>
      <c r="Q213" s="140" t="s">
        <v>166</v>
      </c>
      <c r="R213" s="140" t="s">
        <v>166</v>
      </c>
      <c r="S213" s="140" t="b">
        <v>1</v>
      </c>
      <c r="T213" s="140" t="b">
        <v>0</v>
      </c>
      <c r="U213" s="140" t="s">
        <v>166</v>
      </c>
      <c r="V213" s="140" t="b">
        <v>0</v>
      </c>
      <c r="W213" s="140" t="b">
        <v>0</v>
      </c>
      <c r="X213" s="140" t="s">
        <v>580</v>
      </c>
      <c r="Y213" s="202" t="s">
        <v>186</v>
      </c>
      <c r="Z213" s="140" t="s">
        <v>184</v>
      </c>
      <c r="AA213" s="267">
        <v>1210</v>
      </c>
      <c r="AB213" s="207" t="s">
        <v>233</v>
      </c>
      <c r="AC213" s="207">
        <v>19</v>
      </c>
      <c r="AD213" s="207">
        <v>6</v>
      </c>
      <c r="AE213" s="207">
        <v>92</v>
      </c>
      <c r="AF213" s="207">
        <v>93</v>
      </c>
      <c r="AG213" s="140">
        <v>179.12</v>
      </c>
      <c r="AH213" s="272">
        <v>200.76</v>
      </c>
      <c r="AI213" s="140" t="s">
        <v>508</v>
      </c>
      <c r="AJ213" s="140" t="s">
        <v>509</v>
      </c>
      <c r="AK213" s="210">
        <v>32.223500000000001</v>
      </c>
      <c r="AL213" s="210">
        <v>158.259333</v>
      </c>
      <c r="AM213" s="140">
        <v>28</v>
      </c>
      <c r="AN213" s="140" t="s">
        <v>166</v>
      </c>
      <c r="AO213" s="140">
        <v>-2573</v>
      </c>
      <c r="AP213" s="140">
        <v>-2100</v>
      </c>
      <c r="AQ213" s="140" t="s">
        <v>510</v>
      </c>
      <c r="AR213" s="140" t="s">
        <v>511</v>
      </c>
      <c r="AS213" s="240">
        <v>54.051532548453437</v>
      </c>
      <c r="AT213" s="140" t="s">
        <v>166</v>
      </c>
      <c r="AU213" s="140" t="s">
        <v>166</v>
      </c>
      <c r="AV213" s="140" t="s">
        <v>166</v>
      </c>
      <c r="AW213" s="140" t="s">
        <v>255</v>
      </c>
      <c r="AX213" s="140" t="s">
        <v>512</v>
      </c>
      <c r="AY213" s="140" t="s">
        <v>190</v>
      </c>
      <c r="AZ213" s="140" t="s">
        <v>166</v>
      </c>
      <c r="BA213" s="140" t="s">
        <v>166</v>
      </c>
      <c r="BB213" s="140" t="s">
        <v>166</v>
      </c>
      <c r="BC213" s="140" t="s">
        <v>166</v>
      </c>
      <c r="BD213" s="140" t="s">
        <v>166</v>
      </c>
      <c r="BE213" s="140" t="s">
        <v>166</v>
      </c>
      <c r="BF213" s="140" t="s">
        <v>166</v>
      </c>
      <c r="BG213" s="269" t="s">
        <v>513</v>
      </c>
      <c r="BH213" s="207" t="s">
        <v>236</v>
      </c>
      <c r="BI213" s="140" t="s">
        <v>514</v>
      </c>
      <c r="BJ213" s="140">
        <v>2.1860000000000355</v>
      </c>
      <c r="BK213" s="140" t="s">
        <v>515</v>
      </c>
      <c r="BL213" s="140" t="s">
        <v>516</v>
      </c>
      <c r="BM213" s="140" t="s">
        <v>517</v>
      </c>
      <c r="BN213" s="140" t="s">
        <v>466</v>
      </c>
      <c r="BO213" s="207">
        <v>9</v>
      </c>
      <c r="BP213" s="273">
        <v>0.3</v>
      </c>
      <c r="BQ213" s="207">
        <v>15.09</v>
      </c>
      <c r="BR213" s="140" t="s">
        <v>518</v>
      </c>
      <c r="BS213" s="209">
        <v>0.3</v>
      </c>
      <c r="BT213" s="140">
        <v>1</v>
      </c>
      <c r="BU213" s="140" t="s">
        <v>197</v>
      </c>
      <c r="BV213" s="140" t="s">
        <v>166</v>
      </c>
      <c r="BW213" s="140">
        <v>0</v>
      </c>
      <c r="BX213" s="140" t="s">
        <v>197</v>
      </c>
      <c r="BY213" s="140" t="s">
        <v>166</v>
      </c>
      <c r="BZ213" s="140" t="s">
        <v>197</v>
      </c>
      <c r="CA213" s="140" t="s">
        <v>166</v>
      </c>
      <c r="CB213" s="210">
        <f t="shared" si="165"/>
        <v>15.09</v>
      </c>
      <c r="CC213" s="140" t="s">
        <v>196</v>
      </c>
      <c r="CD213" s="140">
        <f t="shared" si="166"/>
        <v>0.3</v>
      </c>
      <c r="CE213" s="140" t="s">
        <v>199</v>
      </c>
      <c r="CF213" s="140" t="s">
        <v>166</v>
      </c>
      <c r="CG213" s="140" t="s">
        <v>474</v>
      </c>
      <c r="CH213" s="140" t="s">
        <v>166</v>
      </c>
      <c r="CI213" s="140" t="s">
        <v>166</v>
      </c>
      <c r="CJ213" s="247">
        <v>33.528731277117359</v>
      </c>
      <c r="CK213" s="140" t="s">
        <v>201</v>
      </c>
      <c r="CL213" s="140">
        <v>2</v>
      </c>
      <c r="CM213" s="140">
        <v>2</v>
      </c>
      <c r="CN213" s="140" t="s">
        <v>166</v>
      </c>
      <c r="CO213" s="209">
        <v>3.6</v>
      </c>
      <c r="CP213" s="140" t="s">
        <v>519</v>
      </c>
      <c r="CQ213" s="270">
        <v>0.108</v>
      </c>
      <c r="CR213" s="270">
        <v>0.108</v>
      </c>
      <c r="CS213" s="249" t="s">
        <v>202</v>
      </c>
      <c r="CT213" s="140" t="s">
        <v>203</v>
      </c>
      <c r="CU213" s="140">
        <v>2.2000000000000002</v>
      </c>
      <c r="CV213" s="140" t="s">
        <v>204</v>
      </c>
      <c r="CW213" s="140" t="s">
        <v>166</v>
      </c>
      <c r="CX213" s="140" t="s">
        <v>166</v>
      </c>
      <c r="CY213" s="140" t="s">
        <v>166</v>
      </c>
      <c r="CZ213" s="140" t="s">
        <v>166</v>
      </c>
      <c r="DA213" s="271" t="s">
        <v>166</v>
      </c>
      <c r="DB213" s="140" t="s">
        <v>166</v>
      </c>
      <c r="DC213" s="140" t="s">
        <v>166</v>
      </c>
      <c r="DD213" s="140" t="s">
        <v>166</v>
      </c>
      <c r="DE213" s="140" t="s">
        <v>166</v>
      </c>
      <c r="DF213" s="140" t="s">
        <v>520</v>
      </c>
      <c r="DG213" s="140">
        <v>35</v>
      </c>
      <c r="DH213" s="140" t="s">
        <v>201</v>
      </c>
      <c r="DI213" s="140">
        <v>1</v>
      </c>
      <c r="DJ213" s="140" t="s">
        <v>206</v>
      </c>
      <c r="DK213" s="140">
        <v>17</v>
      </c>
      <c r="DL213" s="140" t="s">
        <v>166</v>
      </c>
      <c r="DM213" s="140" t="s">
        <v>166</v>
      </c>
      <c r="DN213" s="140" t="s">
        <v>207</v>
      </c>
      <c r="DO213" s="140">
        <v>38</v>
      </c>
      <c r="DP213" s="140" t="s">
        <v>208</v>
      </c>
      <c r="DQ213" s="140">
        <v>3</v>
      </c>
      <c r="DR213" s="140" t="s">
        <v>209</v>
      </c>
      <c r="DS213" s="140" t="s">
        <v>166</v>
      </c>
      <c r="DT213" s="140" t="s">
        <v>166</v>
      </c>
      <c r="DU213" s="140" t="s">
        <v>166</v>
      </c>
      <c r="DV213" s="140" t="s">
        <v>166</v>
      </c>
      <c r="DW213" s="140">
        <v>432.6</v>
      </c>
      <c r="DX213" s="140" t="s">
        <v>166</v>
      </c>
      <c r="DY213" s="140" t="s">
        <v>166</v>
      </c>
      <c r="DZ213" s="140" t="s">
        <v>210</v>
      </c>
      <c r="EA213" s="140" t="s">
        <v>211</v>
      </c>
      <c r="EB213" s="140" t="s">
        <v>212</v>
      </c>
      <c r="EC213" s="140" t="s">
        <v>166</v>
      </c>
      <c r="ED213" s="140" t="s">
        <v>213</v>
      </c>
      <c r="EE213" s="213" t="s">
        <v>214</v>
      </c>
      <c r="EF213" s="213" t="s">
        <v>214</v>
      </c>
      <c r="EG213" s="140">
        <v>1.0271999999999999</v>
      </c>
      <c r="EH213" s="140" t="s">
        <v>215</v>
      </c>
      <c r="EI213" s="140" t="s">
        <v>215</v>
      </c>
      <c r="EJ213" s="140" t="s">
        <v>216</v>
      </c>
      <c r="EK213" s="140" t="s">
        <v>215</v>
      </c>
      <c r="EL213" s="140" t="s">
        <v>215</v>
      </c>
      <c r="EM213" s="140" t="s">
        <v>217</v>
      </c>
      <c r="EN213" s="214" t="s">
        <v>214</v>
      </c>
      <c r="EO213" s="214" t="s">
        <v>214</v>
      </c>
      <c r="EP213" s="214" t="s">
        <v>214</v>
      </c>
      <c r="EQ213" s="214" t="s">
        <v>214</v>
      </c>
      <c r="ET213" s="140" t="s">
        <v>218</v>
      </c>
      <c r="EU213" s="140" t="s">
        <v>219</v>
      </c>
      <c r="EV213" s="140" t="s">
        <v>213</v>
      </c>
      <c r="EW213" s="140" t="s">
        <v>166</v>
      </c>
      <c r="EX213" s="140" t="s">
        <v>166</v>
      </c>
      <c r="EY213" s="140" t="s">
        <v>166</v>
      </c>
      <c r="EZ213" s="140" t="s">
        <v>166</v>
      </c>
      <c r="FA213" s="205">
        <v>6</v>
      </c>
      <c r="FB213" s="140" t="s">
        <v>220</v>
      </c>
      <c r="FC213" s="205">
        <v>1</v>
      </c>
      <c r="FD213" s="205">
        <v>1</v>
      </c>
      <c r="FE213" s="215">
        <v>7.7509963229521297</v>
      </c>
      <c r="FF213" s="140" t="s">
        <v>221</v>
      </c>
      <c r="FG213" s="215">
        <v>3.7212405786590352E-2</v>
      </c>
      <c r="FH213" s="215">
        <v>3.8795784651709297E-2</v>
      </c>
      <c r="FI213" s="266">
        <v>815.47695653145604</v>
      </c>
      <c r="FK213" s="140" t="s">
        <v>166</v>
      </c>
      <c r="FL213" s="217">
        <f t="shared" si="157"/>
        <v>815.47695653145604</v>
      </c>
      <c r="FM213" s="266">
        <v>193.95447053184387</v>
      </c>
      <c r="FN213" s="266">
        <v>153.19460404899712</v>
      </c>
      <c r="FO213" s="140" t="s">
        <v>222</v>
      </c>
      <c r="FP213" s="140" t="s">
        <v>223</v>
      </c>
      <c r="FQ213" s="217" t="s">
        <v>166</v>
      </c>
      <c r="FR213" s="217" t="s">
        <v>166</v>
      </c>
      <c r="FS213" s="217" t="s">
        <v>166</v>
      </c>
      <c r="FT213" s="217" t="s">
        <v>166</v>
      </c>
      <c r="FU213" s="217" t="s">
        <v>166</v>
      </c>
      <c r="FV213" s="217" t="s">
        <v>166</v>
      </c>
      <c r="FW213" s="217" t="s">
        <v>166</v>
      </c>
      <c r="FX213" s="217" t="s">
        <v>166</v>
      </c>
      <c r="FY213" s="217" t="s">
        <v>166</v>
      </c>
      <c r="FZ213" s="217" t="s">
        <v>166</v>
      </c>
      <c r="GA213" s="217" t="s">
        <v>166</v>
      </c>
      <c r="GB213" s="217" t="s">
        <v>166</v>
      </c>
      <c r="GC213" s="202" t="s">
        <v>521</v>
      </c>
    </row>
    <row r="214" spans="1:185" s="140" customFormat="1" ht="17">
      <c r="A214" s="140" t="s">
        <v>162</v>
      </c>
      <c r="B214" s="143" t="s">
        <v>163</v>
      </c>
      <c r="C214" s="140" t="s">
        <v>164</v>
      </c>
      <c r="D214" s="140" t="s">
        <v>165</v>
      </c>
      <c r="E214" s="140">
        <v>2020</v>
      </c>
      <c r="F214" s="140" t="s">
        <v>184</v>
      </c>
      <c r="G214" s="240">
        <v>54052.573180244042</v>
      </c>
      <c r="H214" s="241">
        <f t="shared" ref="H214" si="220">0.0083*G214^(0.9482)</f>
        <v>255.11416767090958</v>
      </c>
      <c r="I214" s="241">
        <f t="shared" si="171"/>
        <v>255.11416767090958</v>
      </c>
      <c r="J214" s="266">
        <v>645.17397461324003</v>
      </c>
      <c r="K214" s="266">
        <v>127.47113504057097</v>
      </c>
      <c r="L214" s="266">
        <v>102.36457628474602</v>
      </c>
      <c r="M214" s="140" t="b">
        <v>1</v>
      </c>
      <c r="N214" s="140">
        <v>1</v>
      </c>
      <c r="O214" s="302" t="s">
        <v>581</v>
      </c>
      <c r="P214" s="140" t="s">
        <v>166</v>
      </c>
      <c r="Q214" s="140" t="s">
        <v>166</v>
      </c>
      <c r="R214" s="140" t="s">
        <v>166</v>
      </c>
      <c r="S214" s="140" t="b">
        <v>1</v>
      </c>
      <c r="T214" s="140" t="b">
        <v>0</v>
      </c>
      <c r="U214" s="140" t="s">
        <v>166</v>
      </c>
      <c r="V214" s="140" t="b">
        <v>0</v>
      </c>
      <c r="W214" s="140" t="b">
        <v>0</v>
      </c>
      <c r="X214" s="140" t="s">
        <v>580</v>
      </c>
      <c r="Y214" s="202" t="s">
        <v>186</v>
      </c>
      <c r="Z214" s="140" t="s">
        <v>184</v>
      </c>
      <c r="AA214" s="267">
        <v>1210</v>
      </c>
      <c r="AB214" s="207" t="s">
        <v>233</v>
      </c>
      <c r="AC214" s="207">
        <v>19</v>
      </c>
      <c r="AD214" s="207">
        <v>6</v>
      </c>
      <c r="AE214" s="207">
        <v>96</v>
      </c>
      <c r="AF214" s="207">
        <v>97</v>
      </c>
      <c r="AG214" s="140">
        <v>179.16000000000003</v>
      </c>
      <c r="AH214" s="272">
        <v>200.8</v>
      </c>
      <c r="AI214" s="140" t="s">
        <v>508</v>
      </c>
      <c r="AJ214" s="140" t="s">
        <v>509</v>
      </c>
      <c r="AK214" s="210">
        <v>32.223500000000001</v>
      </c>
      <c r="AL214" s="210">
        <v>158.259333</v>
      </c>
      <c r="AM214" s="140">
        <v>28</v>
      </c>
      <c r="AN214" s="140" t="s">
        <v>166</v>
      </c>
      <c r="AO214" s="140">
        <v>-2573</v>
      </c>
      <c r="AP214" s="140">
        <v>-2100</v>
      </c>
      <c r="AQ214" s="140" t="s">
        <v>510</v>
      </c>
      <c r="AR214" s="140" t="s">
        <v>511</v>
      </c>
      <c r="AS214" s="240">
        <v>54.052573180244039</v>
      </c>
      <c r="AT214" s="140" t="s">
        <v>166</v>
      </c>
      <c r="AU214" s="140" t="s">
        <v>166</v>
      </c>
      <c r="AV214" s="140" t="s">
        <v>166</v>
      </c>
      <c r="AW214" s="140" t="s">
        <v>255</v>
      </c>
      <c r="AX214" s="140" t="s">
        <v>512</v>
      </c>
      <c r="AY214" s="140" t="s">
        <v>190</v>
      </c>
      <c r="AZ214" s="140" t="s">
        <v>166</v>
      </c>
      <c r="BA214" s="140" t="s">
        <v>166</v>
      </c>
      <c r="BB214" s="140" t="s">
        <v>166</v>
      </c>
      <c r="BC214" s="140" t="s">
        <v>166</v>
      </c>
      <c r="BD214" s="140" t="s">
        <v>166</v>
      </c>
      <c r="BE214" s="140" t="s">
        <v>166</v>
      </c>
      <c r="BF214" s="140" t="s">
        <v>166</v>
      </c>
      <c r="BG214" s="269" t="s">
        <v>513</v>
      </c>
      <c r="BH214" s="207" t="s">
        <v>236</v>
      </c>
      <c r="BI214" s="140" t="s">
        <v>514</v>
      </c>
      <c r="BJ214" s="140">
        <v>1.4740000000000464</v>
      </c>
      <c r="BK214" s="140" t="s">
        <v>515</v>
      </c>
      <c r="BL214" s="140" t="s">
        <v>516</v>
      </c>
      <c r="BM214" s="140" t="s">
        <v>517</v>
      </c>
      <c r="BN214" s="140" t="s">
        <v>466</v>
      </c>
      <c r="BO214" s="207">
        <v>4</v>
      </c>
      <c r="BP214" s="273">
        <v>0.2</v>
      </c>
      <c r="BQ214" s="207">
        <v>15.59</v>
      </c>
      <c r="BR214" s="140" t="s">
        <v>518</v>
      </c>
      <c r="BS214" s="207">
        <v>0.24</v>
      </c>
      <c r="BT214" s="140">
        <v>1</v>
      </c>
      <c r="BU214" s="140" t="s">
        <v>197</v>
      </c>
      <c r="BV214" s="140" t="s">
        <v>166</v>
      </c>
      <c r="BW214" s="140">
        <v>0</v>
      </c>
      <c r="BX214" s="140" t="s">
        <v>197</v>
      </c>
      <c r="BY214" s="140" t="s">
        <v>166</v>
      </c>
      <c r="BZ214" s="140" t="s">
        <v>197</v>
      </c>
      <c r="CA214" s="140" t="s">
        <v>166</v>
      </c>
      <c r="CB214" s="210">
        <f t="shared" si="165"/>
        <v>15.59</v>
      </c>
      <c r="CC214" s="140" t="s">
        <v>196</v>
      </c>
      <c r="CD214" s="140">
        <f t="shared" si="166"/>
        <v>0.24</v>
      </c>
      <c r="CE214" s="140" t="s">
        <v>199</v>
      </c>
      <c r="CF214" s="140" t="s">
        <v>166</v>
      </c>
      <c r="CG214" s="140" t="s">
        <v>474</v>
      </c>
      <c r="CH214" s="140" t="s">
        <v>166</v>
      </c>
      <c r="CI214" s="140" t="s">
        <v>166</v>
      </c>
      <c r="CJ214" s="247">
        <v>34.994268296051615</v>
      </c>
      <c r="CK214" s="140" t="s">
        <v>201</v>
      </c>
      <c r="CL214" s="140">
        <v>2</v>
      </c>
      <c r="CM214" s="140">
        <v>2</v>
      </c>
      <c r="CN214" s="140" t="s">
        <v>166</v>
      </c>
      <c r="CO214" s="209">
        <v>3.91</v>
      </c>
      <c r="CP214" s="140" t="s">
        <v>519</v>
      </c>
      <c r="CQ214" s="270">
        <v>0.1173</v>
      </c>
      <c r="CR214" s="270">
        <v>0.1173</v>
      </c>
      <c r="CS214" s="249" t="s">
        <v>202</v>
      </c>
      <c r="CT214" s="140" t="s">
        <v>203</v>
      </c>
      <c r="CU214" s="140">
        <v>2.2000000000000002</v>
      </c>
      <c r="CV214" s="140" t="s">
        <v>204</v>
      </c>
      <c r="CW214" s="140" t="s">
        <v>166</v>
      </c>
      <c r="CX214" s="140" t="s">
        <v>166</v>
      </c>
      <c r="CY214" s="140" t="s">
        <v>166</v>
      </c>
      <c r="CZ214" s="140" t="s">
        <v>166</v>
      </c>
      <c r="DA214" s="271" t="s">
        <v>166</v>
      </c>
      <c r="DB214" s="140" t="s">
        <v>166</v>
      </c>
      <c r="DC214" s="140" t="s">
        <v>166</v>
      </c>
      <c r="DD214" s="140" t="s">
        <v>166</v>
      </c>
      <c r="DE214" s="140" t="s">
        <v>166</v>
      </c>
      <c r="DF214" s="140" t="s">
        <v>520</v>
      </c>
      <c r="DG214" s="140">
        <v>35</v>
      </c>
      <c r="DH214" s="140" t="s">
        <v>201</v>
      </c>
      <c r="DI214" s="140">
        <v>1</v>
      </c>
      <c r="DJ214" s="140" t="s">
        <v>206</v>
      </c>
      <c r="DK214" s="140">
        <v>17</v>
      </c>
      <c r="DL214" s="140" t="s">
        <v>166</v>
      </c>
      <c r="DM214" s="140" t="s">
        <v>166</v>
      </c>
      <c r="DN214" s="140" t="s">
        <v>207</v>
      </c>
      <c r="DO214" s="140">
        <v>38</v>
      </c>
      <c r="DP214" s="140" t="s">
        <v>208</v>
      </c>
      <c r="DQ214" s="140">
        <v>3</v>
      </c>
      <c r="DR214" s="140" t="s">
        <v>209</v>
      </c>
      <c r="DS214" s="140" t="s">
        <v>166</v>
      </c>
      <c r="DT214" s="140" t="s">
        <v>166</v>
      </c>
      <c r="DU214" s="140" t="s">
        <v>166</v>
      </c>
      <c r="DV214" s="140" t="s">
        <v>166</v>
      </c>
      <c r="DW214" s="140">
        <v>432.6</v>
      </c>
      <c r="DX214" s="140" t="s">
        <v>166</v>
      </c>
      <c r="DY214" s="140" t="s">
        <v>166</v>
      </c>
      <c r="DZ214" s="140" t="s">
        <v>210</v>
      </c>
      <c r="EA214" s="140" t="s">
        <v>211</v>
      </c>
      <c r="EB214" s="140" t="s">
        <v>212</v>
      </c>
      <c r="EC214" s="140" t="s">
        <v>166</v>
      </c>
      <c r="ED214" s="140" t="s">
        <v>213</v>
      </c>
      <c r="EE214" s="213" t="s">
        <v>214</v>
      </c>
      <c r="EF214" s="213" t="s">
        <v>214</v>
      </c>
      <c r="EG214" s="140">
        <v>1.0271999999999999</v>
      </c>
      <c r="EH214" s="140" t="s">
        <v>215</v>
      </c>
      <c r="EI214" s="140" t="s">
        <v>215</v>
      </c>
      <c r="EJ214" s="140" t="s">
        <v>216</v>
      </c>
      <c r="EK214" s="140" t="s">
        <v>215</v>
      </c>
      <c r="EL214" s="140" t="s">
        <v>215</v>
      </c>
      <c r="EM214" s="140" t="s">
        <v>217</v>
      </c>
      <c r="EN214" s="214" t="s">
        <v>214</v>
      </c>
      <c r="EO214" s="214" t="s">
        <v>214</v>
      </c>
      <c r="EP214" s="214" t="s">
        <v>214</v>
      </c>
      <c r="EQ214" s="214" t="s">
        <v>214</v>
      </c>
      <c r="ET214" s="140" t="s">
        <v>218</v>
      </c>
      <c r="EU214" s="140" t="s">
        <v>219</v>
      </c>
      <c r="EV214" s="140" t="s">
        <v>213</v>
      </c>
      <c r="EW214" s="140" t="s">
        <v>166</v>
      </c>
      <c r="EX214" s="140" t="s">
        <v>166</v>
      </c>
      <c r="EY214" s="140" t="s">
        <v>166</v>
      </c>
      <c r="EZ214" s="140" t="s">
        <v>166</v>
      </c>
      <c r="FA214" s="205">
        <v>6</v>
      </c>
      <c r="FB214" s="140" t="s">
        <v>220</v>
      </c>
      <c r="FC214" s="205">
        <v>1</v>
      </c>
      <c r="FD214" s="205">
        <v>1</v>
      </c>
      <c r="FE214" s="215">
        <v>7.7909118563190596</v>
      </c>
      <c r="FF214" s="140" t="s">
        <v>221</v>
      </c>
      <c r="FG214" s="215">
        <v>3.392877176059006E-2</v>
      </c>
      <c r="FH214" s="215">
        <v>3.0588714117479654E-2</v>
      </c>
      <c r="FI214" s="266">
        <v>645.17397461324003</v>
      </c>
      <c r="FK214" s="140" t="s">
        <v>166</v>
      </c>
      <c r="FL214" s="217">
        <f t="shared" si="157"/>
        <v>645.17397461324003</v>
      </c>
      <c r="FM214" s="266">
        <v>127.47113504057097</v>
      </c>
      <c r="FN214" s="266">
        <v>102.36457628474602</v>
      </c>
      <c r="FO214" s="140" t="s">
        <v>222</v>
      </c>
      <c r="FP214" s="140" t="s">
        <v>223</v>
      </c>
      <c r="FQ214" s="217" t="s">
        <v>166</v>
      </c>
      <c r="FR214" s="217" t="s">
        <v>166</v>
      </c>
      <c r="FS214" s="217" t="s">
        <v>166</v>
      </c>
      <c r="FT214" s="217" t="s">
        <v>166</v>
      </c>
      <c r="FU214" s="217" t="s">
        <v>166</v>
      </c>
      <c r="FV214" s="217" t="s">
        <v>166</v>
      </c>
      <c r="FW214" s="217" t="s">
        <v>166</v>
      </c>
      <c r="FX214" s="217" t="s">
        <v>166</v>
      </c>
      <c r="FY214" s="217" t="s">
        <v>166</v>
      </c>
      <c r="FZ214" s="217" t="s">
        <v>166</v>
      </c>
      <c r="GA214" s="217" t="s">
        <v>166</v>
      </c>
      <c r="GB214" s="217" t="s">
        <v>166</v>
      </c>
      <c r="GC214" s="202" t="s">
        <v>521</v>
      </c>
    </row>
    <row r="215" spans="1:185" s="140" customFormat="1" ht="17">
      <c r="A215" s="140" t="s">
        <v>162</v>
      </c>
      <c r="B215" s="143" t="s">
        <v>163</v>
      </c>
      <c r="C215" s="140" t="s">
        <v>164</v>
      </c>
      <c r="D215" s="140" t="s">
        <v>165</v>
      </c>
      <c r="E215" s="140">
        <v>2020</v>
      </c>
      <c r="F215" s="140" t="s">
        <v>184</v>
      </c>
      <c r="G215" s="240">
        <v>54054.134127929938</v>
      </c>
      <c r="H215" s="241">
        <f t="shared" ref="H215" si="221">0.0083*G215^(0.9482)</f>
        <v>255.12115331055244</v>
      </c>
      <c r="I215" s="241">
        <f t="shared" si="171"/>
        <v>255.12115331055244</v>
      </c>
      <c r="J215" s="266">
        <v>564.28263160798997</v>
      </c>
      <c r="K215" s="266">
        <v>118.08598126312404</v>
      </c>
      <c r="L215" s="266">
        <v>97.879380029341974</v>
      </c>
      <c r="M215" s="140" t="b">
        <v>1</v>
      </c>
      <c r="N215" s="140">
        <v>1</v>
      </c>
      <c r="O215" s="302" t="s">
        <v>581</v>
      </c>
      <c r="P215" s="140" t="s">
        <v>166</v>
      </c>
      <c r="Q215" s="140" t="s">
        <v>166</v>
      </c>
      <c r="R215" s="140" t="s">
        <v>166</v>
      </c>
      <c r="S215" s="140" t="b">
        <v>1</v>
      </c>
      <c r="T215" s="140" t="b">
        <v>0</v>
      </c>
      <c r="U215" s="140" t="s">
        <v>166</v>
      </c>
      <c r="V215" s="140" t="b">
        <v>0</v>
      </c>
      <c r="W215" s="140" t="b">
        <v>0</v>
      </c>
      <c r="X215" s="140" t="s">
        <v>580</v>
      </c>
      <c r="Y215" s="202" t="s">
        <v>186</v>
      </c>
      <c r="Z215" s="140" t="s">
        <v>184</v>
      </c>
      <c r="AA215" s="267">
        <v>1210</v>
      </c>
      <c r="AB215" s="207" t="s">
        <v>233</v>
      </c>
      <c r="AC215" s="207">
        <v>19</v>
      </c>
      <c r="AD215" s="207">
        <v>6</v>
      </c>
      <c r="AE215" s="207">
        <v>102</v>
      </c>
      <c r="AF215" s="207">
        <v>103</v>
      </c>
      <c r="AG215" s="140">
        <v>179.22000000000003</v>
      </c>
      <c r="AH215" s="272">
        <v>200.86</v>
      </c>
      <c r="AI215" s="140" t="s">
        <v>508</v>
      </c>
      <c r="AJ215" s="140" t="s">
        <v>509</v>
      </c>
      <c r="AK215" s="210">
        <v>32.223500000000001</v>
      </c>
      <c r="AL215" s="210">
        <v>158.259333</v>
      </c>
      <c r="AM215" s="140">
        <v>28</v>
      </c>
      <c r="AN215" s="140" t="s">
        <v>166</v>
      </c>
      <c r="AO215" s="140">
        <v>-2573</v>
      </c>
      <c r="AP215" s="140">
        <v>-2100</v>
      </c>
      <c r="AQ215" s="140" t="s">
        <v>510</v>
      </c>
      <c r="AR215" s="140" t="s">
        <v>511</v>
      </c>
      <c r="AS215" s="240">
        <v>54.054134127929935</v>
      </c>
      <c r="AT215" s="140" t="s">
        <v>166</v>
      </c>
      <c r="AU215" s="140" t="s">
        <v>166</v>
      </c>
      <c r="AV215" s="140" t="s">
        <v>166</v>
      </c>
      <c r="AW215" s="140" t="s">
        <v>255</v>
      </c>
      <c r="AX215" s="140" t="s">
        <v>512</v>
      </c>
      <c r="AY215" s="140" t="s">
        <v>190</v>
      </c>
      <c r="AZ215" s="140" t="s">
        <v>166</v>
      </c>
      <c r="BA215" s="140" t="s">
        <v>166</v>
      </c>
      <c r="BB215" s="140" t="s">
        <v>166</v>
      </c>
      <c r="BC215" s="140" t="s">
        <v>166</v>
      </c>
      <c r="BD215" s="140" t="s">
        <v>166</v>
      </c>
      <c r="BE215" s="140" t="s">
        <v>166</v>
      </c>
      <c r="BF215" s="140" t="s">
        <v>166</v>
      </c>
      <c r="BG215" s="269" t="s">
        <v>513</v>
      </c>
      <c r="BH215" s="207" t="s">
        <v>236</v>
      </c>
      <c r="BI215" s="140" t="s">
        <v>514</v>
      </c>
      <c r="BJ215" s="140">
        <v>2.8030000000000541</v>
      </c>
      <c r="BK215" s="140" t="s">
        <v>515</v>
      </c>
      <c r="BL215" s="140" t="s">
        <v>516</v>
      </c>
      <c r="BM215" s="140" t="s">
        <v>517</v>
      </c>
      <c r="BN215" s="140" t="s">
        <v>466</v>
      </c>
      <c r="BO215" s="207">
        <v>8</v>
      </c>
      <c r="BP215" s="273">
        <v>0.3</v>
      </c>
      <c r="BQ215" s="207">
        <v>15.77</v>
      </c>
      <c r="BR215" s="140" t="s">
        <v>518</v>
      </c>
      <c r="BS215" s="209">
        <v>0.3</v>
      </c>
      <c r="BT215" s="140">
        <v>1</v>
      </c>
      <c r="BU215" s="140" t="s">
        <v>197</v>
      </c>
      <c r="BV215" s="140" t="s">
        <v>166</v>
      </c>
      <c r="BW215" s="140">
        <v>0</v>
      </c>
      <c r="BX215" s="140" t="s">
        <v>197</v>
      </c>
      <c r="BY215" s="140" t="s">
        <v>166</v>
      </c>
      <c r="BZ215" s="140" t="s">
        <v>197</v>
      </c>
      <c r="CA215" s="140" t="s">
        <v>166</v>
      </c>
      <c r="CB215" s="210">
        <f t="shared" si="165"/>
        <v>15.77</v>
      </c>
      <c r="CC215" s="140" t="s">
        <v>196</v>
      </c>
      <c r="CD215" s="140">
        <f t="shared" si="166"/>
        <v>0.3</v>
      </c>
      <c r="CE215" s="140" t="s">
        <v>199</v>
      </c>
      <c r="CF215" s="140" t="s">
        <v>166</v>
      </c>
      <c r="CG215" s="140" t="s">
        <v>474</v>
      </c>
      <c r="CH215" s="140" t="s">
        <v>166</v>
      </c>
      <c r="CI215" s="140" t="s">
        <v>166</v>
      </c>
      <c r="CJ215" s="247">
        <v>33.280589875251991</v>
      </c>
      <c r="CK215" s="140" t="s">
        <v>201</v>
      </c>
      <c r="CL215" s="140">
        <v>2</v>
      </c>
      <c r="CM215" s="140">
        <v>2</v>
      </c>
      <c r="CN215" s="140" t="s">
        <v>166</v>
      </c>
      <c r="CO215" s="209">
        <v>3.55</v>
      </c>
      <c r="CP215" s="140" t="s">
        <v>519</v>
      </c>
      <c r="CQ215" s="270">
        <v>0.1065</v>
      </c>
      <c r="CR215" s="270">
        <v>0.1065</v>
      </c>
      <c r="CS215" s="249" t="s">
        <v>202</v>
      </c>
      <c r="CT215" s="140" t="s">
        <v>203</v>
      </c>
      <c r="CU215" s="140">
        <v>2.2000000000000002</v>
      </c>
      <c r="CV215" s="140" t="s">
        <v>204</v>
      </c>
      <c r="CW215" s="140" t="s">
        <v>166</v>
      </c>
      <c r="CX215" s="140" t="s">
        <v>166</v>
      </c>
      <c r="CY215" s="140" t="s">
        <v>166</v>
      </c>
      <c r="CZ215" s="140" t="s">
        <v>166</v>
      </c>
      <c r="DA215" s="271" t="s">
        <v>166</v>
      </c>
      <c r="DB215" s="140" t="s">
        <v>166</v>
      </c>
      <c r="DC215" s="140" t="s">
        <v>166</v>
      </c>
      <c r="DD215" s="140" t="s">
        <v>166</v>
      </c>
      <c r="DE215" s="140" t="s">
        <v>166</v>
      </c>
      <c r="DF215" s="140" t="s">
        <v>520</v>
      </c>
      <c r="DG215" s="140">
        <v>35</v>
      </c>
      <c r="DH215" s="140" t="s">
        <v>201</v>
      </c>
      <c r="DI215" s="140">
        <v>1</v>
      </c>
      <c r="DJ215" s="140" t="s">
        <v>206</v>
      </c>
      <c r="DK215" s="140">
        <v>17</v>
      </c>
      <c r="DL215" s="140" t="s">
        <v>166</v>
      </c>
      <c r="DM215" s="140" t="s">
        <v>166</v>
      </c>
      <c r="DN215" s="140" t="s">
        <v>207</v>
      </c>
      <c r="DO215" s="140">
        <v>38</v>
      </c>
      <c r="DP215" s="140" t="s">
        <v>208</v>
      </c>
      <c r="DQ215" s="140">
        <v>3</v>
      </c>
      <c r="DR215" s="140" t="s">
        <v>209</v>
      </c>
      <c r="DS215" s="140" t="s">
        <v>166</v>
      </c>
      <c r="DT215" s="140" t="s">
        <v>166</v>
      </c>
      <c r="DU215" s="140" t="s">
        <v>166</v>
      </c>
      <c r="DV215" s="140" t="s">
        <v>166</v>
      </c>
      <c r="DW215" s="140">
        <v>432.6</v>
      </c>
      <c r="DX215" s="140" t="s">
        <v>166</v>
      </c>
      <c r="DY215" s="140" t="s">
        <v>166</v>
      </c>
      <c r="DZ215" s="140" t="s">
        <v>210</v>
      </c>
      <c r="EA215" s="140" t="s">
        <v>211</v>
      </c>
      <c r="EB215" s="140" t="s">
        <v>212</v>
      </c>
      <c r="EC215" s="140" t="s">
        <v>166</v>
      </c>
      <c r="ED215" s="140" t="s">
        <v>213</v>
      </c>
      <c r="EE215" s="213" t="s">
        <v>214</v>
      </c>
      <c r="EF215" s="213" t="s">
        <v>214</v>
      </c>
      <c r="EG215" s="140">
        <v>1.0271999999999999</v>
      </c>
      <c r="EH215" s="140" t="s">
        <v>215</v>
      </c>
      <c r="EI215" s="140" t="s">
        <v>215</v>
      </c>
      <c r="EJ215" s="140" t="s">
        <v>216</v>
      </c>
      <c r="EK215" s="140" t="s">
        <v>215</v>
      </c>
      <c r="EL215" s="140" t="s">
        <v>215</v>
      </c>
      <c r="EM215" s="140" t="s">
        <v>217</v>
      </c>
      <c r="EN215" s="214" t="s">
        <v>214</v>
      </c>
      <c r="EO215" s="214" t="s">
        <v>214</v>
      </c>
      <c r="EP215" s="214" t="s">
        <v>214</v>
      </c>
      <c r="EQ215" s="214" t="s">
        <v>214</v>
      </c>
      <c r="ET215" s="140" t="s">
        <v>218</v>
      </c>
      <c r="EU215" s="140" t="s">
        <v>219</v>
      </c>
      <c r="EV215" s="140" t="s">
        <v>213</v>
      </c>
      <c r="EW215" s="140" t="s">
        <v>166</v>
      </c>
      <c r="EX215" s="140" t="s">
        <v>166</v>
      </c>
      <c r="EY215" s="140" t="s">
        <v>166</v>
      </c>
      <c r="EZ215" s="140" t="s">
        <v>166</v>
      </c>
      <c r="FA215" s="205">
        <v>6</v>
      </c>
      <c r="FB215" s="140" t="s">
        <v>220</v>
      </c>
      <c r="FC215" s="205">
        <v>1</v>
      </c>
      <c r="FD215" s="205">
        <v>1</v>
      </c>
      <c r="FE215" s="215">
        <v>7.8321046624558699</v>
      </c>
      <c r="FF215" s="140" t="s">
        <v>221</v>
      </c>
      <c r="FG215" s="215">
        <v>3.5732245552090092E-2</v>
      </c>
      <c r="FH215" s="215">
        <v>3.5699680479369889E-2</v>
      </c>
      <c r="FI215" s="266">
        <v>564.28263160798997</v>
      </c>
      <c r="FK215" s="140" t="s">
        <v>166</v>
      </c>
      <c r="FL215" s="217">
        <f t="shared" ref="FL215:FL271" si="222">FI215</f>
        <v>564.28263160798997</v>
      </c>
      <c r="FM215" s="266">
        <v>118.08598126312404</v>
      </c>
      <c r="FN215" s="266">
        <v>97.879380029341974</v>
      </c>
      <c r="FO215" s="140" t="s">
        <v>222</v>
      </c>
      <c r="FP215" s="140" t="s">
        <v>223</v>
      </c>
      <c r="FQ215" s="217" t="s">
        <v>166</v>
      </c>
      <c r="FR215" s="217" t="s">
        <v>166</v>
      </c>
      <c r="FS215" s="217" t="s">
        <v>166</v>
      </c>
      <c r="FT215" s="217" t="s">
        <v>166</v>
      </c>
      <c r="FU215" s="217" t="s">
        <v>166</v>
      </c>
      <c r="FV215" s="217" t="s">
        <v>166</v>
      </c>
      <c r="FW215" s="217" t="s">
        <v>166</v>
      </c>
      <c r="FX215" s="217" t="s">
        <v>166</v>
      </c>
      <c r="FY215" s="217" t="s">
        <v>166</v>
      </c>
      <c r="FZ215" s="217" t="s">
        <v>166</v>
      </c>
      <c r="GA215" s="217" t="s">
        <v>166</v>
      </c>
      <c r="GB215" s="217" t="s">
        <v>166</v>
      </c>
      <c r="GC215" s="202" t="s">
        <v>521</v>
      </c>
    </row>
    <row r="216" spans="1:185" s="140" customFormat="1" ht="17">
      <c r="A216" s="140" t="s">
        <v>162</v>
      </c>
      <c r="B216" s="143" t="s">
        <v>163</v>
      </c>
      <c r="C216" s="140" t="s">
        <v>164</v>
      </c>
      <c r="D216" s="140" t="s">
        <v>165</v>
      </c>
      <c r="E216" s="140">
        <v>2020</v>
      </c>
      <c r="F216" s="140" t="s">
        <v>184</v>
      </c>
      <c r="G216" s="240">
        <v>54060.411187614773</v>
      </c>
      <c r="H216" s="241">
        <f t="shared" ref="H216" si="223">0.0083*G216^(0.9482)</f>
        <v>255.1492446506376</v>
      </c>
      <c r="I216" s="241">
        <f t="shared" si="171"/>
        <v>255.1492446506376</v>
      </c>
      <c r="J216" s="266">
        <v>495.40851576186196</v>
      </c>
      <c r="K216" s="266">
        <v>123.19747628543098</v>
      </c>
      <c r="L216" s="266">
        <v>93.441997541832961</v>
      </c>
      <c r="M216" s="140" t="b">
        <v>1</v>
      </c>
      <c r="N216" s="140">
        <v>1</v>
      </c>
      <c r="O216" s="302" t="s">
        <v>581</v>
      </c>
      <c r="P216" s="140" t="s">
        <v>166</v>
      </c>
      <c r="Q216" s="140" t="s">
        <v>166</v>
      </c>
      <c r="R216" s="140" t="s">
        <v>166</v>
      </c>
      <c r="S216" s="140" t="b">
        <v>1</v>
      </c>
      <c r="T216" s="140" t="b">
        <v>0</v>
      </c>
      <c r="U216" s="140" t="s">
        <v>166</v>
      </c>
      <c r="V216" s="140" t="b">
        <v>0</v>
      </c>
      <c r="W216" s="140" t="b">
        <v>0</v>
      </c>
      <c r="X216" s="140" t="s">
        <v>580</v>
      </c>
      <c r="Y216" s="202" t="s">
        <v>186</v>
      </c>
      <c r="Z216" s="140" t="s">
        <v>184</v>
      </c>
      <c r="AA216" s="267">
        <v>1210</v>
      </c>
      <c r="AB216" s="207" t="s">
        <v>233</v>
      </c>
      <c r="AC216" s="207">
        <v>19</v>
      </c>
      <c r="AD216" s="207">
        <v>6</v>
      </c>
      <c r="AE216" s="207">
        <v>110</v>
      </c>
      <c r="AF216" s="207">
        <v>112</v>
      </c>
      <c r="AG216" s="140">
        <v>179.31</v>
      </c>
      <c r="AH216" s="272">
        <v>200.95</v>
      </c>
      <c r="AI216" s="140" t="s">
        <v>508</v>
      </c>
      <c r="AJ216" s="140" t="s">
        <v>509</v>
      </c>
      <c r="AK216" s="210">
        <v>32.223500000000001</v>
      </c>
      <c r="AL216" s="210">
        <v>158.259333</v>
      </c>
      <c r="AM216" s="140">
        <v>28</v>
      </c>
      <c r="AN216" s="140" t="s">
        <v>166</v>
      </c>
      <c r="AO216" s="140">
        <v>-2573</v>
      </c>
      <c r="AP216" s="140">
        <v>-2100</v>
      </c>
      <c r="AQ216" s="140" t="s">
        <v>510</v>
      </c>
      <c r="AR216" s="140" t="s">
        <v>511</v>
      </c>
      <c r="AS216" s="240">
        <v>54.060411187614775</v>
      </c>
      <c r="AT216" s="140" t="s">
        <v>166</v>
      </c>
      <c r="AU216" s="140" t="s">
        <v>166</v>
      </c>
      <c r="AV216" s="140" t="s">
        <v>166</v>
      </c>
      <c r="AW216" s="140" t="s">
        <v>255</v>
      </c>
      <c r="AX216" s="140" t="s">
        <v>512</v>
      </c>
      <c r="AY216" s="140" t="s">
        <v>190</v>
      </c>
      <c r="AZ216" s="140" t="s">
        <v>166</v>
      </c>
      <c r="BA216" s="140" t="s">
        <v>166</v>
      </c>
      <c r="BB216" s="140" t="s">
        <v>166</v>
      </c>
      <c r="BC216" s="140" t="s">
        <v>166</v>
      </c>
      <c r="BD216" s="140" t="s">
        <v>166</v>
      </c>
      <c r="BE216" s="140" t="s">
        <v>166</v>
      </c>
      <c r="BF216" s="140" t="s">
        <v>166</v>
      </c>
      <c r="BG216" s="269" t="s">
        <v>513</v>
      </c>
      <c r="BH216" s="207" t="s">
        <v>236</v>
      </c>
      <c r="BI216" s="140" t="s">
        <v>514</v>
      </c>
      <c r="BJ216" s="140">
        <v>2.3849999999999909</v>
      </c>
      <c r="BK216" s="140" t="s">
        <v>515</v>
      </c>
      <c r="BL216" s="140" t="s">
        <v>516</v>
      </c>
      <c r="BM216" s="140" t="s">
        <v>517</v>
      </c>
      <c r="BN216" s="140" t="s">
        <v>466</v>
      </c>
      <c r="BO216" s="207">
        <v>8</v>
      </c>
      <c r="BP216" s="140">
        <v>0.38</v>
      </c>
      <c r="BQ216" s="207">
        <v>16.04</v>
      </c>
      <c r="BR216" s="140" t="s">
        <v>518</v>
      </c>
      <c r="BS216" s="207">
        <v>0.38</v>
      </c>
      <c r="BT216" s="140">
        <v>1</v>
      </c>
      <c r="BU216" s="140" t="s">
        <v>197</v>
      </c>
      <c r="BV216" s="140" t="s">
        <v>166</v>
      </c>
      <c r="BW216" s="140">
        <v>0</v>
      </c>
      <c r="BX216" s="140" t="s">
        <v>197</v>
      </c>
      <c r="BY216" s="140" t="s">
        <v>166</v>
      </c>
      <c r="BZ216" s="140" t="s">
        <v>197</v>
      </c>
      <c r="CA216" s="140" t="s">
        <v>166</v>
      </c>
      <c r="CB216" s="210">
        <f t="shared" si="165"/>
        <v>16.04</v>
      </c>
      <c r="CC216" s="140" t="s">
        <v>196</v>
      </c>
      <c r="CD216" s="140">
        <f t="shared" si="166"/>
        <v>0.38</v>
      </c>
      <c r="CE216" s="140" t="s">
        <v>199</v>
      </c>
      <c r="CF216" s="140" t="s">
        <v>166</v>
      </c>
      <c r="CG216" s="140" t="s">
        <v>474</v>
      </c>
      <c r="CH216" s="140" t="s">
        <v>166</v>
      </c>
      <c r="CI216" s="140" t="s">
        <v>166</v>
      </c>
      <c r="CJ216" s="247">
        <v>33.280589875251991</v>
      </c>
      <c r="CK216" s="140" t="s">
        <v>201</v>
      </c>
      <c r="CL216" s="140">
        <v>2</v>
      </c>
      <c r="CM216" s="140">
        <v>2</v>
      </c>
      <c r="CN216" s="140" t="s">
        <v>166</v>
      </c>
      <c r="CO216" s="209">
        <v>3.55</v>
      </c>
      <c r="CP216" s="140" t="s">
        <v>519</v>
      </c>
      <c r="CQ216" s="270">
        <v>0.1065</v>
      </c>
      <c r="CR216" s="270">
        <v>0.1065</v>
      </c>
      <c r="CS216" s="249" t="s">
        <v>202</v>
      </c>
      <c r="CT216" s="140" t="s">
        <v>203</v>
      </c>
      <c r="CU216" s="140">
        <v>2.2000000000000002</v>
      </c>
      <c r="CV216" s="140" t="s">
        <v>204</v>
      </c>
      <c r="CW216" s="140" t="s">
        <v>166</v>
      </c>
      <c r="CX216" s="140" t="s">
        <v>166</v>
      </c>
      <c r="CY216" s="140" t="s">
        <v>166</v>
      </c>
      <c r="CZ216" s="140" t="s">
        <v>166</v>
      </c>
      <c r="DA216" s="271" t="s">
        <v>166</v>
      </c>
      <c r="DB216" s="140" t="s">
        <v>166</v>
      </c>
      <c r="DC216" s="140" t="s">
        <v>166</v>
      </c>
      <c r="DD216" s="140" t="s">
        <v>166</v>
      </c>
      <c r="DE216" s="140" t="s">
        <v>166</v>
      </c>
      <c r="DF216" s="140" t="s">
        <v>520</v>
      </c>
      <c r="DG216" s="140">
        <v>35</v>
      </c>
      <c r="DH216" s="140" t="s">
        <v>201</v>
      </c>
      <c r="DI216" s="140">
        <v>1</v>
      </c>
      <c r="DJ216" s="140" t="s">
        <v>206</v>
      </c>
      <c r="DK216" s="140">
        <v>17</v>
      </c>
      <c r="DL216" s="140" t="s">
        <v>166</v>
      </c>
      <c r="DM216" s="140" t="s">
        <v>166</v>
      </c>
      <c r="DN216" s="140" t="s">
        <v>207</v>
      </c>
      <c r="DO216" s="140">
        <v>38</v>
      </c>
      <c r="DP216" s="140" t="s">
        <v>208</v>
      </c>
      <c r="DQ216" s="140">
        <v>3</v>
      </c>
      <c r="DR216" s="140" t="s">
        <v>209</v>
      </c>
      <c r="DS216" s="140" t="s">
        <v>166</v>
      </c>
      <c r="DT216" s="140" t="s">
        <v>166</v>
      </c>
      <c r="DU216" s="140" t="s">
        <v>166</v>
      </c>
      <c r="DV216" s="140" t="s">
        <v>166</v>
      </c>
      <c r="DW216" s="140">
        <v>432.6</v>
      </c>
      <c r="DX216" s="140" t="s">
        <v>166</v>
      </c>
      <c r="DY216" s="140" t="s">
        <v>166</v>
      </c>
      <c r="DZ216" s="140" t="s">
        <v>210</v>
      </c>
      <c r="EA216" s="140" t="s">
        <v>211</v>
      </c>
      <c r="EB216" s="140" t="s">
        <v>212</v>
      </c>
      <c r="EC216" s="140" t="s">
        <v>166</v>
      </c>
      <c r="ED216" s="140" t="s">
        <v>213</v>
      </c>
      <c r="EE216" s="213" t="s">
        <v>214</v>
      </c>
      <c r="EF216" s="213" t="s">
        <v>214</v>
      </c>
      <c r="EG216" s="140">
        <v>1.0271999999999999</v>
      </c>
      <c r="EH216" s="140" t="s">
        <v>215</v>
      </c>
      <c r="EI216" s="140" t="s">
        <v>215</v>
      </c>
      <c r="EJ216" s="140" t="s">
        <v>216</v>
      </c>
      <c r="EK216" s="140" t="s">
        <v>215</v>
      </c>
      <c r="EL216" s="140" t="s">
        <v>215</v>
      </c>
      <c r="EM216" s="140" t="s">
        <v>217</v>
      </c>
      <c r="EN216" s="214" t="s">
        <v>214</v>
      </c>
      <c r="EO216" s="214" t="s">
        <v>214</v>
      </c>
      <c r="EP216" s="214" t="s">
        <v>214</v>
      </c>
      <c r="EQ216" s="214" t="s">
        <v>214</v>
      </c>
      <c r="ET216" s="140" t="s">
        <v>218</v>
      </c>
      <c r="EU216" s="140" t="s">
        <v>219</v>
      </c>
      <c r="EV216" s="140" t="s">
        <v>213</v>
      </c>
      <c r="EW216" s="140" t="s">
        <v>166</v>
      </c>
      <c r="EX216" s="140" t="s">
        <v>166</v>
      </c>
      <c r="EY216" s="140" t="s">
        <v>166</v>
      </c>
      <c r="EZ216" s="140" t="s">
        <v>166</v>
      </c>
      <c r="FA216" s="205">
        <v>6</v>
      </c>
      <c r="FB216" s="140" t="s">
        <v>220</v>
      </c>
      <c r="FC216" s="205">
        <v>1</v>
      </c>
      <c r="FD216" s="205">
        <v>1</v>
      </c>
      <c r="FE216" s="215">
        <v>7.8604771060908503</v>
      </c>
      <c r="FF216" s="140" t="s">
        <v>221</v>
      </c>
      <c r="FG216" s="215">
        <v>3.8633914580230133E-2</v>
      </c>
      <c r="FH216" s="215">
        <v>3.9299613305010084E-2</v>
      </c>
      <c r="FI216" s="266">
        <v>495.40851576186196</v>
      </c>
      <c r="FK216" s="140" t="s">
        <v>166</v>
      </c>
      <c r="FL216" s="217">
        <f t="shared" si="222"/>
        <v>495.40851576186196</v>
      </c>
      <c r="FM216" s="266">
        <v>123.19747628543098</v>
      </c>
      <c r="FN216" s="266">
        <v>93.441997541832961</v>
      </c>
      <c r="FO216" s="140" t="s">
        <v>222</v>
      </c>
      <c r="FP216" s="140" t="s">
        <v>223</v>
      </c>
      <c r="FQ216" s="217" t="s">
        <v>166</v>
      </c>
      <c r="FR216" s="217" t="s">
        <v>166</v>
      </c>
      <c r="FS216" s="217" t="s">
        <v>166</v>
      </c>
      <c r="FT216" s="217" t="s">
        <v>166</v>
      </c>
      <c r="FU216" s="217" t="s">
        <v>166</v>
      </c>
      <c r="FV216" s="217" t="s">
        <v>166</v>
      </c>
      <c r="FW216" s="217" t="s">
        <v>166</v>
      </c>
      <c r="FX216" s="217" t="s">
        <v>166</v>
      </c>
      <c r="FY216" s="217" t="s">
        <v>166</v>
      </c>
      <c r="FZ216" s="217" t="s">
        <v>166</v>
      </c>
      <c r="GA216" s="217" t="s">
        <v>166</v>
      </c>
      <c r="GB216" s="217" t="s">
        <v>166</v>
      </c>
      <c r="GC216" s="202" t="s">
        <v>521</v>
      </c>
    </row>
    <row r="217" spans="1:185" s="140" customFormat="1" ht="17">
      <c r="A217" s="140" t="s">
        <v>162</v>
      </c>
      <c r="B217" s="143" t="s">
        <v>163</v>
      </c>
      <c r="C217" s="140" t="s">
        <v>164</v>
      </c>
      <c r="D217" s="140" t="s">
        <v>165</v>
      </c>
      <c r="E217" s="140">
        <v>2020</v>
      </c>
      <c r="F217" s="140" t="s">
        <v>184</v>
      </c>
      <c r="G217" s="240">
        <v>54080.302342469695</v>
      </c>
      <c r="H217" s="241">
        <f t="shared" ref="H217" si="224">0.0083*G217^(0.9482)</f>
        <v>255.23826119964514</v>
      </c>
      <c r="I217" s="241">
        <f t="shared" si="171"/>
        <v>255.23826119964514</v>
      </c>
      <c r="J217" s="266">
        <v>570.32789862555501</v>
      </c>
      <c r="K217" s="266">
        <v>114.98988355773997</v>
      </c>
      <c r="L217" s="266">
        <v>98.23477144886499</v>
      </c>
      <c r="M217" s="140" t="b">
        <v>1</v>
      </c>
      <c r="N217" s="140">
        <v>1</v>
      </c>
      <c r="O217" s="302" t="s">
        <v>581</v>
      </c>
      <c r="P217" s="140" t="s">
        <v>166</v>
      </c>
      <c r="Q217" s="140" t="s">
        <v>166</v>
      </c>
      <c r="R217" s="140" t="s">
        <v>166</v>
      </c>
      <c r="S217" s="140" t="b">
        <v>1</v>
      </c>
      <c r="T217" s="140" t="b">
        <v>0</v>
      </c>
      <c r="U217" s="140" t="s">
        <v>166</v>
      </c>
      <c r="V217" s="140" t="b">
        <v>0</v>
      </c>
      <c r="W217" s="140" t="b">
        <v>0</v>
      </c>
      <c r="X217" s="140" t="s">
        <v>580</v>
      </c>
      <c r="Y217" s="202" t="s">
        <v>186</v>
      </c>
      <c r="Z217" s="140" t="s">
        <v>184</v>
      </c>
      <c r="AA217" s="267">
        <v>1210</v>
      </c>
      <c r="AB217" s="207" t="s">
        <v>233</v>
      </c>
      <c r="AC217" s="207">
        <v>19</v>
      </c>
      <c r="AD217" s="207">
        <v>6</v>
      </c>
      <c r="AE217" s="207">
        <v>138</v>
      </c>
      <c r="AF217" s="207">
        <v>140</v>
      </c>
      <c r="AG217" s="140">
        <v>179.58999999999997</v>
      </c>
      <c r="AH217" s="272">
        <v>201.23</v>
      </c>
      <c r="AI217" s="140" t="s">
        <v>508</v>
      </c>
      <c r="AJ217" s="140" t="s">
        <v>509</v>
      </c>
      <c r="AK217" s="210">
        <v>32.223500000000001</v>
      </c>
      <c r="AL217" s="210">
        <v>158.259333</v>
      </c>
      <c r="AM217" s="140">
        <v>28</v>
      </c>
      <c r="AN217" s="140" t="s">
        <v>166</v>
      </c>
      <c r="AO217" s="140">
        <v>-2573</v>
      </c>
      <c r="AP217" s="140">
        <v>-2100</v>
      </c>
      <c r="AQ217" s="140" t="s">
        <v>510</v>
      </c>
      <c r="AR217" s="140" t="s">
        <v>511</v>
      </c>
      <c r="AS217" s="240">
        <v>54.080302342469693</v>
      </c>
      <c r="AT217" s="140" t="s">
        <v>166</v>
      </c>
      <c r="AU217" s="140" t="s">
        <v>166</v>
      </c>
      <c r="AV217" s="140" t="s">
        <v>166</v>
      </c>
      <c r="AW217" s="140" t="s">
        <v>255</v>
      </c>
      <c r="AX217" s="140" t="s">
        <v>512</v>
      </c>
      <c r="AY217" s="140" t="s">
        <v>190</v>
      </c>
      <c r="AZ217" s="140" t="s">
        <v>166</v>
      </c>
      <c r="BA217" s="140" t="s">
        <v>166</v>
      </c>
      <c r="BB217" s="140" t="s">
        <v>166</v>
      </c>
      <c r="BC217" s="140" t="s">
        <v>166</v>
      </c>
      <c r="BD217" s="140" t="s">
        <v>166</v>
      </c>
      <c r="BE217" s="140" t="s">
        <v>166</v>
      </c>
      <c r="BF217" s="140" t="s">
        <v>166</v>
      </c>
      <c r="BG217" s="269" t="s">
        <v>513</v>
      </c>
      <c r="BH217" s="207" t="s">
        <v>236</v>
      </c>
      <c r="BI217" s="140" t="s">
        <v>514</v>
      </c>
      <c r="BJ217" s="140">
        <v>2.1370000000000005</v>
      </c>
      <c r="BK217" s="140" t="s">
        <v>515</v>
      </c>
      <c r="BL217" s="140" t="s">
        <v>516</v>
      </c>
      <c r="BM217" s="140" t="s">
        <v>517</v>
      </c>
      <c r="BN217" s="140" t="s">
        <v>466</v>
      </c>
      <c r="BO217" s="207">
        <v>8</v>
      </c>
      <c r="BP217" s="140">
        <v>0.24</v>
      </c>
      <c r="BQ217" s="207">
        <v>15.77</v>
      </c>
      <c r="BR217" s="140" t="s">
        <v>518</v>
      </c>
      <c r="BS217" s="207">
        <v>0.28999999999999998</v>
      </c>
      <c r="BT217" s="140">
        <v>1</v>
      </c>
      <c r="BU217" s="140" t="s">
        <v>197</v>
      </c>
      <c r="BV217" s="140" t="s">
        <v>166</v>
      </c>
      <c r="BW217" s="140">
        <v>0</v>
      </c>
      <c r="BX217" s="140" t="s">
        <v>197</v>
      </c>
      <c r="BY217" s="140" t="s">
        <v>166</v>
      </c>
      <c r="BZ217" s="140" t="s">
        <v>197</v>
      </c>
      <c r="CA217" s="140" t="s">
        <v>166</v>
      </c>
      <c r="CB217" s="210">
        <f t="shared" si="165"/>
        <v>15.77</v>
      </c>
      <c r="CC217" s="140" t="s">
        <v>196</v>
      </c>
      <c r="CD217" s="140">
        <f t="shared" si="166"/>
        <v>0.28999999999999998</v>
      </c>
      <c r="CE217" s="140" t="s">
        <v>199</v>
      </c>
      <c r="CF217" s="140" t="s">
        <v>166</v>
      </c>
      <c r="CG217" s="140" t="s">
        <v>474</v>
      </c>
      <c r="CH217" s="140" t="s">
        <v>166</v>
      </c>
      <c r="CI217" s="140" t="s">
        <v>166</v>
      </c>
      <c r="CJ217" s="247">
        <v>33.528731277117359</v>
      </c>
      <c r="CK217" s="140" t="s">
        <v>201</v>
      </c>
      <c r="CL217" s="140">
        <v>2</v>
      </c>
      <c r="CM217" s="140">
        <v>2</v>
      </c>
      <c r="CN217" s="140" t="s">
        <v>166</v>
      </c>
      <c r="CO217" s="209">
        <v>3.6</v>
      </c>
      <c r="CP217" s="140" t="s">
        <v>519</v>
      </c>
      <c r="CQ217" s="270">
        <v>0.108</v>
      </c>
      <c r="CR217" s="270">
        <v>0.108</v>
      </c>
      <c r="CS217" s="249" t="s">
        <v>202</v>
      </c>
      <c r="CT217" s="140" t="s">
        <v>203</v>
      </c>
      <c r="CU217" s="140">
        <v>2.2000000000000002</v>
      </c>
      <c r="CV217" s="140" t="s">
        <v>204</v>
      </c>
      <c r="CW217" s="140" t="s">
        <v>166</v>
      </c>
      <c r="CX217" s="140" t="s">
        <v>166</v>
      </c>
      <c r="CY217" s="140" t="s">
        <v>166</v>
      </c>
      <c r="CZ217" s="140" t="s">
        <v>166</v>
      </c>
      <c r="DA217" s="271" t="s">
        <v>166</v>
      </c>
      <c r="DB217" s="140" t="s">
        <v>166</v>
      </c>
      <c r="DC217" s="140" t="s">
        <v>166</v>
      </c>
      <c r="DD217" s="140" t="s">
        <v>166</v>
      </c>
      <c r="DE217" s="140" t="s">
        <v>166</v>
      </c>
      <c r="DF217" s="140" t="s">
        <v>520</v>
      </c>
      <c r="DG217" s="140">
        <v>35</v>
      </c>
      <c r="DH217" s="140" t="s">
        <v>201</v>
      </c>
      <c r="DI217" s="140">
        <v>1</v>
      </c>
      <c r="DJ217" s="140" t="s">
        <v>206</v>
      </c>
      <c r="DK217" s="140">
        <v>17</v>
      </c>
      <c r="DL217" s="140" t="s">
        <v>166</v>
      </c>
      <c r="DM217" s="140" t="s">
        <v>166</v>
      </c>
      <c r="DN217" s="140" t="s">
        <v>207</v>
      </c>
      <c r="DO217" s="140">
        <v>38</v>
      </c>
      <c r="DP217" s="140" t="s">
        <v>208</v>
      </c>
      <c r="DQ217" s="140">
        <v>3</v>
      </c>
      <c r="DR217" s="140" t="s">
        <v>209</v>
      </c>
      <c r="DS217" s="140" t="s">
        <v>166</v>
      </c>
      <c r="DT217" s="140" t="s">
        <v>166</v>
      </c>
      <c r="DU217" s="140" t="s">
        <v>166</v>
      </c>
      <c r="DV217" s="140" t="s">
        <v>166</v>
      </c>
      <c r="DW217" s="140">
        <v>432.6</v>
      </c>
      <c r="DX217" s="140" t="s">
        <v>166</v>
      </c>
      <c r="DY217" s="140" t="s">
        <v>166</v>
      </c>
      <c r="DZ217" s="140" t="s">
        <v>210</v>
      </c>
      <c r="EA217" s="140" t="s">
        <v>211</v>
      </c>
      <c r="EB217" s="140" t="s">
        <v>212</v>
      </c>
      <c r="EC217" s="140" t="s">
        <v>166</v>
      </c>
      <c r="ED217" s="140" t="s">
        <v>213</v>
      </c>
      <c r="EE217" s="213" t="s">
        <v>214</v>
      </c>
      <c r="EF217" s="213" t="s">
        <v>214</v>
      </c>
      <c r="EG217" s="140">
        <v>1.0271999999999999</v>
      </c>
      <c r="EH217" s="140" t="s">
        <v>215</v>
      </c>
      <c r="EI217" s="140" t="s">
        <v>215</v>
      </c>
      <c r="EJ217" s="140" t="s">
        <v>216</v>
      </c>
      <c r="EK217" s="140" t="s">
        <v>215</v>
      </c>
      <c r="EL217" s="140" t="s">
        <v>215</v>
      </c>
      <c r="EM217" s="140" t="s">
        <v>217</v>
      </c>
      <c r="EN217" s="214" t="s">
        <v>214</v>
      </c>
      <c r="EO217" s="214" t="s">
        <v>214</v>
      </c>
      <c r="EP217" s="214" t="s">
        <v>214</v>
      </c>
      <c r="EQ217" s="214" t="s">
        <v>214</v>
      </c>
      <c r="ET217" s="140" t="s">
        <v>218</v>
      </c>
      <c r="EU217" s="140" t="s">
        <v>219</v>
      </c>
      <c r="EV217" s="140" t="s">
        <v>213</v>
      </c>
      <c r="EW217" s="140" t="s">
        <v>166</v>
      </c>
      <c r="EX217" s="140" t="s">
        <v>166</v>
      </c>
      <c r="EY217" s="140" t="s">
        <v>166</v>
      </c>
      <c r="EZ217" s="140" t="s">
        <v>166</v>
      </c>
      <c r="FA217" s="205">
        <v>6</v>
      </c>
      <c r="FB217" s="140" t="s">
        <v>220</v>
      </c>
      <c r="FC217" s="205">
        <v>1</v>
      </c>
      <c r="FD217" s="205">
        <v>1</v>
      </c>
      <c r="FE217" s="215">
        <v>7.8292163167269102</v>
      </c>
      <c r="FF217" s="140" t="s">
        <v>221</v>
      </c>
      <c r="FG217" s="215">
        <v>3.1991862203279986E-2</v>
      </c>
      <c r="FH217" s="215">
        <v>3.5127147228240396E-2</v>
      </c>
      <c r="FI217" s="266">
        <v>570.32789862555501</v>
      </c>
      <c r="FK217" s="140" t="s">
        <v>166</v>
      </c>
      <c r="FL217" s="217">
        <f t="shared" si="222"/>
        <v>570.32789862555501</v>
      </c>
      <c r="FM217" s="266">
        <v>114.98988355773997</v>
      </c>
      <c r="FN217" s="266">
        <v>98.23477144886499</v>
      </c>
      <c r="FO217" s="140" t="s">
        <v>222</v>
      </c>
      <c r="FP217" s="140" t="s">
        <v>223</v>
      </c>
      <c r="FQ217" s="217" t="s">
        <v>166</v>
      </c>
      <c r="FR217" s="217" t="s">
        <v>166</v>
      </c>
      <c r="FS217" s="217" t="s">
        <v>166</v>
      </c>
      <c r="FT217" s="217" t="s">
        <v>166</v>
      </c>
      <c r="FU217" s="217" t="s">
        <v>166</v>
      </c>
      <c r="FV217" s="217" t="s">
        <v>166</v>
      </c>
      <c r="FW217" s="217" t="s">
        <v>166</v>
      </c>
      <c r="FX217" s="217" t="s">
        <v>166</v>
      </c>
      <c r="FY217" s="217" t="s">
        <v>166</v>
      </c>
      <c r="FZ217" s="217" t="s">
        <v>166</v>
      </c>
      <c r="GA217" s="217" t="s">
        <v>166</v>
      </c>
      <c r="GB217" s="217" t="s">
        <v>166</v>
      </c>
      <c r="GC217" s="202" t="s">
        <v>521</v>
      </c>
    </row>
    <row r="218" spans="1:185" s="140" customFormat="1" ht="17">
      <c r="A218" s="140" t="s">
        <v>162</v>
      </c>
      <c r="B218" s="143" t="s">
        <v>163</v>
      </c>
      <c r="C218" s="140" t="s">
        <v>164</v>
      </c>
      <c r="D218" s="140" t="s">
        <v>165</v>
      </c>
      <c r="E218" s="140">
        <v>2020</v>
      </c>
      <c r="F218" s="140" t="s">
        <v>184</v>
      </c>
      <c r="G218" s="240">
        <v>53942.169000000002</v>
      </c>
      <c r="H218" s="241">
        <f t="shared" ref="H218" si="225">0.0083*G218^(0.9482)</f>
        <v>254.62005423496873</v>
      </c>
      <c r="I218" s="241">
        <f t="shared" si="171"/>
        <v>254.62005423496873</v>
      </c>
      <c r="J218" s="266">
        <v>695.33791809627894</v>
      </c>
      <c r="K218" s="266">
        <v>177.88649015947601</v>
      </c>
      <c r="L218" s="266">
        <v>159.20833465432588</v>
      </c>
      <c r="M218" s="140" t="b">
        <v>1</v>
      </c>
      <c r="N218" s="140">
        <v>1</v>
      </c>
      <c r="O218" s="302" t="s">
        <v>581</v>
      </c>
      <c r="P218" s="140" t="s">
        <v>166</v>
      </c>
      <c r="Q218" s="140" t="s">
        <v>166</v>
      </c>
      <c r="R218" s="140" t="s">
        <v>166</v>
      </c>
      <c r="S218" s="140" t="b">
        <v>1</v>
      </c>
      <c r="T218" s="140" t="b">
        <v>0</v>
      </c>
      <c r="U218" s="140" t="s">
        <v>166</v>
      </c>
      <c r="V218" s="140" t="b">
        <v>0</v>
      </c>
      <c r="W218" s="140" t="b">
        <v>0</v>
      </c>
      <c r="X218" s="140" t="s">
        <v>580</v>
      </c>
      <c r="Y218" s="202" t="s">
        <v>186</v>
      </c>
      <c r="Z218" s="140" t="s">
        <v>184</v>
      </c>
      <c r="AA218" s="267">
        <v>1265</v>
      </c>
      <c r="AB218" s="207" t="s">
        <v>187</v>
      </c>
      <c r="AC218" s="207">
        <v>26</v>
      </c>
      <c r="AD218" s="207">
        <v>2</v>
      </c>
      <c r="AE218" s="207">
        <v>2</v>
      </c>
      <c r="AF218" s="207">
        <v>3</v>
      </c>
      <c r="AG218" s="140">
        <v>239.02500000000001</v>
      </c>
      <c r="AH218" s="140">
        <v>275.375</v>
      </c>
      <c r="AI218" s="140" t="s">
        <v>522</v>
      </c>
      <c r="AJ218" s="140" t="s">
        <v>523</v>
      </c>
      <c r="AK218" s="210">
        <v>-28.835000000000001</v>
      </c>
      <c r="AL218" s="210">
        <v>2.639167</v>
      </c>
      <c r="AM218" s="140">
        <v>-42</v>
      </c>
      <c r="AN218" s="140" t="s">
        <v>166</v>
      </c>
      <c r="AO218" s="140">
        <v>-3083</v>
      </c>
      <c r="AP218" s="140">
        <v>-1850</v>
      </c>
      <c r="AQ218" s="140" t="s">
        <v>524</v>
      </c>
      <c r="AR218" s="140" t="s">
        <v>511</v>
      </c>
      <c r="AS218" s="240">
        <v>53.942169</v>
      </c>
      <c r="AT218" s="140" t="s">
        <v>166</v>
      </c>
      <c r="AU218" s="140" t="s">
        <v>166</v>
      </c>
      <c r="AV218" s="140" t="s">
        <v>166</v>
      </c>
      <c r="AW218" s="140" t="s">
        <v>255</v>
      </c>
      <c r="AX218" s="140" t="s">
        <v>512</v>
      </c>
      <c r="AY218" s="140" t="s">
        <v>190</v>
      </c>
      <c r="AZ218" s="140" t="s">
        <v>166</v>
      </c>
      <c r="BA218" s="140" t="s">
        <v>166</v>
      </c>
      <c r="BB218" s="140" t="s">
        <v>166</v>
      </c>
      <c r="BC218" s="140" t="s">
        <v>166</v>
      </c>
      <c r="BD218" s="140" t="s">
        <v>166</v>
      </c>
      <c r="BE218" s="140" t="s">
        <v>166</v>
      </c>
      <c r="BF218" s="140" t="s">
        <v>166</v>
      </c>
      <c r="BG218" s="269" t="s">
        <v>513</v>
      </c>
      <c r="BH218" s="207" t="s">
        <v>236</v>
      </c>
      <c r="BI218" s="140" t="s">
        <v>514</v>
      </c>
      <c r="BJ218" s="140">
        <v>1.2649999999999864</v>
      </c>
      <c r="BK218" s="140" t="s">
        <v>515</v>
      </c>
      <c r="BL218" s="140" t="s">
        <v>516</v>
      </c>
      <c r="BM218" s="140" t="s">
        <v>517</v>
      </c>
      <c r="BN218" s="140" t="s">
        <v>466</v>
      </c>
      <c r="BO218" s="207">
        <v>4</v>
      </c>
      <c r="BP218" s="140">
        <v>0.22</v>
      </c>
      <c r="BQ218" s="209">
        <v>14.96</v>
      </c>
      <c r="BR218" s="140" t="s">
        <v>518</v>
      </c>
      <c r="BS218" s="209">
        <v>0.28999999999999998</v>
      </c>
      <c r="BT218" s="140">
        <v>1</v>
      </c>
      <c r="BU218" s="140" t="s">
        <v>197</v>
      </c>
      <c r="BV218" s="140" t="s">
        <v>166</v>
      </c>
      <c r="BW218" s="140">
        <v>0</v>
      </c>
      <c r="BX218" s="140" t="s">
        <v>197</v>
      </c>
      <c r="BY218" s="140" t="s">
        <v>166</v>
      </c>
      <c r="BZ218" s="140" t="s">
        <v>197</v>
      </c>
      <c r="CA218" s="140" t="s">
        <v>166</v>
      </c>
      <c r="CB218" s="210">
        <f t="shared" si="165"/>
        <v>14.96</v>
      </c>
      <c r="CC218" s="140" t="s">
        <v>196</v>
      </c>
      <c r="CD218" s="140">
        <f t="shared" si="166"/>
        <v>0.28999999999999998</v>
      </c>
      <c r="CE218" s="140" t="s">
        <v>199</v>
      </c>
      <c r="CF218" s="140" t="s">
        <v>166</v>
      </c>
      <c r="CG218" s="140" t="s">
        <v>474</v>
      </c>
      <c r="CH218" s="140" t="s">
        <v>166</v>
      </c>
      <c r="CI218" s="140" t="s">
        <v>166</v>
      </c>
      <c r="CJ218" s="247">
        <v>35.703532585703933</v>
      </c>
      <c r="CK218" s="140" t="s">
        <v>201</v>
      </c>
      <c r="CL218" s="140">
        <v>2</v>
      </c>
      <c r="CM218" s="140">
        <v>2</v>
      </c>
      <c r="CN218" s="140" t="s">
        <v>166</v>
      </c>
      <c r="CO218" s="209">
        <v>4.0694764158275349</v>
      </c>
      <c r="CP218" s="140" t="s">
        <v>519</v>
      </c>
      <c r="CQ218" s="270">
        <v>0.12208429247482605</v>
      </c>
      <c r="CR218" s="270">
        <v>0.12208429247482605</v>
      </c>
      <c r="CS218" s="249" t="s">
        <v>202</v>
      </c>
      <c r="CT218" s="140" t="s">
        <v>203</v>
      </c>
      <c r="CU218" s="140">
        <v>2.2000000000000002</v>
      </c>
      <c r="CV218" s="140" t="s">
        <v>204</v>
      </c>
      <c r="CW218" s="140" t="s">
        <v>166</v>
      </c>
      <c r="CX218" s="140" t="s">
        <v>166</v>
      </c>
      <c r="CY218" s="140" t="s">
        <v>166</v>
      </c>
      <c r="CZ218" s="140" t="s">
        <v>166</v>
      </c>
      <c r="DA218" s="271" t="s">
        <v>166</v>
      </c>
      <c r="DB218" s="140" t="s">
        <v>166</v>
      </c>
      <c r="DC218" s="140" t="s">
        <v>166</v>
      </c>
      <c r="DD218" s="140" t="s">
        <v>166</v>
      </c>
      <c r="DE218" s="140" t="s">
        <v>166</v>
      </c>
      <c r="DF218" s="140" t="s">
        <v>520</v>
      </c>
      <c r="DG218" s="140">
        <v>35</v>
      </c>
      <c r="DH218" s="140" t="s">
        <v>201</v>
      </c>
      <c r="DI218" s="140">
        <v>1</v>
      </c>
      <c r="DJ218" s="140" t="s">
        <v>206</v>
      </c>
      <c r="DK218" s="140">
        <v>17</v>
      </c>
      <c r="DL218" s="140" t="s">
        <v>166</v>
      </c>
      <c r="DM218" s="140" t="s">
        <v>166</v>
      </c>
      <c r="DN218" s="140" t="s">
        <v>207</v>
      </c>
      <c r="DO218" s="140">
        <v>38</v>
      </c>
      <c r="DP218" s="140" t="s">
        <v>208</v>
      </c>
      <c r="DQ218" s="140">
        <v>3</v>
      </c>
      <c r="DR218" s="140" t="s">
        <v>209</v>
      </c>
      <c r="DS218" s="140" t="s">
        <v>166</v>
      </c>
      <c r="DT218" s="140" t="s">
        <v>166</v>
      </c>
      <c r="DU218" s="140" t="s">
        <v>166</v>
      </c>
      <c r="DV218" s="140" t="s">
        <v>166</v>
      </c>
      <c r="DW218" s="140">
        <v>432.6</v>
      </c>
      <c r="DX218" s="140" t="s">
        <v>166</v>
      </c>
      <c r="DY218" s="140" t="s">
        <v>166</v>
      </c>
      <c r="DZ218" s="140" t="s">
        <v>210</v>
      </c>
      <c r="EA218" s="140" t="s">
        <v>211</v>
      </c>
      <c r="EB218" s="140" t="s">
        <v>212</v>
      </c>
      <c r="EC218" s="140" t="s">
        <v>166</v>
      </c>
      <c r="ED218" s="140" t="s">
        <v>213</v>
      </c>
      <c r="EE218" s="213" t="s">
        <v>214</v>
      </c>
      <c r="EF218" s="213" t="s">
        <v>214</v>
      </c>
      <c r="EG218" s="140">
        <v>1.0271999999999999</v>
      </c>
      <c r="EH218" s="140" t="s">
        <v>215</v>
      </c>
      <c r="EI218" s="140" t="s">
        <v>215</v>
      </c>
      <c r="EJ218" s="140" t="s">
        <v>216</v>
      </c>
      <c r="EK218" s="140" t="s">
        <v>215</v>
      </c>
      <c r="EL218" s="140" t="s">
        <v>215</v>
      </c>
      <c r="EM218" s="140" t="s">
        <v>217</v>
      </c>
      <c r="EN218" s="214" t="s">
        <v>214</v>
      </c>
      <c r="EO218" s="214" t="s">
        <v>214</v>
      </c>
      <c r="EP218" s="214" t="s">
        <v>214</v>
      </c>
      <c r="EQ218" s="214" t="s">
        <v>214</v>
      </c>
      <c r="ET218" s="140" t="s">
        <v>218</v>
      </c>
      <c r="EU218" s="140" t="s">
        <v>219</v>
      </c>
      <c r="EV218" s="140" t="s">
        <v>213</v>
      </c>
      <c r="EW218" s="140" t="s">
        <v>166</v>
      </c>
      <c r="EX218" s="140" t="s">
        <v>166</v>
      </c>
      <c r="EY218" s="140" t="s">
        <v>166</v>
      </c>
      <c r="EZ218" s="140" t="s">
        <v>166</v>
      </c>
      <c r="FA218" s="205">
        <v>4.5</v>
      </c>
      <c r="FB218" s="140" t="s">
        <v>220</v>
      </c>
      <c r="FC218" s="205">
        <v>1</v>
      </c>
      <c r="FD218" s="205">
        <v>1</v>
      </c>
      <c r="FE218" s="215">
        <v>7.7083033449334604</v>
      </c>
      <c r="FF218" s="140" t="s">
        <v>221</v>
      </c>
      <c r="FG218" s="215">
        <v>4.0001349692259325E-2</v>
      </c>
      <c r="FH218" s="215">
        <v>3.8451818188960374E-2</v>
      </c>
      <c r="FI218" s="266">
        <v>695.33791809627894</v>
      </c>
      <c r="FK218" s="140" t="s">
        <v>166</v>
      </c>
      <c r="FL218" s="217">
        <f t="shared" si="222"/>
        <v>695.33791809627894</v>
      </c>
      <c r="FM218" s="266">
        <v>177.88649015947601</v>
      </c>
      <c r="FN218" s="266">
        <v>159.20833465432588</v>
      </c>
      <c r="FO218" s="140" t="s">
        <v>222</v>
      </c>
      <c r="FP218" s="140" t="s">
        <v>223</v>
      </c>
      <c r="FQ218" s="217" t="s">
        <v>166</v>
      </c>
      <c r="FR218" s="217" t="s">
        <v>166</v>
      </c>
      <c r="FS218" s="217" t="s">
        <v>166</v>
      </c>
      <c r="FT218" s="217" t="s">
        <v>166</v>
      </c>
      <c r="FU218" s="217" t="s">
        <v>166</v>
      </c>
      <c r="FV218" s="217" t="s">
        <v>166</v>
      </c>
      <c r="FW218" s="217" t="s">
        <v>166</v>
      </c>
      <c r="FX218" s="217" t="s">
        <v>166</v>
      </c>
      <c r="FY218" s="217" t="s">
        <v>166</v>
      </c>
      <c r="FZ218" s="217" t="s">
        <v>166</v>
      </c>
      <c r="GA218" s="217" t="s">
        <v>166</v>
      </c>
      <c r="GB218" s="217" t="s">
        <v>166</v>
      </c>
      <c r="GC218" s="202" t="s">
        <v>521</v>
      </c>
    </row>
    <row r="219" spans="1:185" s="140" customFormat="1" ht="17">
      <c r="A219" s="140" t="s">
        <v>162</v>
      </c>
      <c r="B219" s="143" t="s">
        <v>163</v>
      </c>
      <c r="C219" s="140" t="s">
        <v>164</v>
      </c>
      <c r="D219" s="140" t="s">
        <v>165</v>
      </c>
      <c r="E219" s="140">
        <v>2020</v>
      </c>
      <c r="F219" s="140" t="s">
        <v>184</v>
      </c>
      <c r="G219" s="240">
        <v>53952.565999999999</v>
      </c>
      <c r="H219" s="241">
        <f t="shared" ref="H219" si="226">0.0083*G219^(0.9482)</f>
        <v>254.66658819666802</v>
      </c>
      <c r="I219" s="241">
        <f t="shared" si="171"/>
        <v>254.66658819666802</v>
      </c>
      <c r="J219" s="266">
        <v>1053.5212527856202</v>
      </c>
      <c r="K219" s="266">
        <v>285.35306943885985</v>
      </c>
      <c r="L219" s="266">
        <v>230.25267600757115</v>
      </c>
      <c r="M219" s="140" t="b">
        <v>1</v>
      </c>
      <c r="N219" s="140">
        <v>1</v>
      </c>
      <c r="O219" s="302" t="s">
        <v>581</v>
      </c>
      <c r="P219" s="140" t="s">
        <v>166</v>
      </c>
      <c r="Q219" s="140" t="s">
        <v>166</v>
      </c>
      <c r="R219" s="140" t="s">
        <v>166</v>
      </c>
      <c r="S219" s="140" t="b">
        <v>1</v>
      </c>
      <c r="T219" s="140" t="b">
        <v>0</v>
      </c>
      <c r="U219" s="140" t="s">
        <v>166</v>
      </c>
      <c r="V219" s="140" t="b">
        <v>0</v>
      </c>
      <c r="W219" s="140" t="b">
        <v>0</v>
      </c>
      <c r="X219" s="140" t="s">
        <v>580</v>
      </c>
      <c r="Y219" s="202" t="s">
        <v>186</v>
      </c>
      <c r="Z219" s="140" t="s">
        <v>184</v>
      </c>
      <c r="AA219" s="267">
        <v>1265</v>
      </c>
      <c r="AB219" s="207" t="s">
        <v>187</v>
      </c>
      <c r="AC219" s="207">
        <v>26</v>
      </c>
      <c r="AD219" s="207">
        <v>2</v>
      </c>
      <c r="AE219" s="207">
        <v>22</v>
      </c>
      <c r="AF219" s="207">
        <v>23</v>
      </c>
      <c r="AG219" s="140">
        <v>239.22499999999999</v>
      </c>
      <c r="AH219" s="140">
        <v>275.57499999999999</v>
      </c>
      <c r="AI219" s="140" t="s">
        <v>522</v>
      </c>
      <c r="AJ219" s="140" t="s">
        <v>523</v>
      </c>
      <c r="AK219" s="210">
        <v>-28.835000000000001</v>
      </c>
      <c r="AL219" s="210">
        <v>2.639167</v>
      </c>
      <c r="AM219" s="140">
        <v>-42</v>
      </c>
      <c r="AN219" s="140" t="s">
        <v>166</v>
      </c>
      <c r="AO219" s="140">
        <v>-3083</v>
      </c>
      <c r="AP219" s="140">
        <v>-1850</v>
      </c>
      <c r="AQ219" s="140" t="s">
        <v>524</v>
      </c>
      <c r="AR219" s="140" t="s">
        <v>511</v>
      </c>
      <c r="AS219" s="240">
        <v>53.952565999999997</v>
      </c>
      <c r="AT219" s="140" t="s">
        <v>166</v>
      </c>
      <c r="AU219" s="140" t="s">
        <v>166</v>
      </c>
      <c r="AV219" s="140" t="s">
        <v>166</v>
      </c>
      <c r="AW219" s="140" t="s">
        <v>255</v>
      </c>
      <c r="AX219" s="140" t="s">
        <v>512</v>
      </c>
      <c r="AY219" s="140" t="s">
        <v>190</v>
      </c>
      <c r="AZ219" s="140" t="s">
        <v>166</v>
      </c>
      <c r="BA219" s="140" t="s">
        <v>166</v>
      </c>
      <c r="BB219" s="140" t="s">
        <v>166</v>
      </c>
      <c r="BC219" s="140" t="s">
        <v>166</v>
      </c>
      <c r="BD219" s="140" t="s">
        <v>166</v>
      </c>
      <c r="BE219" s="140" t="s">
        <v>166</v>
      </c>
      <c r="BF219" s="140" t="s">
        <v>166</v>
      </c>
      <c r="BG219" s="269" t="s">
        <v>513</v>
      </c>
      <c r="BH219" s="207" t="s">
        <v>236</v>
      </c>
      <c r="BI219" s="140" t="s">
        <v>514</v>
      </c>
      <c r="BJ219" s="140">
        <v>1.3410000000000082</v>
      </c>
      <c r="BK219" s="140" t="s">
        <v>515</v>
      </c>
      <c r="BL219" s="140" t="s">
        <v>516</v>
      </c>
      <c r="BM219" s="140" t="s">
        <v>517</v>
      </c>
      <c r="BN219" s="140" t="s">
        <v>466</v>
      </c>
      <c r="BO219" s="207">
        <v>5</v>
      </c>
      <c r="BP219" s="140">
        <v>0.23</v>
      </c>
      <c r="BQ219" s="209">
        <v>14.31</v>
      </c>
      <c r="BR219" s="140" t="s">
        <v>518</v>
      </c>
      <c r="BS219" s="209">
        <v>0.26</v>
      </c>
      <c r="BT219" s="140">
        <v>1</v>
      </c>
      <c r="BU219" s="140" t="s">
        <v>197</v>
      </c>
      <c r="BV219" s="140" t="s">
        <v>166</v>
      </c>
      <c r="BW219" s="140">
        <v>0</v>
      </c>
      <c r="BX219" s="140" t="s">
        <v>197</v>
      </c>
      <c r="BY219" s="140" t="s">
        <v>166</v>
      </c>
      <c r="BZ219" s="140" t="s">
        <v>197</v>
      </c>
      <c r="CA219" s="140" t="s">
        <v>166</v>
      </c>
      <c r="CB219" s="210">
        <f t="shared" si="165"/>
        <v>14.31</v>
      </c>
      <c r="CC219" s="140" t="s">
        <v>196</v>
      </c>
      <c r="CD219" s="140">
        <f t="shared" si="166"/>
        <v>0.26</v>
      </c>
      <c r="CE219" s="140" t="s">
        <v>199</v>
      </c>
      <c r="CF219" s="140" t="s">
        <v>166</v>
      </c>
      <c r="CG219" s="140" t="s">
        <v>474</v>
      </c>
      <c r="CH219" s="140" t="s">
        <v>166</v>
      </c>
      <c r="CI219" s="140" t="s">
        <v>166</v>
      </c>
      <c r="CJ219" s="247">
        <v>36.169438781606722</v>
      </c>
      <c r="CK219" s="140" t="s">
        <v>201</v>
      </c>
      <c r="CL219" s="140">
        <v>2</v>
      </c>
      <c r="CM219" s="140">
        <v>2</v>
      </c>
      <c r="CN219" s="140" t="s">
        <v>166</v>
      </c>
      <c r="CO219" s="207" t="s">
        <v>525</v>
      </c>
      <c r="CP219" s="140" t="s">
        <v>519</v>
      </c>
      <c r="CQ219" s="270">
        <v>0.12539999999999998</v>
      </c>
      <c r="CR219" s="270">
        <v>0.12539999999999998</v>
      </c>
      <c r="CS219" s="249" t="s">
        <v>202</v>
      </c>
      <c r="CT219" s="140" t="s">
        <v>203</v>
      </c>
      <c r="CU219" s="140">
        <v>2.2000000000000002</v>
      </c>
      <c r="CV219" s="140" t="s">
        <v>204</v>
      </c>
      <c r="CW219" s="140" t="s">
        <v>166</v>
      </c>
      <c r="CX219" s="140" t="s">
        <v>166</v>
      </c>
      <c r="CY219" s="140" t="s">
        <v>166</v>
      </c>
      <c r="CZ219" s="140" t="s">
        <v>166</v>
      </c>
      <c r="DA219" s="209" t="s">
        <v>166</v>
      </c>
      <c r="DB219" s="140" t="s">
        <v>166</v>
      </c>
      <c r="DC219" s="140" t="s">
        <v>166</v>
      </c>
      <c r="DD219" s="140" t="s">
        <v>166</v>
      </c>
      <c r="DE219" s="140" t="s">
        <v>166</v>
      </c>
      <c r="DF219" s="140" t="s">
        <v>520</v>
      </c>
      <c r="DG219" s="250">
        <v>35</v>
      </c>
      <c r="DH219" s="250" t="s">
        <v>201</v>
      </c>
      <c r="DI219" s="140">
        <v>1</v>
      </c>
      <c r="DJ219" s="250" t="s">
        <v>206</v>
      </c>
      <c r="DK219" s="250">
        <v>17</v>
      </c>
      <c r="DL219" s="140" t="s">
        <v>166</v>
      </c>
      <c r="DM219" s="140" t="s">
        <v>166</v>
      </c>
      <c r="DN219" s="250" t="s">
        <v>207</v>
      </c>
      <c r="DO219" s="250">
        <v>38</v>
      </c>
      <c r="DP219" s="250" t="s">
        <v>208</v>
      </c>
      <c r="DQ219" s="250">
        <v>3</v>
      </c>
      <c r="DR219" s="250" t="s">
        <v>209</v>
      </c>
      <c r="DS219" s="140" t="s">
        <v>166</v>
      </c>
      <c r="DT219" s="140" t="s">
        <v>166</v>
      </c>
      <c r="DU219" s="140" t="s">
        <v>166</v>
      </c>
      <c r="DV219" s="140" t="s">
        <v>166</v>
      </c>
      <c r="DW219" s="250">
        <v>432.6</v>
      </c>
      <c r="DX219" s="140" t="s">
        <v>166</v>
      </c>
      <c r="DY219" s="140" t="s">
        <v>166</v>
      </c>
      <c r="DZ219" s="140" t="s">
        <v>210</v>
      </c>
      <c r="EA219" s="140" t="s">
        <v>211</v>
      </c>
      <c r="EB219" s="140" t="s">
        <v>212</v>
      </c>
      <c r="EC219" s="140" t="s">
        <v>166</v>
      </c>
      <c r="ED219" s="140" t="s">
        <v>213</v>
      </c>
      <c r="EE219" s="213" t="s">
        <v>214</v>
      </c>
      <c r="EF219" s="213" t="s">
        <v>214</v>
      </c>
      <c r="EG219" s="250">
        <v>1.0271999999999999</v>
      </c>
      <c r="EH219" s="250" t="s">
        <v>215</v>
      </c>
      <c r="EI219" s="250" t="s">
        <v>215</v>
      </c>
      <c r="EJ219" s="250" t="s">
        <v>216</v>
      </c>
      <c r="EK219" s="250" t="s">
        <v>215</v>
      </c>
      <c r="EL219" s="250" t="s">
        <v>215</v>
      </c>
      <c r="EM219" s="250" t="s">
        <v>217</v>
      </c>
      <c r="EN219" s="251" t="s">
        <v>214</v>
      </c>
      <c r="EO219" s="251" t="s">
        <v>214</v>
      </c>
      <c r="EP219" s="251" t="s">
        <v>214</v>
      </c>
      <c r="EQ219" s="251" t="s">
        <v>214</v>
      </c>
      <c r="ER219" s="250"/>
      <c r="ES219" s="250"/>
      <c r="ET219" s="140" t="s">
        <v>218</v>
      </c>
      <c r="EU219" s="250" t="s">
        <v>219</v>
      </c>
      <c r="EV219" s="250" t="s">
        <v>213</v>
      </c>
      <c r="EW219" s="140" t="s">
        <v>166</v>
      </c>
      <c r="EX219" s="140" t="s">
        <v>166</v>
      </c>
      <c r="EY219" s="140" t="s">
        <v>166</v>
      </c>
      <c r="EZ219" s="140" t="s">
        <v>166</v>
      </c>
      <c r="FA219" s="205">
        <v>4.5</v>
      </c>
      <c r="FB219" s="140" t="s">
        <v>220</v>
      </c>
      <c r="FC219" s="205">
        <v>1</v>
      </c>
      <c r="FD219" s="205">
        <v>1</v>
      </c>
      <c r="FE219" s="215">
        <v>7.6141072328675197</v>
      </c>
      <c r="FF219" s="140" t="s">
        <v>221</v>
      </c>
      <c r="FG219" s="215">
        <v>4.1332080118510639E-2</v>
      </c>
      <c r="FH219" s="215">
        <v>3.7847282363639323E-2</v>
      </c>
      <c r="FI219" s="266">
        <v>1053.5212527856202</v>
      </c>
      <c r="FK219" s="140" t="s">
        <v>166</v>
      </c>
      <c r="FL219" s="217">
        <f t="shared" si="222"/>
        <v>1053.5212527856202</v>
      </c>
      <c r="FM219" s="266">
        <v>285.35306943885985</v>
      </c>
      <c r="FN219" s="266">
        <v>230.25267600757115</v>
      </c>
      <c r="FO219" s="140" t="s">
        <v>222</v>
      </c>
      <c r="FP219" s="140" t="s">
        <v>223</v>
      </c>
      <c r="FQ219" s="217" t="s">
        <v>166</v>
      </c>
      <c r="FR219" s="217" t="s">
        <v>166</v>
      </c>
      <c r="FS219" s="217" t="s">
        <v>166</v>
      </c>
      <c r="FT219" s="217" t="s">
        <v>166</v>
      </c>
      <c r="FU219" s="217" t="s">
        <v>166</v>
      </c>
      <c r="FV219" s="217" t="s">
        <v>166</v>
      </c>
      <c r="FW219" s="217" t="s">
        <v>166</v>
      </c>
      <c r="FX219" s="217" t="s">
        <v>166</v>
      </c>
      <c r="FY219" s="217" t="s">
        <v>166</v>
      </c>
      <c r="FZ219" s="217" t="s">
        <v>166</v>
      </c>
      <c r="GA219" s="217" t="s">
        <v>166</v>
      </c>
      <c r="GB219" s="217" t="s">
        <v>166</v>
      </c>
      <c r="GC219" s="202" t="s">
        <v>521</v>
      </c>
    </row>
    <row r="220" spans="1:185" s="140" customFormat="1" ht="17">
      <c r="A220" s="140" t="s">
        <v>162</v>
      </c>
      <c r="B220" s="143" t="s">
        <v>163</v>
      </c>
      <c r="C220" s="140" t="s">
        <v>164</v>
      </c>
      <c r="D220" s="140" t="s">
        <v>165</v>
      </c>
      <c r="E220" s="140">
        <v>2020</v>
      </c>
      <c r="F220" s="140" t="s">
        <v>184</v>
      </c>
      <c r="G220" s="240">
        <v>53963.347000000002</v>
      </c>
      <c r="H220" s="241">
        <f t="shared" ref="H220" si="227">0.0083*G220^(0.9482)</f>
        <v>254.71484034062803</v>
      </c>
      <c r="I220" s="241">
        <f t="shared" si="171"/>
        <v>254.71484034062803</v>
      </c>
      <c r="J220" s="266">
        <v>886.88412238078399</v>
      </c>
      <c r="K220" s="266">
        <v>309.64717326814616</v>
      </c>
      <c r="L220" s="266">
        <v>234.76626367786196</v>
      </c>
      <c r="M220" s="140" t="b">
        <v>1</v>
      </c>
      <c r="N220" s="140">
        <v>1</v>
      </c>
      <c r="O220" s="302" t="s">
        <v>581</v>
      </c>
      <c r="P220" s="140" t="s">
        <v>166</v>
      </c>
      <c r="Q220" s="140" t="s">
        <v>166</v>
      </c>
      <c r="R220" s="140" t="s">
        <v>166</v>
      </c>
      <c r="S220" s="140" t="b">
        <v>1</v>
      </c>
      <c r="T220" s="140" t="b">
        <v>0</v>
      </c>
      <c r="U220" s="140" t="s">
        <v>166</v>
      </c>
      <c r="V220" s="140" t="b">
        <v>0</v>
      </c>
      <c r="W220" s="140" t="b">
        <v>0</v>
      </c>
      <c r="X220" s="140" t="s">
        <v>580</v>
      </c>
      <c r="Y220" s="202" t="s">
        <v>186</v>
      </c>
      <c r="Z220" s="140" t="s">
        <v>184</v>
      </c>
      <c r="AA220" s="267">
        <v>1265</v>
      </c>
      <c r="AB220" s="207" t="s">
        <v>187</v>
      </c>
      <c r="AC220" s="207">
        <v>26</v>
      </c>
      <c r="AD220" s="207">
        <v>2</v>
      </c>
      <c r="AE220" s="207">
        <v>42</v>
      </c>
      <c r="AF220" s="207">
        <v>43</v>
      </c>
      <c r="AG220" s="140">
        <v>239.42500000000001</v>
      </c>
      <c r="AH220" s="140">
        <v>275.77499999999998</v>
      </c>
      <c r="AI220" s="140" t="s">
        <v>522</v>
      </c>
      <c r="AJ220" s="140" t="s">
        <v>523</v>
      </c>
      <c r="AK220" s="210">
        <v>-28.835000000000001</v>
      </c>
      <c r="AL220" s="210">
        <v>2.639167</v>
      </c>
      <c r="AM220" s="140">
        <v>-42</v>
      </c>
      <c r="AN220" s="140" t="s">
        <v>166</v>
      </c>
      <c r="AO220" s="140">
        <v>-3083</v>
      </c>
      <c r="AP220" s="140">
        <v>-1850</v>
      </c>
      <c r="AQ220" s="140" t="s">
        <v>524</v>
      </c>
      <c r="AR220" s="140" t="s">
        <v>511</v>
      </c>
      <c r="AS220" s="240">
        <v>53.963346999999999</v>
      </c>
      <c r="AT220" s="140" t="s">
        <v>166</v>
      </c>
      <c r="AU220" s="140" t="s">
        <v>166</v>
      </c>
      <c r="AV220" s="140" t="s">
        <v>166</v>
      </c>
      <c r="AW220" s="140" t="s">
        <v>255</v>
      </c>
      <c r="AX220" s="140" t="s">
        <v>512</v>
      </c>
      <c r="AY220" s="140" t="s">
        <v>190</v>
      </c>
      <c r="AZ220" s="140" t="s">
        <v>166</v>
      </c>
      <c r="BA220" s="140" t="s">
        <v>166</v>
      </c>
      <c r="BB220" s="140" t="s">
        <v>166</v>
      </c>
      <c r="BC220" s="140" t="s">
        <v>166</v>
      </c>
      <c r="BD220" s="140" t="s">
        <v>166</v>
      </c>
      <c r="BE220" s="140" t="s">
        <v>166</v>
      </c>
      <c r="BF220" s="140" t="s">
        <v>166</v>
      </c>
      <c r="BG220" s="269" t="s">
        <v>513</v>
      </c>
      <c r="BH220" s="207" t="s">
        <v>236</v>
      </c>
      <c r="BI220" s="140" t="s">
        <v>514</v>
      </c>
      <c r="BJ220" s="140">
        <v>1.5260000000000105</v>
      </c>
      <c r="BK220" s="140" t="s">
        <v>515</v>
      </c>
      <c r="BL220" s="140" t="s">
        <v>516</v>
      </c>
      <c r="BM220" s="140" t="s">
        <v>517</v>
      </c>
      <c r="BN220" s="140" t="s">
        <v>466</v>
      </c>
      <c r="BO220" s="207">
        <v>6</v>
      </c>
      <c r="BP220" s="140">
        <v>0.41</v>
      </c>
      <c r="BQ220" s="209">
        <v>14.54</v>
      </c>
      <c r="BR220" s="140" t="s">
        <v>518</v>
      </c>
      <c r="BS220" s="209">
        <v>0.41</v>
      </c>
      <c r="BT220" s="140">
        <v>1</v>
      </c>
      <c r="BU220" s="140" t="s">
        <v>197</v>
      </c>
      <c r="BV220" s="140" t="s">
        <v>166</v>
      </c>
      <c r="BW220" s="140">
        <v>0</v>
      </c>
      <c r="BX220" s="140" t="s">
        <v>197</v>
      </c>
      <c r="BY220" s="140" t="s">
        <v>166</v>
      </c>
      <c r="BZ220" s="140" t="s">
        <v>197</v>
      </c>
      <c r="CA220" s="140" t="s">
        <v>166</v>
      </c>
      <c r="CB220" s="210">
        <f t="shared" si="165"/>
        <v>14.54</v>
      </c>
      <c r="CC220" s="140" t="s">
        <v>196</v>
      </c>
      <c r="CD220" s="140">
        <f t="shared" si="166"/>
        <v>0.41</v>
      </c>
      <c r="CE220" s="140" t="s">
        <v>199</v>
      </c>
      <c r="CF220" s="140" t="s">
        <v>166</v>
      </c>
      <c r="CG220" s="140" t="s">
        <v>474</v>
      </c>
      <c r="CH220" s="140" t="s">
        <v>166</v>
      </c>
      <c r="CI220" s="140" t="s">
        <v>166</v>
      </c>
      <c r="CJ220" s="247">
        <v>35.516188583514051</v>
      </c>
      <c r="CK220" s="140" t="s">
        <v>201</v>
      </c>
      <c r="CL220" s="140">
        <v>2</v>
      </c>
      <c r="CM220" s="140">
        <v>2</v>
      </c>
      <c r="CN220" s="140" t="s">
        <v>166</v>
      </c>
      <c r="CO220" s="207" t="s">
        <v>526</v>
      </c>
      <c r="CP220" s="140" t="s">
        <v>519</v>
      </c>
      <c r="CQ220" s="270">
        <v>0.1239</v>
      </c>
      <c r="CR220" s="270">
        <v>0.1239</v>
      </c>
      <c r="CS220" s="249" t="s">
        <v>202</v>
      </c>
      <c r="CT220" s="140" t="s">
        <v>203</v>
      </c>
      <c r="CU220" s="140">
        <v>2.2000000000000002</v>
      </c>
      <c r="CV220" s="140" t="s">
        <v>204</v>
      </c>
      <c r="CW220" s="140" t="s">
        <v>166</v>
      </c>
      <c r="CX220" s="140" t="s">
        <v>166</v>
      </c>
      <c r="CY220" s="140" t="s">
        <v>166</v>
      </c>
      <c r="CZ220" s="140" t="s">
        <v>166</v>
      </c>
      <c r="DA220" s="209" t="s">
        <v>166</v>
      </c>
      <c r="DB220" s="140" t="s">
        <v>166</v>
      </c>
      <c r="DC220" s="140" t="s">
        <v>166</v>
      </c>
      <c r="DD220" s="140" t="s">
        <v>166</v>
      </c>
      <c r="DE220" s="140" t="s">
        <v>166</v>
      </c>
      <c r="DF220" s="140" t="s">
        <v>520</v>
      </c>
      <c r="DG220" s="250">
        <v>35</v>
      </c>
      <c r="DH220" s="250" t="s">
        <v>201</v>
      </c>
      <c r="DI220" s="140">
        <v>1</v>
      </c>
      <c r="DJ220" s="250" t="s">
        <v>206</v>
      </c>
      <c r="DK220" s="250">
        <v>17</v>
      </c>
      <c r="DL220" s="140" t="s">
        <v>166</v>
      </c>
      <c r="DM220" s="140" t="s">
        <v>166</v>
      </c>
      <c r="DN220" s="250" t="s">
        <v>207</v>
      </c>
      <c r="DO220" s="250">
        <v>38</v>
      </c>
      <c r="DP220" s="250" t="s">
        <v>208</v>
      </c>
      <c r="DQ220" s="250">
        <v>3</v>
      </c>
      <c r="DR220" s="250" t="s">
        <v>209</v>
      </c>
      <c r="DS220" s="140" t="s">
        <v>166</v>
      </c>
      <c r="DT220" s="140" t="s">
        <v>166</v>
      </c>
      <c r="DU220" s="140" t="s">
        <v>166</v>
      </c>
      <c r="DV220" s="140" t="s">
        <v>166</v>
      </c>
      <c r="DW220" s="250">
        <v>432.6</v>
      </c>
      <c r="DX220" s="140" t="s">
        <v>166</v>
      </c>
      <c r="DY220" s="140" t="s">
        <v>166</v>
      </c>
      <c r="DZ220" s="140" t="s">
        <v>210</v>
      </c>
      <c r="EA220" s="140" t="s">
        <v>211</v>
      </c>
      <c r="EB220" s="140" t="s">
        <v>212</v>
      </c>
      <c r="EC220" s="140" t="s">
        <v>166</v>
      </c>
      <c r="ED220" s="140" t="s">
        <v>213</v>
      </c>
      <c r="EE220" s="233" t="s">
        <v>214</v>
      </c>
      <c r="EF220" s="233" t="s">
        <v>214</v>
      </c>
      <c r="EG220" s="250">
        <v>1.0271999999999999</v>
      </c>
      <c r="EH220" s="250" t="s">
        <v>215</v>
      </c>
      <c r="EI220" s="250" t="s">
        <v>215</v>
      </c>
      <c r="EJ220" s="250" t="s">
        <v>216</v>
      </c>
      <c r="EK220" s="250" t="s">
        <v>215</v>
      </c>
      <c r="EL220" s="250" t="s">
        <v>215</v>
      </c>
      <c r="EM220" s="250" t="s">
        <v>217</v>
      </c>
      <c r="EN220" s="264" t="s">
        <v>214</v>
      </c>
      <c r="EO220" s="264" t="s">
        <v>214</v>
      </c>
      <c r="EP220" s="264" t="s">
        <v>214</v>
      </c>
      <c r="EQ220" s="264" t="s">
        <v>214</v>
      </c>
      <c r="ER220" s="250"/>
      <c r="ES220" s="250"/>
      <c r="ET220" s="140" t="s">
        <v>218</v>
      </c>
      <c r="EU220" s="250" t="s">
        <v>219</v>
      </c>
      <c r="EV220" s="250" t="s">
        <v>213</v>
      </c>
      <c r="EW220" s="140" t="s">
        <v>166</v>
      </c>
      <c r="EX220" s="140" t="s">
        <v>166</v>
      </c>
      <c r="EY220" s="140" t="s">
        <v>166</v>
      </c>
      <c r="EZ220" s="140" t="s">
        <v>166</v>
      </c>
      <c r="FA220" s="205">
        <v>4.5</v>
      </c>
      <c r="FB220" s="140" t="s">
        <v>220</v>
      </c>
      <c r="FC220" s="205">
        <v>1</v>
      </c>
      <c r="FD220" s="205">
        <v>1</v>
      </c>
      <c r="FE220" s="215">
        <v>7.6555169283804396</v>
      </c>
      <c r="FF220" s="140" t="s">
        <v>221</v>
      </c>
      <c r="FG220" s="215">
        <v>5.2845162227860065E-2</v>
      </c>
      <c r="FH220" s="215">
        <v>5.9094331527679955E-2</v>
      </c>
      <c r="FI220" s="266">
        <v>886.88412238078399</v>
      </c>
      <c r="FK220" s="140" t="s">
        <v>166</v>
      </c>
      <c r="FL220" s="217">
        <f t="shared" si="222"/>
        <v>886.88412238078399</v>
      </c>
      <c r="FM220" s="266">
        <v>309.64717326814616</v>
      </c>
      <c r="FN220" s="266">
        <v>234.76626367786196</v>
      </c>
      <c r="FO220" s="140" t="s">
        <v>222</v>
      </c>
      <c r="FP220" s="140" t="s">
        <v>223</v>
      </c>
      <c r="FQ220" s="217" t="s">
        <v>166</v>
      </c>
      <c r="FR220" s="217" t="s">
        <v>166</v>
      </c>
      <c r="FS220" s="217" t="s">
        <v>166</v>
      </c>
      <c r="FT220" s="217" t="s">
        <v>166</v>
      </c>
      <c r="FU220" s="217" t="s">
        <v>166</v>
      </c>
      <c r="FV220" s="217" t="s">
        <v>166</v>
      </c>
      <c r="FW220" s="217" t="s">
        <v>166</v>
      </c>
      <c r="FX220" s="217" t="s">
        <v>166</v>
      </c>
      <c r="FY220" s="217" t="s">
        <v>166</v>
      </c>
      <c r="FZ220" s="217" t="s">
        <v>166</v>
      </c>
      <c r="GA220" s="217" t="s">
        <v>166</v>
      </c>
      <c r="GB220" s="217" t="s">
        <v>166</v>
      </c>
      <c r="GC220" s="202" t="s">
        <v>521</v>
      </c>
    </row>
    <row r="221" spans="1:185" s="140" customFormat="1" ht="17">
      <c r="A221" s="140" t="s">
        <v>162</v>
      </c>
      <c r="B221" s="143" t="s">
        <v>163</v>
      </c>
      <c r="C221" s="140" t="s">
        <v>164</v>
      </c>
      <c r="D221" s="140" t="s">
        <v>165</v>
      </c>
      <c r="E221" s="140">
        <v>2020</v>
      </c>
      <c r="F221" s="140" t="s">
        <v>184</v>
      </c>
      <c r="G221" s="240">
        <v>53974.127999999997</v>
      </c>
      <c r="H221" s="241">
        <f t="shared" ref="H221" si="228">0.0083*G221^(0.9482)</f>
        <v>254.76309198523856</v>
      </c>
      <c r="I221" s="241">
        <f t="shared" si="171"/>
        <v>254.76309198523856</v>
      </c>
      <c r="J221" s="266">
        <v>1002.1904564469901</v>
      </c>
      <c r="K221" s="266">
        <v>550.17822845680007</v>
      </c>
      <c r="L221" s="266">
        <v>343.59212966174709</v>
      </c>
      <c r="M221" s="140" t="b">
        <v>1</v>
      </c>
      <c r="N221" s="140">
        <v>1</v>
      </c>
      <c r="O221" s="302" t="s">
        <v>581</v>
      </c>
      <c r="P221" s="140" t="s">
        <v>166</v>
      </c>
      <c r="Q221" s="140" t="s">
        <v>166</v>
      </c>
      <c r="R221" s="140" t="s">
        <v>166</v>
      </c>
      <c r="S221" s="140" t="b">
        <v>1</v>
      </c>
      <c r="T221" s="140" t="b">
        <v>0</v>
      </c>
      <c r="U221" s="140" t="s">
        <v>166</v>
      </c>
      <c r="V221" s="140" t="b">
        <v>0</v>
      </c>
      <c r="W221" s="140" t="b">
        <v>0</v>
      </c>
      <c r="X221" s="140" t="s">
        <v>580</v>
      </c>
      <c r="Y221" s="202" t="s">
        <v>186</v>
      </c>
      <c r="Z221" s="140" t="s">
        <v>184</v>
      </c>
      <c r="AA221" s="267">
        <v>1265</v>
      </c>
      <c r="AB221" s="207" t="s">
        <v>187</v>
      </c>
      <c r="AC221" s="207">
        <v>26</v>
      </c>
      <c r="AD221" s="207">
        <v>2</v>
      </c>
      <c r="AE221" s="207">
        <v>62</v>
      </c>
      <c r="AF221" s="207">
        <v>63</v>
      </c>
      <c r="AG221" s="140">
        <v>239.62499999999901</v>
      </c>
      <c r="AH221" s="140">
        <v>275.974999999999</v>
      </c>
      <c r="AI221" s="140" t="s">
        <v>522</v>
      </c>
      <c r="AJ221" s="140" t="s">
        <v>523</v>
      </c>
      <c r="AK221" s="210">
        <v>-28.835000000000001</v>
      </c>
      <c r="AL221" s="210">
        <v>2.639167</v>
      </c>
      <c r="AM221" s="140">
        <v>-42</v>
      </c>
      <c r="AN221" s="140" t="s">
        <v>166</v>
      </c>
      <c r="AO221" s="140">
        <v>-3083</v>
      </c>
      <c r="AP221" s="140">
        <v>-1850</v>
      </c>
      <c r="AQ221" s="140" t="s">
        <v>524</v>
      </c>
      <c r="AR221" s="140" t="s">
        <v>511</v>
      </c>
      <c r="AS221" s="240">
        <v>53.974128</v>
      </c>
      <c r="AT221" s="140" t="s">
        <v>166</v>
      </c>
      <c r="AU221" s="140" t="s">
        <v>166</v>
      </c>
      <c r="AV221" s="140" t="s">
        <v>166</v>
      </c>
      <c r="AW221" s="140" t="s">
        <v>255</v>
      </c>
      <c r="AX221" s="140" t="s">
        <v>512</v>
      </c>
      <c r="AY221" s="140" t="s">
        <v>190</v>
      </c>
      <c r="AZ221" s="140" t="s">
        <v>166</v>
      </c>
      <c r="BA221" s="140" t="s">
        <v>166</v>
      </c>
      <c r="BB221" s="140" t="s">
        <v>166</v>
      </c>
      <c r="BC221" s="140" t="s">
        <v>166</v>
      </c>
      <c r="BD221" s="140" t="s">
        <v>166</v>
      </c>
      <c r="BE221" s="140" t="s">
        <v>166</v>
      </c>
      <c r="BF221" s="140" t="s">
        <v>166</v>
      </c>
      <c r="BG221" s="269" t="s">
        <v>513</v>
      </c>
      <c r="BH221" s="207" t="s">
        <v>236</v>
      </c>
      <c r="BI221" s="140" t="s">
        <v>514</v>
      </c>
      <c r="BJ221" s="140">
        <v>2.0260000000000105</v>
      </c>
      <c r="BK221" s="140" t="s">
        <v>515</v>
      </c>
      <c r="BL221" s="140" t="s">
        <v>516</v>
      </c>
      <c r="BM221" s="140" t="s">
        <v>517</v>
      </c>
      <c r="BN221" s="140" t="s">
        <v>466</v>
      </c>
      <c r="BO221" s="207">
        <v>5</v>
      </c>
      <c r="BP221" s="210">
        <v>0.67</v>
      </c>
      <c r="BQ221" s="209">
        <v>14.35</v>
      </c>
      <c r="BR221" s="140" t="s">
        <v>518</v>
      </c>
      <c r="BS221" s="209">
        <v>0.67</v>
      </c>
      <c r="BT221" s="140">
        <v>1</v>
      </c>
      <c r="BU221" s="140" t="s">
        <v>197</v>
      </c>
      <c r="BV221" s="140" t="s">
        <v>166</v>
      </c>
      <c r="BW221" s="140">
        <v>0</v>
      </c>
      <c r="BX221" s="140" t="s">
        <v>197</v>
      </c>
      <c r="BY221" s="140" t="s">
        <v>166</v>
      </c>
      <c r="BZ221" s="140" t="s">
        <v>197</v>
      </c>
      <c r="CA221" s="140" t="s">
        <v>166</v>
      </c>
      <c r="CB221" s="210">
        <f t="shared" si="165"/>
        <v>14.35</v>
      </c>
      <c r="CC221" s="140" t="s">
        <v>196</v>
      </c>
      <c r="CD221" s="140">
        <f t="shared" si="166"/>
        <v>0.67</v>
      </c>
      <c r="CE221" s="140" t="s">
        <v>199</v>
      </c>
      <c r="CF221" s="140" t="s">
        <v>166</v>
      </c>
      <c r="CG221" s="140" t="s">
        <v>474</v>
      </c>
      <c r="CH221" s="140" t="s">
        <v>166</v>
      </c>
      <c r="CI221" s="140" t="s">
        <v>166</v>
      </c>
      <c r="CJ221" s="247">
        <v>36.254750788031075</v>
      </c>
      <c r="CK221" s="140" t="s">
        <v>201</v>
      </c>
      <c r="CL221" s="140">
        <v>2</v>
      </c>
      <c r="CM221" s="140">
        <v>2</v>
      </c>
      <c r="CN221" s="140" t="s">
        <v>166</v>
      </c>
      <c r="CO221" s="209">
        <v>4.1978949999999999</v>
      </c>
      <c r="CP221" s="140" t="s">
        <v>519</v>
      </c>
      <c r="CQ221" s="270">
        <v>0.12593684999999999</v>
      </c>
      <c r="CR221" s="270">
        <v>0.12593684999999999</v>
      </c>
      <c r="CS221" s="249" t="s">
        <v>202</v>
      </c>
      <c r="CT221" s="140" t="s">
        <v>203</v>
      </c>
      <c r="CU221" s="140">
        <v>2.2000000000000002</v>
      </c>
      <c r="CV221" s="140" t="s">
        <v>204</v>
      </c>
      <c r="CW221" s="140" t="s">
        <v>166</v>
      </c>
      <c r="CX221" s="140" t="s">
        <v>166</v>
      </c>
      <c r="CY221" s="140" t="s">
        <v>166</v>
      </c>
      <c r="CZ221" s="140" t="s">
        <v>166</v>
      </c>
      <c r="DA221" s="271" t="s">
        <v>166</v>
      </c>
      <c r="DB221" s="140" t="s">
        <v>166</v>
      </c>
      <c r="DC221" s="140" t="s">
        <v>166</v>
      </c>
      <c r="DD221" s="140" t="s">
        <v>166</v>
      </c>
      <c r="DE221" s="140" t="s">
        <v>166</v>
      </c>
      <c r="DF221" s="140" t="s">
        <v>520</v>
      </c>
      <c r="DG221" s="140">
        <v>35</v>
      </c>
      <c r="DH221" s="140" t="s">
        <v>201</v>
      </c>
      <c r="DI221" s="140">
        <v>1</v>
      </c>
      <c r="DJ221" s="140" t="s">
        <v>206</v>
      </c>
      <c r="DK221" s="140">
        <v>17</v>
      </c>
      <c r="DL221" s="140" t="s">
        <v>166</v>
      </c>
      <c r="DM221" s="140" t="s">
        <v>166</v>
      </c>
      <c r="DN221" s="140" t="s">
        <v>207</v>
      </c>
      <c r="DO221" s="140">
        <v>38</v>
      </c>
      <c r="DP221" s="140" t="s">
        <v>208</v>
      </c>
      <c r="DQ221" s="140">
        <v>3</v>
      </c>
      <c r="DR221" s="140" t="s">
        <v>209</v>
      </c>
      <c r="DS221" s="140" t="s">
        <v>166</v>
      </c>
      <c r="DT221" s="140" t="s">
        <v>166</v>
      </c>
      <c r="DU221" s="140" t="s">
        <v>166</v>
      </c>
      <c r="DV221" s="140" t="s">
        <v>166</v>
      </c>
      <c r="DW221" s="140">
        <v>432.6</v>
      </c>
      <c r="DX221" s="140" t="s">
        <v>166</v>
      </c>
      <c r="DY221" s="140" t="s">
        <v>166</v>
      </c>
      <c r="DZ221" s="140" t="s">
        <v>210</v>
      </c>
      <c r="EA221" s="140" t="s">
        <v>211</v>
      </c>
      <c r="EB221" s="140" t="s">
        <v>212</v>
      </c>
      <c r="EC221" s="140" t="s">
        <v>166</v>
      </c>
      <c r="ED221" s="140" t="s">
        <v>213</v>
      </c>
      <c r="EE221" s="213" t="s">
        <v>214</v>
      </c>
      <c r="EF221" s="213" t="s">
        <v>214</v>
      </c>
      <c r="EG221" s="140">
        <v>1.0271999999999999</v>
      </c>
      <c r="EH221" s="140" t="s">
        <v>215</v>
      </c>
      <c r="EI221" s="140" t="s">
        <v>215</v>
      </c>
      <c r="EJ221" s="140" t="s">
        <v>216</v>
      </c>
      <c r="EK221" s="140" t="s">
        <v>215</v>
      </c>
      <c r="EL221" s="140" t="s">
        <v>215</v>
      </c>
      <c r="EM221" s="140" t="s">
        <v>217</v>
      </c>
      <c r="EN221" s="214" t="s">
        <v>214</v>
      </c>
      <c r="EO221" s="214" t="s">
        <v>214</v>
      </c>
      <c r="EP221" s="214" t="s">
        <v>214</v>
      </c>
      <c r="EQ221" s="214" t="s">
        <v>214</v>
      </c>
      <c r="ET221" s="140" t="s">
        <v>218</v>
      </c>
      <c r="EU221" s="140" t="s">
        <v>219</v>
      </c>
      <c r="EV221" s="140" t="s">
        <v>213</v>
      </c>
      <c r="EW221" s="140" t="s">
        <v>166</v>
      </c>
      <c r="EX221" s="140" t="s">
        <v>166</v>
      </c>
      <c r="EY221" s="140" t="s">
        <v>166</v>
      </c>
      <c r="EZ221" s="140" t="s">
        <v>166</v>
      </c>
      <c r="FA221" s="205">
        <v>4.5</v>
      </c>
      <c r="FB221" s="140" t="s">
        <v>220</v>
      </c>
      <c r="FC221" s="205">
        <v>1</v>
      </c>
      <c r="FD221" s="205">
        <v>1</v>
      </c>
      <c r="FE221" s="215">
        <v>7.6234040862378496</v>
      </c>
      <c r="FF221" s="140" t="s">
        <v>221</v>
      </c>
      <c r="FG221" s="215">
        <v>7.7130256760590044E-2</v>
      </c>
      <c r="FH221" s="215">
        <v>9.2494009179419301E-2</v>
      </c>
      <c r="FI221" s="266">
        <v>1002.1904564469901</v>
      </c>
      <c r="FK221" s="140" t="s">
        <v>166</v>
      </c>
      <c r="FL221" s="217">
        <f t="shared" si="222"/>
        <v>1002.1904564469901</v>
      </c>
      <c r="FM221" s="266">
        <v>550.17822845680007</v>
      </c>
      <c r="FN221" s="266">
        <v>343.59212966174709</v>
      </c>
      <c r="FO221" s="140" t="s">
        <v>222</v>
      </c>
      <c r="FP221" s="140" t="s">
        <v>223</v>
      </c>
      <c r="FQ221" s="217" t="s">
        <v>166</v>
      </c>
      <c r="FR221" s="217" t="s">
        <v>166</v>
      </c>
      <c r="FS221" s="217" t="s">
        <v>166</v>
      </c>
      <c r="FT221" s="217" t="s">
        <v>166</v>
      </c>
      <c r="FU221" s="217" t="s">
        <v>166</v>
      </c>
      <c r="FV221" s="217" t="s">
        <v>166</v>
      </c>
      <c r="FW221" s="217" t="s">
        <v>166</v>
      </c>
      <c r="FX221" s="217" t="s">
        <v>166</v>
      </c>
      <c r="FY221" s="217" t="s">
        <v>166</v>
      </c>
      <c r="FZ221" s="217" t="s">
        <v>166</v>
      </c>
      <c r="GA221" s="217" t="s">
        <v>166</v>
      </c>
      <c r="GB221" s="217" t="s">
        <v>166</v>
      </c>
      <c r="GC221" s="202" t="s">
        <v>521</v>
      </c>
    </row>
    <row r="222" spans="1:185" s="140" customFormat="1" ht="17">
      <c r="A222" s="140" t="s">
        <v>162</v>
      </c>
      <c r="B222" s="143" t="s">
        <v>163</v>
      </c>
      <c r="C222" s="140" t="s">
        <v>164</v>
      </c>
      <c r="D222" s="140" t="s">
        <v>165</v>
      </c>
      <c r="E222" s="140">
        <v>2020</v>
      </c>
      <c r="F222" s="140" t="s">
        <v>184</v>
      </c>
      <c r="G222" s="240">
        <v>53986.576000000001</v>
      </c>
      <c r="H222" s="241">
        <f t="shared" ref="H222" si="229">0.0083*G222^(0.9482)</f>
        <v>254.818803865132</v>
      </c>
      <c r="I222" s="241">
        <f t="shared" si="171"/>
        <v>254.818803865132</v>
      </c>
      <c r="J222" s="266">
        <v>1089.96428720464</v>
      </c>
      <c r="K222" s="266">
        <v>415.60584103128008</v>
      </c>
      <c r="L222" s="266">
        <v>313.17288235883495</v>
      </c>
      <c r="M222" s="140" t="b">
        <v>1</v>
      </c>
      <c r="N222" s="140">
        <v>1</v>
      </c>
      <c r="O222" s="302" t="s">
        <v>581</v>
      </c>
      <c r="P222" s="140" t="s">
        <v>166</v>
      </c>
      <c r="Q222" s="140" t="s">
        <v>166</v>
      </c>
      <c r="R222" s="140" t="s">
        <v>166</v>
      </c>
      <c r="S222" s="140" t="b">
        <v>1</v>
      </c>
      <c r="T222" s="140" t="b">
        <v>0</v>
      </c>
      <c r="U222" s="140" t="s">
        <v>166</v>
      </c>
      <c r="V222" s="140" t="b">
        <v>0</v>
      </c>
      <c r="W222" s="140" t="b">
        <v>0</v>
      </c>
      <c r="X222" s="140" t="s">
        <v>580</v>
      </c>
      <c r="Y222" s="202" t="s">
        <v>186</v>
      </c>
      <c r="Z222" s="140" t="s">
        <v>184</v>
      </c>
      <c r="AA222" s="267">
        <v>1265</v>
      </c>
      <c r="AB222" s="207" t="s">
        <v>187</v>
      </c>
      <c r="AC222" s="207">
        <v>26</v>
      </c>
      <c r="AD222" s="207">
        <v>2</v>
      </c>
      <c r="AE222" s="207">
        <v>83</v>
      </c>
      <c r="AF222" s="207">
        <v>88</v>
      </c>
      <c r="AG222" s="140">
        <v>239.85499999999999</v>
      </c>
      <c r="AH222" s="140">
        <v>276.20499999999998</v>
      </c>
      <c r="AI222" s="140" t="s">
        <v>522</v>
      </c>
      <c r="AJ222" s="140" t="s">
        <v>523</v>
      </c>
      <c r="AK222" s="210">
        <v>-28.835000000000001</v>
      </c>
      <c r="AL222" s="210">
        <v>2.639167</v>
      </c>
      <c r="AM222" s="140">
        <v>-42</v>
      </c>
      <c r="AN222" s="140" t="s">
        <v>166</v>
      </c>
      <c r="AO222" s="140">
        <v>-3083</v>
      </c>
      <c r="AP222" s="140">
        <v>-1850</v>
      </c>
      <c r="AQ222" s="140" t="s">
        <v>524</v>
      </c>
      <c r="AR222" s="140" t="s">
        <v>511</v>
      </c>
      <c r="AS222" s="240">
        <v>53.986575999999999</v>
      </c>
      <c r="AT222" s="140" t="s">
        <v>166</v>
      </c>
      <c r="AU222" s="140" t="s">
        <v>166</v>
      </c>
      <c r="AV222" s="140" t="s">
        <v>166</v>
      </c>
      <c r="AW222" s="140" t="s">
        <v>255</v>
      </c>
      <c r="AX222" s="140" t="s">
        <v>512</v>
      </c>
      <c r="AY222" s="140" t="s">
        <v>190</v>
      </c>
      <c r="AZ222" s="140" t="s">
        <v>166</v>
      </c>
      <c r="BA222" s="140" t="s">
        <v>166</v>
      </c>
      <c r="BB222" s="140" t="s">
        <v>166</v>
      </c>
      <c r="BC222" s="140" t="s">
        <v>166</v>
      </c>
      <c r="BD222" s="140" t="s">
        <v>166</v>
      </c>
      <c r="BE222" s="140" t="s">
        <v>166</v>
      </c>
      <c r="BF222" s="140" t="s">
        <v>166</v>
      </c>
      <c r="BG222" s="269" t="s">
        <v>513</v>
      </c>
      <c r="BH222" s="207" t="s">
        <v>236</v>
      </c>
      <c r="BI222" s="140" t="s">
        <v>514</v>
      </c>
      <c r="BJ222" s="140">
        <v>1.1959999999999695</v>
      </c>
      <c r="BK222" s="140" t="s">
        <v>515</v>
      </c>
      <c r="BL222" s="140" t="s">
        <v>516</v>
      </c>
      <c r="BM222" s="140" t="s">
        <v>517</v>
      </c>
      <c r="BN222" s="140" t="s">
        <v>466</v>
      </c>
      <c r="BO222" s="207">
        <v>5</v>
      </c>
      <c r="BP222" s="210">
        <v>0.41</v>
      </c>
      <c r="BQ222" s="209">
        <v>14.25</v>
      </c>
      <c r="BR222" s="140" t="s">
        <v>518</v>
      </c>
      <c r="BS222" s="209">
        <v>0.41</v>
      </c>
      <c r="BT222" s="140">
        <v>1</v>
      </c>
      <c r="BU222" s="140" t="s">
        <v>197</v>
      </c>
      <c r="BV222" s="140" t="s">
        <v>166</v>
      </c>
      <c r="BW222" s="140">
        <v>0</v>
      </c>
      <c r="BX222" s="140" t="s">
        <v>197</v>
      </c>
      <c r="BY222" s="140" t="s">
        <v>166</v>
      </c>
      <c r="BZ222" s="140" t="s">
        <v>197</v>
      </c>
      <c r="CA222" s="140" t="s">
        <v>166</v>
      </c>
      <c r="CB222" s="210">
        <f t="shared" si="165"/>
        <v>14.25</v>
      </c>
      <c r="CC222" s="140" t="s">
        <v>196</v>
      </c>
      <c r="CD222" s="140">
        <f t="shared" si="166"/>
        <v>0.41</v>
      </c>
      <c r="CE222" s="140" t="s">
        <v>199</v>
      </c>
      <c r="CF222" s="140" t="s">
        <v>166</v>
      </c>
      <c r="CG222" s="140" t="s">
        <v>474</v>
      </c>
      <c r="CH222" s="140" t="s">
        <v>166</v>
      </c>
      <c r="CI222" s="140" t="s">
        <v>166</v>
      </c>
      <c r="CJ222" s="247">
        <v>35.829273095744099</v>
      </c>
      <c r="CK222" s="140" t="s">
        <v>201</v>
      </c>
      <c r="CL222" s="140">
        <v>2</v>
      </c>
      <c r="CM222" s="140">
        <v>2</v>
      </c>
      <c r="CN222" s="140" t="s">
        <v>166</v>
      </c>
      <c r="CO222" s="207" t="s">
        <v>527</v>
      </c>
      <c r="CP222" s="140" t="s">
        <v>519</v>
      </c>
      <c r="CQ222" s="270">
        <v>0.12299999999999998</v>
      </c>
      <c r="CR222" s="270">
        <v>0.12299999999999998</v>
      </c>
      <c r="CS222" s="249" t="s">
        <v>202</v>
      </c>
      <c r="CT222" s="140" t="s">
        <v>203</v>
      </c>
      <c r="CU222" s="140">
        <v>2.2000000000000002</v>
      </c>
      <c r="CV222" s="140" t="s">
        <v>204</v>
      </c>
      <c r="CW222" s="140" t="s">
        <v>166</v>
      </c>
      <c r="CX222" s="140" t="s">
        <v>166</v>
      </c>
      <c r="CY222" s="140" t="s">
        <v>166</v>
      </c>
      <c r="CZ222" s="140" t="s">
        <v>166</v>
      </c>
      <c r="DA222" s="209" t="s">
        <v>166</v>
      </c>
      <c r="DB222" s="140" t="s">
        <v>166</v>
      </c>
      <c r="DC222" s="140" t="s">
        <v>166</v>
      </c>
      <c r="DD222" s="140" t="s">
        <v>166</v>
      </c>
      <c r="DE222" s="140" t="s">
        <v>166</v>
      </c>
      <c r="DF222" s="140" t="s">
        <v>520</v>
      </c>
      <c r="DG222" s="250">
        <v>35</v>
      </c>
      <c r="DH222" s="250" t="s">
        <v>201</v>
      </c>
      <c r="DI222" s="140">
        <v>1</v>
      </c>
      <c r="DJ222" s="250" t="s">
        <v>206</v>
      </c>
      <c r="DK222" s="250">
        <v>17</v>
      </c>
      <c r="DL222" s="140" t="s">
        <v>166</v>
      </c>
      <c r="DM222" s="140" t="s">
        <v>166</v>
      </c>
      <c r="DN222" s="250" t="s">
        <v>207</v>
      </c>
      <c r="DO222" s="250">
        <v>38</v>
      </c>
      <c r="DP222" s="250" t="s">
        <v>208</v>
      </c>
      <c r="DQ222" s="250">
        <v>3</v>
      </c>
      <c r="DR222" s="250" t="s">
        <v>209</v>
      </c>
      <c r="DS222" s="140" t="s">
        <v>166</v>
      </c>
      <c r="DT222" s="140" t="s">
        <v>166</v>
      </c>
      <c r="DU222" s="140" t="s">
        <v>166</v>
      </c>
      <c r="DV222" s="140" t="s">
        <v>166</v>
      </c>
      <c r="DW222" s="250">
        <v>432.6</v>
      </c>
      <c r="DX222" s="140" t="s">
        <v>166</v>
      </c>
      <c r="DY222" s="140" t="s">
        <v>166</v>
      </c>
      <c r="DZ222" s="140" t="s">
        <v>210</v>
      </c>
      <c r="EA222" s="140" t="s">
        <v>211</v>
      </c>
      <c r="EB222" s="140" t="s">
        <v>212</v>
      </c>
      <c r="EC222" s="140" t="s">
        <v>166</v>
      </c>
      <c r="ED222" s="140" t="s">
        <v>213</v>
      </c>
      <c r="EE222" s="213" t="s">
        <v>214</v>
      </c>
      <c r="EF222" s="213" t="s">
        <v>214</v>
      </c>
      <c r="EG222" s="250">
        <v>1.0271999999999999</v>
      </c>
      <c r="EH222" s="250" t="s">
        <v>215</v>
      </c>
      <c r="EI222" s="250" t="s">
        <v>215</v>
      </c>
      <c r="EJ222" s="250" t="s">
        <v>216</v>
      </c>
      <c r="EK222" s="250" t="s">
        <v>215</v>
      </c>
      <c r="EL222" s="250" t="s">
        <v>215</v>
      </c>
      <c r="EM222" s="250" t="s">
        <v>217</v>
      </c>
      <c r="EN222" s="251" t="s">
        <v>214</v>
      </c>
      <c r="EO222" s="251" t="s">
        <v>214</v>
      </c>
      <c r="EP222" s="251" t="s">
        <v>214</v>
      </c>
      <c r="EQ222" s="251" t="s">
        <v>214</v>
      </c>
      <c r="ER222" s="250"/>
      <c r="ES222" s="250"/>
      <c r="ET222" s="140" t="s">
        <v>218</v>
      </c>
      <c r="EU222" s="250" t="s">
        <v>219</v>
      </c>
      <c r="EV222" s="250" t="s">
        <v>213</v>
      </c>
      <c r="EW222" s="140" t="s">
        <v>166</v>
      </c>
      <c r="EX222" s="140" t="s">
        <v>166</v>
      </c>
      <c r="EY222" s="140" t="s">
        <v>166</v>
      </c>
      <c r="EZ222" s="140" t="s">
        <v>166</v>
      </c>
      <c r="FA222" s="205">
        <v>4.5</v>
      </c>
      <c r="FB222" s="140" t="s">
        <v>220</v>
      </c>
      <c r="FC222" s="205">
        <v>1</v>
      </c>
      <c r="FD222" s="205">
        <v>1</v>
      </c>
      <c r="FE222" s="215">
        <v>7.6096065851089199</v>
      </c>
      <c r="FF222" s="140" t="s">
        <v>221</v>
      </c>
      <c r="FG222" s="215">
        <v>5.7118823865110357E-2</v>
      </c>
      <c r="FH222" s="215">
        <v>6.2072095102929659E-2</v>
      </c>
      <c r="FI222" s="266">
        <v>1089.96428720464</v>
      </c>
      <c r="FK222" s="140" t="s">
        <v>166</v>
      </c>
      <c r="FL222" s="217">
        <f t="shared" si="222"/>
        <v>1089.96428720464</v>
      </c>
      <c r="FM222" s="266">
        <v>415.60584103128008</v>
      </c>
      <c r="FN222" s="266">
        <v>313.17288235883495</v>
      </c>
      <c r="FO222" s="140" t="s">
        <v>222</v>
      </c>
      <c r="FP222" s="140" t="s">
        <v>223</v>
      </c>
      <c r="FQ222" s="217" t="s">
        <v>166</v>
      </c>
      <c r="FR222" s="217" t="s">
        <v>166</v>
      </c>
      <c r="FS222" s="217" t="s">
        <v>166</v>
      </c>
      <c r="FT222" s="217" t="s">
        <v>166</v>
      </c>
      <c r="FU222" s="217" t="s">
        <v>166</v>
      </c>
      <c r="FV222" s="217" t="s">
        <v>166</v>
      </c>
      <c r="FW222" s="217" t="s">
        <v>166</v>
      </c>
      <c r="FX222" s="217" t="s">
        <v>166</v>
      </c>
      <c r="FY222" s="217" t="s">
        <v>166</v>
      </c>
      <c r="FZ222" s="217" t="s">
        <v>166</v>
      </c>
      <c r="GA222" s="217" t="s">
        <v>166</v>
      </c>
      <c r="GB222" s="217" t="s">
        <v>166</v>
      </c>
      <c r="GC222" s="202" t="s">
        <v>521</v>
      </c>
    </row>
    <row r="223" spans="1:185" s="140" customFormat="1" ht="17">
      <c r="A223" s="140" t="s">
        <v>162</v>
      </c>
      <c r="B223" s="143" t="s">
        <v>163</v>
      </c>
      <c r="C223" s="140" t="s">
        <v>164</v>
      </c>
      <c r="D223" s="140" t="s">
        <v>165</v>
      </c>
      <c r="E223" s="140">
        <v>2020</v>
      </c>
      <c r="F223" s="140" t="s">
        <v>184</v>
      </c>
      <c r="G223" s="240">
        <v>54017.394</v>
      </c>
      <c r="H223" s="241">
        <f t="shared" ref="H223" si="230">0.0083*G223^(0.9482)</f>
        <v>254.95672908051176</v>
      </c>
      <c r="I223" s="241">
        <f t="shared" si="171"/>
        <v>254.95672908051176</v>
      </c>
      <c r="J223" s="266">
        <v>1305.17473549897</v>
      </c>
      <c r="K223" s="266">
        <v>473.52132427876995</v>
      </c>
      <c r="L223" s="266">
        <v>345.65862416189395</v>
      </c>
      <c r="M223" s="140" t="b">
        <v>1</v>
      </c>
      <c r="N223" s="140">
        <v>1</v>
      </c>
      <c r="O223" s="302" t="s">
        <v>581</v>
      </c>
      <c r="P223" s="140" t="s">
        <v>166</v>
      </c>
      <c r="Q223" s="140" t="s">
        <v>166</v>
      </c>
      <c r="R223" s="140" t="s">
        <v>166</v>
      </c>
      <c r="S223" s="140" t="b">
        <v>1</v>
      </c>
      <c r="T223" s="140" t="b">
        <v>0</v>
      </c>
      <c r="U223" s="140" t="s">
        <v>166</v>
      </c>
      <c r="V223" s="140" t="b">
        <v>0</v>
      </c>
      <c r="W223" s="140" t="b">
        <v>0</v>
      </c>
      <c r="X223" s="140" t="s">
        <v>580</v>
      </c>
      <c r="Y223" s="202" t="s">
        <v>186</v>
      </c>
      <c r="Z223" s="140" t="s">
        <v>184</v>
      </c>
      <c r="AA223" s="267">
        <v>1265</v>
      </c>
      <c r="AB223" s="207" t="s">
        <v>187</v>
      </c>
      <c r="AC223" s="207">
        <v>26</v>
      </c>
      <c r="AD223" s="207">
        <v>2</v>
      </c>
      <c r="AE223" s="207">
        <v>142</v>
      </c>
      <c r="AF223" s="207">
        <v>143</v>
      </c>
      <c r="AG223" s="140">
        <v>240.42499999999899</v>
      </c>
      <c r="AH223" s="140">
        <v>276.77499999999901</v>
      </c>
      <c r="AI223" s="140" t="s">
        <v>522</v>
      </c>
      <c r="AJ223" s="140" t="s">
        <v>523</v>
      </c>
      <c r="AK223" s="210">
        <v>-28.835000000000001</v>
      </c>
      <c r="AL223" s="210">
        <v>2.639167</v>
      </c>
      <c r="AM223" s="140">
        <v>-42</v>
      </c>
      <c r="AN223" s="140" t="s">
        <v>166</v>
      </c>
      <c r="AO223" s="140">
        <v>-3083</v>
      </c>
      <c r="AP223" s="140">
        <v>-1850</v>
      </c>
      <c r="AQ223" s="140" t="s">
        <v>524</v>
      </c>
      <c r="AR223" s="140" t="s">
        <v>511</v>
      </c>
      <c r="AS223" s="240">
        <v>54.017394000000003</v>
      </c>
      <c r="AT223" s="140" t="s">
        <v>166</v>
      </c>
      <c r="AU223" s="140" t="s">
        <v>166</v>
      </c>
      <c r="AV223" s="140" t="s">
        <v>166</v>
      </c>
      <c r="AW223" s="140" t="s">
        <v>255</v>
      </c>
      <c r="AX223" s="140" t="s">
        <v>512</v>
      </c>
      <c r="AY223" s="140" t="s">
        <v>190</v>
      </c>
      <c r="AZ223" s="140" t="s">
        <v>166</v>
      </c>
      <c r="BA223" s="140" t="s">
        <v>166</v>
      </c>
      <c r="BB223" s="140" t="s">
        <v>166</v>
      </c>
      <c r="BC223" s="140" t="s">
        <v>166</v>
      </c>
      <c r="BD223" s="140" t="s">
        <v>166</v>
      </c>
      <c r="BE223" s="140" t="s">
        <v>166</v>
      </c>
      <c r="BF223" s="140" t="s">
        <v>166</v>
      </c>
      <c r="BG223" s="269" t="s">
        <v>513</v>
      </c>
      <c r="BH223" s="207" t="s">
        <v>236</v>
      </c>
      <c r="BI223" s="140" t="s">
        <v>514</v>
      </c>
      <c r="BJ223" s="140">
        <v>1.7030000000000314</v>
      </c>
      <c r="BK223" s="140" t="s">
        <v>515</v>
      </c>
      <c r="BL223" s="140" t="s">
        <v>516</v>
      </c>
      <c r="BM223" s="140" t="s">
        <v>517</v>
      </c>
      <c r="BN223" s="140" t="s">
        <v>466</v>
      </c>
      <c r="BO223" s="207">
        <v>8</v>
      </c>
      <c r="BP223" s="210">
        <v>0.34</v>
      </c>
      <c r="BQ223" s="209">
        <v>14</v>
      </c>
      <c r="BR223" s="140" t="s">
        <v>518</v>
      </c>
      <c r="BS223" s="209">
        <v>0.34</v>
      </c>
      <c r="BT223" s="140">
        <v>1</v>
      </c>
      <c r="BU223" s="140" t="s">
        <v>197</v>
      </c>
      <c r="BV223" s="140" t="s">
        <v>166</v>
      </c>
      <c r="BW223" s="140">
        <v>0</v>
      </c>
      <c r="BX223" s="140" t="s">
        <v>197</v>
      </c>
      <c r="BY223" s="140" t="s">
        <v>166</v>
      </c>
      <c r="BZ223" s="140" t="s">
        <v>197</v>
      </c>
      <c r="CA223" s="140" t="s">
        <v>166</v>
      </c>
      <c r="CB223" s="210">
        <f t="shared" si="165"/>
        <v>14</v>
      </c>
      <c r="CC223" s="140" t="s">
        <v>196</v>
      </c>
      <c r="CD223" s="140">
        <f t="shared" si="166"/>
        <v>0.34</v>
      </c>
      <c r="CE223" s="140" t="s">
        <v>199</v>
      </c>
      <c r="CF223" s="140" t="s">
        <v>166</v>
      </c>
      <c r="CG223" s="140" t="s">
        <v>474</v>
      </c>
      <c r="CH223" s="140" t="s">
        <v>166</v>
      </c>
      <c r="CI223" s="140" t="s">
        <v>166</v>
      </c>
      <c r="CJ223" s="247">
        <v>36.285266542215105</v>
      </c>
      <c r="CK223" s="140" t="s">
        <v>201</v>
      </c>
      <c r="CL223" s="140">
        <v>2</v>
      </c>
      <c r="CM223" s="140">
        <v>2</v>
      </c>
      <c r="CN223" s="140" t="s">
        <v>166</v>
      </c>
      <c r="CO223" s="207" t="s">
        <v>528</v>
      </c>
      <c r="CP223" s="140" t="s">
        <v>519</v>
      </c>
      <c r="CQ223" s="270">
        <v>0.1263</v>
      </c>
      <c r="CR223" s="270">
        <v>0.1263</v>
      </c>
      <c r="CS223" s="249" t="s">
        <v>202</v>
      </c>
      <c r="CT223" s="140" t="s">
        <v>203</v>
      </c>
      <c r="CU223" s="140">
        <v>2.2000000000000002</v>
      </c>
      <c r="CV223" s="140" t="s">
        <v>204</v>
      </c>
      <c r="CW223" s="140" t="s">
        <v>166</v>
      </c>
      <c r="CX223" s="140" t="s">
        <v>166</v>
      </c>
      <c r="CY223" s="140" t="s">
        <v>166</v>
      </c>
      <c r="CZ223" s="140" t="s">
        <v>166</v>
      </c>
      <c r="DA223" s="209" t="s">
        <v>166</v>
      </c>
      <c r="DB223" s="140" t="s">
        <v>166</v>
      </c>
      <c r="DC223" s="140" t="s">
        <v>166</v>
      </c>
      <c r="DD223" s="140" t="s">
        <v>166</v>
      </c>
      <c r="DE223" s="140" t="s">
        <v>166</v>
      </c>
      <c r="DF223" s="140" t="s">
        <v>520</v>
      </c>
      <c r="DG223" s="250">
        <v>35</v>
      </c>
      <c r="DH223" s="250" t="s">
        <v>201</v>
      </c>
      <c r="DI223" s="140">
        <v>1</v>
      </c>
      <c r="DJ223" s="250" t="s">
        <v>206</v>
      </c>
      <c r="DK223" s="250">
        <v>17</v>
      </c>
      <c r="DL223" s="140" t="s">
        <v>166</v>
      </c>
      <c r="DM223" s="140" t="s">
        <v>166</v>
      </c>
      <c r="DN223" s="250" t="s">
        <v>207</v>
      </c>
      <c r="DO223" s="250">
        <v>38</v>
      </c>
      <c r="DP223" s="250" t="s">
        <v>208</v>
      </c>
      <c r="DQ223" s="250">
        <v>3</v>
      </c>
      <c r="DR223" s="250" t="s">
        <v>209</v>
      </c>
      <c r="DS223" s="140" t="s">
        <v>166</v>
      </c>
      <c r="DT223" s="140" t="s">
        <v>166</v>
      </c>
      <c r="DU223" s="140" t="s">
        <v>166</v>
      </c>
      <c r="DV223" s="140" t="s">
        <v>166</v>
      </c>
      <c r="DW223" s="250">
        <v>432.6</v>
      </c>
      <c r="DX223" s="140" t="s">
        <v>166</v>
      </c>
      <c r="DY223" s="140" t="s">
        <v>166</v>
      </c>
      <c r="DZ223" s="140" t="s">
        <v>210</v>
      </c>
      <c r="EA223" s="140" t="s">
        <v>211</v>
      </c>
      <c r="EB223" s="140" t="s">
        <v>212</v>
      </c>
      <c r="EC223" s="140" t="s">
        <v>166</v>
      </c>
      <c r="ED223" s="140" t="s">
        <v>213</v>
      </c>
      <c r="EE223" s="233" t="s">
        <v>214</v>
      </c>
      <c r="EF223" s="233" t="s">
        <v>214</v>
      </c>
      <c r="EG223" s="250">
        <v>1.0271999999999999</v>
      </c>
      <c r="EH223" s="250" t="s">
        <v>215</v>
      </c>
      <c r="EI223" s="250" t="s">
        <v>215</v>
      </c>
      <c r="EJ223" s="250" t="s">
        <v>216</v>
      </c>
      <c r="EK223" s="250" t="s">
        <v>215</v>
      </c>
      <c r="EL223" s="250" t="s">
        <v>215</v>
      </c>
      <c r="EM223" s="250" t="s">
        <v>217</v>
      </c>
      <c r="EN223" s="264" t="s">
        <v>214</v>
      </c>
      <c r="EO223" s="264" t="s">
        <v>214</v>
      </c>
      <c r="EP223" s="264" t="s">
        <v>214</v>
      </c>
      <c r="EQ223" s="264" t="s">
        <v>214</v>
      </c>
      <c r="ER223" s="250"/>
      <c r="ES223" s="250"/>
      <c r="ET223" s="140" t="s">
        <v>218</v>
      </c>
      <c r="EU223" s="250" t="s">
        <v>219</v>
      </c>
      <c r="EV223" s="250" t="s">
        <v>213</v>
      </c>
      <c r="EW223" s="140" t="s">
        <v>166</v>
      </c>
      <c r="EX223" s="140" t="s">
        <v>166</v>
      </c>
      <c r="EY223" s="140" t="s">
        <v>166</v>
      </c>
      <c r="EZ223" s="140" t="s">
        <v>166</v>
      </c>
      <c r="FA223" s="205">
        <v>4.5</v>
      </c>
      <c r="FB223" s="140" t="s">
        <v>220</v>
      </c>
      <c r="FC223" s="205">
        <v>1</v>
      </c>
      <c r="FD223" s="205">
        <v>1</v>
      </c>
      <c r="FE223" s="215">
        <v>7.5677440096473498</v>
      </c>
      <c r="FF223" s="140" t="s">
        <v>221</v>
      </c>
      <c r="FG223" s="215">
        <v>4.9701463367330057E-2</v>
      </c>
      <c r="FH223" s="215">
        <v>5.5794958890559521E-2</v>
      </c>
      <c r="FI223" s="266">
        <v>1305.17473549897</v>
      </c>
      <c r="FK223" s="140" t="s">
        <v>166</v>
      </c>
      <c r="FL223" s="217">
        <f t="shared" si="222"/>
        <v>1305.17473549897</v>
      </c>
      <c r="FM223" s="266">
        <v>473.52132427876995</v>
      </c>
      <c r="FN223" s="266">
        <v>345.65862416189395</v>
      </c>
      <c r="FO223" s="140" t="s">
        <v>222</v>
      </c>
      <c r="FP223" s="140" t="s">
        <v>223</v>
      </c>
      <c r="FQ223" s="217" t="s">
        <v>166</v>
      </c>
      <c r="FR223" s="217" t="s">
        <v>166</v>
      </c>
      <c r="FS223" s="217" t="s">
        <v>166</v>
      </c>
      <c r="FT223" s="217" t="s">
        <v>166</v>
      </c>
      <c r="FU223" s="217" t="s">
        <v>166</v>
      </c>
      <c r="FV223" s="217" t="s">
        <v>166</v>
      </c>
      <c r="FW223" s="217" t="s">
        <v>166</v>
      </c>
      <c r="FX223" s="217" t="s">
        <v>166</v>
      </c>
      <c r="FY223" s="217" t="s">
        <v>166</v>
      </c>
      <c r="FZ223" s="217" t="s">
        <v>166</v>
      </c>
      <c r="GA223" s="217" t="s">
        <v>166</v>
      </c>
      <c r="GB223" s="217" t="s">
        <v>166</v>
      </c>
      <c r="GC223" s="202" t="s">
        <v>521</v>
      </c>
    </row>
    <row r="224" spans="1:185" s="140" customFormat="1" ht="17">
      <c r="A224" s="140" t="s">
        <v>162</v>
      </c>
      <c r="B224" s="143" t="s">
        <v>163</v>
      </c>
      <c r="C224" s="140" t="s">
        <v>164</v>
      </c>
      <c r="D224" s="140" t="s">
        <v>165</v>
      </c>
      <c r="E224" s="140">
        <v>2020</v>
      </c>
      <c r="F224" s="140" t="s">
        <v>184</v>
      </c>
      <c r="G224" s="240">
        <v>54026.845000000001</v>
      </c>
      <c r="H224" s="241">
        <f t="shared" ref="H224" si="231">0.0083*G224^(0.9482)</f>
        <v>254.99902598617993</v>
      </c>
      <c r="I224" s="241">
        <f t="shared" si="171"/>
        <v>254.99902598617993</v>
      </c>
      <c r="J224" s="266">
        <v>1498.2414597634199</v>
      </c>
      <c r="K224" s="266">
        <v>403.2980181013902</v>
      </c>
      <c r="L224" s="266">
        <v>345.19808990226988</v>
      </c>
      <c r="M224" s="140" t="b">
        <v>1</v>
      </c>
      <c r="N224" s="140">
        <v>1</v>
      </c>
      <c r="O224" s="302" t="s">
        <v>581</v>
      </c>
      <c r="P224" s="140" t="s">
        <v>166</v>
      </c>
      <c r="Q224" s="140" t="s">
        <v>166</v>
      </c>
      <c r="R224" s="140" t="s">
        <v>166</v>
      </c>
      <c r="S224" s="140" t="b">
        <v>1</v>
      </c>
      <c r="T224" s="140" t="b">
        <v>0</v>
      </c>
      <c r="U224" s="140" t="s">
        <v>166</v>
      </c>
      <c r="V224" s="140" t="b">
        <v>0</v>
      </c>
      <c r="W224" s="140" t="b">
        <v>0</v>
      </c>
      <c r="X224" s="140" t="s">
        <v>580</v>
      </c>
      <c r="Y224" s="202" t="s">
        <v>186</v>
      </c>
      <c r="Z224" s="140" t="s">
        <v>184</v>
      </c>
      <c r="AA224" s="267">
        <v>1265</v>
      </c>
      <c r="AB224" s="207" t="s">
        <v>187</v>
      </c>
      <c r="AC224" s="207">
        <v>26</v>
      </c>
      <c r="AD224" s="207">
        <v>3</v>
      </c>
      <c r="AE224" s="207">
        <v>12</v>
      </c>
      <c r="AF224" s="207">
        <v>13</v>
      </c>
      <c r="AG224" s="140">
        <v>240.62499999999901</v>
      </c>
      <c r="AH224" s="140">
        <v>276.974999999999</v>
      </c>
      <c r="AI224" s="140" t="s">
        <v>522</v>
      </c>
      <c r="AJ224" s="140" t="s">
        <v>523</v>
      </c>
      <c r="AK224" s="210">
        <v>-28.835000000000001</v>
      </c>
      <c r="AL224" s="210">
        <v>2.639167</v>
      </c>
      <c r="AM224" s="140">
        <v>-42</v>
      </c>
      <c r="AN224" s="140" t="s">
        <v>166</v>
      </c>
      <c r="AO224" s="140">
        <v>-3083</v>
      </c>
      <c r="AP224" s="140">
        <v>-1850</v>
      </c>
      <c r="AQ224" s="140" t="s">
        <v>524</v>
      </c>
      <c r="AR224" s="140" t="s">
        <v>511</v>
      </c>
      <c r="AS224" s="240">
        <v>54.026845000000002</v>
      </c>
      <c r="AT224" s="140" t="s">
        <v>166</v>
      </c>
      <c r="AU224" s="140" t="s">
        <v>166</v>
      </c>
      <c r="AV224" s="140" t="s">
        <v>166</v>
      </c>
      <c r="AW224" s="140" t="s">
        <v>255</v>
      </c>
      <c r="AX224" s="140" t="s">
        <v>512</v>
      </c>
      <c r="AY224" s="140" t="s">
        <v>190</v>
      </c>
      <c r="AZ224" s="140" t="s">
        <v>166</v>
      </c>
      <c r="BA224" s="140" t="s">
        <v>166</v>
      </c>
      <c r="BB224" s="140" t="s">
        <v>166</v>
      </c>
      <c r="BC224" s="140" t="s">
        <v>166</v>
      </c>
      <c r="BD224" s="140" t="s">
        <v>166</v>
      </c>
      <c r="BE224" s="140" t="s">
        <v>166</v>
      </c>
      <c r="BF224" s="140" t="s">
        <v>166</v>
      </c>
      <c r="BG224" s="269" t="s">
        <v>513</v>
      </c>
      <c r="BH224" s="207" t="s">
        <v>236</v>
      </c>
      <c r="BI224" s="140" t="s">
        <v>514</v>
      </c>
      <c r="BJ224" s="140">
        <v>2.9689999999999941</v>
      </c>
      <c r="BK224" s="140" t="s">
        <v>515</v>
      </c>
      <c r="BL224" s="140" t="s">
        <v>516</v>
      </c>
      <c r="BM224" s="140" t="s">
        <v>517</v>
      </c>
      <c r="BN224" s="140" t="s">
        <v>466</v>
      </c>
      <c r="BO224" s="207">
        <v>7</v>
      </c>
      <c r="BP224" s="210">
        <v>0.15</v>
      </c>
      <c r="BQ224" s="209">
        <v>13.82</v>
      </c>
      <c r="BR224" s="140" t="s">
        <v>518</v>
      </c>
      <c r="BS224" s="209">
        <v>0.22</v>
      </c>
      <c r="BT224" s="140">
        <v>1</v>
      </c>
      <c r="BU224" s="140" t="s">
        <v>197</v>
      </c>
      <c r="BV224" s="140" t="s">
        <v>166</v>
      </c>
      <c r="BW224" s="140">
        <v>0</v>
      </c>
      <c r="BX224" s="140" t="s">
        <v>197</v>
      </c>
      <c r="BY224" s="140" t="s">
        <v>166</v>
      </c>
      <c r="BZ224" s="140" t="s">
        <v>197</v>
      </c>
      <c r="CA224" s="140" t="s">
        <v>166</v>
      </c>
      <c r="CB224" s="210">
        <f t="shared" ref="CB224:CB271" si="232">BQ224</f>
        <v>13.82</v>
      </c>
      <c r="CC224" s="140" t="s">
        <v>196</v>
      </c>
      <c r="CD224" s="140">
        <f t="shared" ref="CD224:CD271" si="233">BS224</f>
        <v>0.22</v>
      </c>
      <c r="CE224" s="140" t="s">
        <v>199</v>
      </c>
      <c r="CF224" s="140" t="s">
        <v>166</v>
      </c>
      <c r="CG224" s="140" t="s">
        <v>474</v>
      </c>
      <c r="CH224" s="140" t="s">
        <v>166</v>
      </c>
      <c r="CI224" s="140" t="s">
        <v>166</v>
      </c>
      <c r="CJ224" s="247">
        <v>35.93254529525808</v>
      </c>
      <c r="CK224" s="140" t="s">
        <v>201</v>
      </c>
      <c r="CL224" s="140">
        <v>2</v>
      </c>
      <c r="CM224" s="140">
        <v>2</v>
      </c>
      <c r="CN224" s="140" t="s">
        <v>166</v>
      </c>
      <c r="CO224" s="209">
        <v>4.1223460000000003</v>
      </c>
      <c r="CP224" s="140" t="s">
        <v>519</v>
      </c>
      <c r="CQ224" s="270">
        <v>0.12367038000000001</v>
      </c>
      <c r="CR224" s="270">
        <v>0.12367038000000001</v>
      </c>
      <c r="CS224" s="249" t="s">
        <v>202</v>
      </c>
      <c r="CT224" s="140" t="s">
        <v>203</v>
      </c>
      <c r="CU224" s="140">
        <v>2.2000000000000002</v>
      </c>
      <c r="CV224" s="140" t="s">
        <v>204</v>
      </c>
      <c r="CW224" s="140" t="s">
        <v>166</v>
      </c>
      <c r="CX224" s="140" t="s">
        <v>166</v>
      </c>
      <c r="CY224" s="140" t="s">
        <v>166</v>
      </c>
      <c r="CZ224" s="140" t="s">
        <v>166</v>
      </c>
      <c r="DA224" s="271" t="s">
        <v>166</v>
      </c>
      <c r="DB224" s="140" t="s">
        <v>166</v>
      </c>
      <c r="DC224" s="140" t="s">
        <v>166</v>
      </c>
      <c r="DD224" s="140" t="s">
        <v>166</v>
      </c>
      <c r="DE224" s="140" t="s">
        <v>166</v>
      </c>
      <c r="DF224" s="140" t="s">
        <v>520</v>
      </c>
      <c r="DG224" s="140">
        <v>35</v>
      </c>
      <c r="DH224" s="140" t="s">
        <v>201</v>
      </c>
      <c r="DI224" s="140">
        <v>1</v>
      </c>
      <c r="DJ224" s="140" t="s">
        <v>206</v>
      </c>
      <c r="DK224" s="140">
        <v>17</v>
      </c>
      <c r="DL224" s="140" t="s">
        <v>166</v>
      </c>
      <c r="DM224" s="140" t="s">
        <v>166</v>
      </c>
      <c r="DN224" s="140" t="s">
        <v>207</v>
      </c>
      <c r="DO224" s="140">
        <v>38</v>
      </c>
      <c r="DP224" s="140" t="s">
        <v>208</v>
      </c>
      <c r="DQ224" s="140">
        <v>3</v>
      </c>
      <c r="DR224" s="140" t="s">
        <v>209</v>
      </c>
      <c r="DS224" s="140" t="s">
        <v>166</v>
      </c>
      <c r="DT224" s="140" t="s">
        <v>166</v>
      </c>
      <c r="DU224" s="140" t="s">
        <v>166</v>
      </c>
      <c r="DV224" s="140" t="s">
        <v>166</v>
      </c>
      <c r="DW224" s="140">
        <v>432.6</v>
      </c>
      <c r="DX224" s="140" t="s">
        <v>166</v>
      </c>
      <c r="DY224" s="140" t="s">
        <v>166</v>
      </c>
      <c r="DZ224" s="140" t="s">
        <v>210</v>
      </c>
      <c r="EA224" s="140" t="s">
        <v>211</v>
      </c>
      <c r="EB224" s="140" t="s">
        <v>212</v>
      </c>
      <c r="EC224" s="140" t="s">
        <v>166</v>
      </c>
      <c r="ED224" s="140" t="s">
        <v>213</v>
      </c>
      <c r="EE224" s="213" t="s">
        <v>214</v>
      </c>
      <c r="EF224" s="213" t="s">
        <v>214</v>
      </c>
      <c r="EG224" s="140">
        <v>1.0271999999999999</v>
      </c>
      <c r="EH224" s="140" t="s">
        <v>215</v>
      </c>
      <c r="EI224" s="140" t="s">
        <v>215</v>
      </c>
      <c r="EJ224" s="140" t="s">
        <v>216</v>
      </c>
      <c r="EK224" s="140" t="s">
        <v>215</v>
      </c>
      <c r="EL224" s="140" t="s">
        <v>215</v>
      </c>
      <c r="EM224" s="140" t="s">
        <v>217</v>
      </c>
      <c r="EN224" s="214" t="s">
        <v>214</v>
      </c>
      <c r="EO224" s="214" t="s">
        <v>214</v>
      </c>
      <c r="EP224" s="214" t="s">
        <v>214</v>
      </c>
      <c r="EQ224" s="214" t="s">
        <v>214</v>
      </c>
      <c r="ET224" s="140" t="s">
        <v>218</v>
      </c>
      <c r="EU224" s="140" t="s">
        <v>219</v>
      </c>
      <c r="EV224" s="140" t="s">
        <v>213</v>
      </c>
      <c r="EW224" s="140" t="s">
        <v>166</v>
      </c>
      <c r="EX224" s="140" t="s">
        <v>166</v>
      </c>
      <c r="EY224" s="140" t="s">
        <v>166</v>
      </c>
      <c r="EZ224" s="140" t="s">
        <v>166</v>
      </c>
      <c r="FA224" s="205">
        <v>4.5</v>
      </c>
      <c r="FB224" s="140" t="s">
        <v>220</v>
      </c>
      <c r="FC224" s="205">
        <v>1</v>
      </c>
      <c r="FD224" s="205">
        <v>1</v>
      </c>
      <c r="FE224" s="215">
        <v>7.5384338561004398</v>
      </c>
      <c r="FF224" s="140" t="s">
        <v>221</v>
      </c>
      <c r="FG224" s="215">
        <v>4.0315037530230136E-2</v>
      </c>
      <c r="FH224" s="215">
        <v>4.2725360181679939E-2</v>
      </c>
      <c r="FI224" s="266">
        <v>1498.2414597634199</v>
      </c>
      <c r="FK224" s="140" t="s">
        <v>166</v>
      </c>
      <c r="FL224" s="217">
        <f t="shared" si="222"/>
        <v>1498.2414597634199</v>
      </c>
      <c r="FM224" s="266">
        <v>403.2980181013902</v>
      </c>
      <c r="FN224" s="266">
        <v>345.19808990226988</v>
      </c>
      <c r="FO224" s="140" t="s">
        <v>222</v>
      </c>
      <c r="FP224" s="140" t="s">
        <v>223</v>
      </c>
      <c r="FQ224" s="217" t="s">
        <v>166</v>
      </c>
      <c r="FR224" s="217" t="s">
        <v>166</v>
      </c>
      <c r="FS224" s="217" t="s">
        <v>166</v>
      </c>
      <c r="FT224" s="217" t="s">
        <v>166</v>
      </c>
      <c r="FU224" s="217" t="s">
        <v>166</v>
      </c>
      <c r="FV224" s="217" t="s">
        <v>166</v>
      </c>
      <c r="FW224" s="217" t="s">
        <v>166</v>
      </c>
      <c r="FX224" s="217" t="s">
        <v>166</v>
      </c>
      <c r="FY224" s="217" t="s">
        <v>166</v>
      </c>
      <c r="FZ224" s="217" t="s">
        <v>166</v>
      </c>
      <c r="GA224" s="217" t="s">
        <v>166</v>
      </c>
      <c r="GB224" s="217" t="s">
        <v>166</v>
      </c>
      <c r="GC224" s="202" t="s">
        <v>521</v>
      </c>
    </row>
    <row r="225" spans="1:185" s="140" customFormat="1" ht="17">
      <c r="A225" s="140" t="s">
        <v>162</v>
      </c>
      <c r="B225" s="143" t="s">
        <v>163</v>
      </c>
      <c r="C225" s="140" t="s">
        <v>164</v>
      </c>
      <c r="D225" s="140" t="s">
        <v>165</v>
      </c>
      <c r="E225" s="140">
        <v>2020</v>
      </c>
      <c r="F225" s="140" t="s">
        <v>184</v>
      </c>
      <c r="G225" s="240">
        <v>54038.981999999996</v>
      </c>
      <c r="H225" s="241">
        <f t="shared" ref="H225" si="234">0.0083*G225^(0.9482)</f>
        <v>255.05334322577585</v>
      </c>
      <c r="I225" s="241">
        <f t="shared" si="171"/>
        <v>255.05334322577585</v>
      </c>
      <c r="J225" s="266">
        <v>875.37559594397999</v>
      </c>
      <c r="K225" s="266">
        <v>215.40776826534989</v>
      </c>
      <c r="L225" s="266">
        <v>210.55846558305495</v>
      </c>
      <c r="M225" s="140" t="b">
        <v>1</v>
      </c>
      <c r="N225" s="140">
        <v>1</v>
      </c>
      <c r="O225" s="302" t="s">
        <v>581</v>
      </c>
      <c r="P225" s="140" t="s">
        <v>166</v>
      </c>
      <c r="Q225" s="140" t="s">
        <v>166</v>
      </c>
      <c r="R225" s="140" t="s">
        <v>166</v>
      </c>
      <c r="S225" s="140" t="b">
        <v>1</v>
      </c>
      <c r="T225" s="140" t="b">
        <v>0</v>
      </c>
      <c r="U225" s="140" t="s">
        <v>166</v>
      </c>
      <c r="V225" s="140" t="b">
        <v>0</v>
      </c>
      <c r="W225" s="140" t="b">
        <v>0</v>
      </c>
      <c r="X225" s="140" t="s">
        <v>580</v>
      </c>
      <c r="Y225" s="202" t="s">
        <v>186</v>
      </c>
      <c r="Z225" s="140" t="s">
        <v>184</v>
      </c>
      <c r="AA225" s="267">
        <v>1265</v>
      </c>
      <c r="AB225" s="207" t="s">
        <v>187</v>
      </c>
      <c r="AC225" s="207">
        <v>26</v>
      </c>
      <c r="AD225" s="207">
        <v>3</v>
      </c>
      <c r="AE225" s="207">
        <v>37</v>
      </c>
      <c r="AF225" s="207">
        <v>38</v>
      </c>
      <c r="AG225" s="140">
        <v>240.875</v>
      </c>
      <c r="AH225" s="140">
        <v>277.22500000000002</v>
      </c>
      <c r="AI225" s="140" t="s">
        <v>522</v>
      </c>
      <c r="AJ225" s="140" t="s">
        <v>523</v>
      </c>
      <c r="AK225" s="210">
        <v>-28.835000000000001</v>
      </c>
      <c r="AL225" s="210">
        <v>2.639167</v>
      </c>
      <c r="AM225" s="140">
        <v>-42</v>
      </c>
      <c r="AN225" s="140" t="s">
        <v>166</v>
      </c>
      <c r="AO225" s="140">
        <v>-3083</v>
      </c>
      <c r="AP225" s="140">
        <v>-1850</v>
      </c>
      <c r="AQ225" s="140" t="s">
        <v>524</v>
      </c>
      <c r="AR225" s="140" t="s">
        <v>511</v>
      </c>
      <c r="AS225" s="240">
        <v>54.038981999999997</v>
      </c>
      <c r="AT225" s="140" t="s">
        <v>166</v>
      </c>
      <c r="AU225" s="140" t="s">
        <v>166</v>
      </c>
      <c r="AV225" s="140" t="s">
        <v>166</v>
      </c>
      <c r="AW225" s="140" t="s">
        <v>255</v>
      </c>
      <c r="AX225" s="140" t="s">
        <v>512</v>
      </c>
      <c r="AY225" s="140" t="s">
        <v>190</v>
      </c>
      <c r="AZ225" s="140" t="s">
        <v>166</v>
      </c>
      <c r="BA225" s="140" t="s">
        <v>166</v>
      </c>
      <c r="BB225" s="140" t="s">
        <v>166</v>
      </c>
      <c r="BC225" s="140" t="s">
        <v>166</v>
      </c>
      <c r="BD225" s="140" t="s">
        <v>166</v>
      </c>
      <c r="BE225" s="140" t="s">
        <v>166</v>
      </c>
      <c r="BF225" s="140" t="s">
        <v>166</v>
      </c>
      <c r="BG225" s="269" t="s">
        <v>513</v>
      </c>
      <c r="BH225" s="207" t="s">
        <v>236</v>
      </c>
      <c r="BI225" s="140" t="s">
        <v>514</v>
      </c>
      <c r="BJ225" s="140">
        <v>1.6340000000000146</v>
      </c>
      <c r="BK225" s="140" t="s">
        <v>515</v>
      </c>
      <c r="BL225" s="140" t="s">
        <v>516</v>
      </c>
      <c r="BM225" s="140" t="s">
        <v>517</v>
      </c>
      <c r="BN225" s="140" t="s">
        <v>466</v>
      </c>
      <c r="BO225" s="207">
        <v>5</v>
      </c>
      <c r="BP225" s="210">
        <v>0.32</v>
      </c>
      <c r="BQ225" s="209">
        <v>14.6</v>
      </c>
      <c r="BR225" s="140" t="s">
        <v>518</v>
      </c>
      <c r="BS225" s="209">
        <v>0.32</v>
      </c>
      <c r="BT225" s="140">
        <v>1</v>
      </c>
      <c r="BU225" s="140" t="s">
        <v>197</v>
      </c>
      <c r="BV225" s="140" t="s">
        <v>166</v>
      </c>
      <c r="BW225" s="140">
        <v>0</v>
      </c>
      <c r="BX225" s="140" t="s">
        <v>197</v>
      </c>
      <c r="BY225" s="140" t="s">
        <v>166</v>
      </c>
      <c r="BZ225" s="140" t="s">
        <v>197</v>
      </c>
      <c r="CA225" s="140" t="s">
        <v>166</v>
      </c>
      <c r="CB225" s="210">
        <f t="shared" si="232"/>
        <v>14.6</v>
      </c>
      <c r="CC225" s="140" t="s">
        <v>196</v>
      </c>
      <c r="CD225" s="140">
        <f t="shared" si="233"/>
        <v>0.32</v>
      </c>
      <c r="CE225" s="140" t="s">
        <v>199</v>
      </c>
      <c r="CF225" s="140" t="s">
        <v>166</v>
      </c>
      <c r="CG225" s="140" t="s">
        <v>474</v>
      </c>
      <c r="CH225" s="140" t="s">
        <v>166</v>
      </c>
      <c r="CI225" s="140" t="s">
        <v>166</v>
      </c>
      <c r="CJ225" s="247">
        <v>36.363540140286311</v>
      </c>
      <c r="CK225" s="140" t="s">
        <v>201</v>
      </c>
      <c r="CL225" s="140">
        <v>2</v>
      </c>
      <c r="CM225" s="140">
        <v>2</v>
      </c>
      <c r="CN225" s="140" t="s">
        <v>166</v>
      </c>
      <c r="CO225" s="209">
        <v>4.2237147452634405</v>
      </c>
      <c r="CP225" s="140" t="s">
        <v>519</v>
      </c>
      <c r="CQ225" s="270">
        <v>0.12671144235790321</v>
      </c>
      <c r="CR225" s="270">
        <v>0.12671144235790321</v>
      </c>
      <c r="CS225" s="249" t="s">
        <v>202</v>
      </c>
      <c r="CT225" s="140" t="s">
        <v>203</v>
      </c>
      <c r="CU225" s="140">
        <v>2.2000000000000002</v>
      </c>
      <c r="CV225" s="140" t="s">
        <v>204</v>
      </c>
      <c r="CW225" s="140" t="s">
        <v>166</v>
      </c>
      <c r="CX225" s="140" t="s">
        <v>166</v>
      </c>
      <c r="CY225" s="140" t="s">
        <v>166</v>
      </c>
      <c r="CZ225" s="140" t="s">
        <v>166</v>
      </c>
      <c r="DA225" s="271" t="s">
        <v>166</v>
      </c>
      <c r="DB225" s="140" t="s">
        <v>166</v>
      </c>
      <c r="DC225" s="140" t="s">
        <v>166</v>
      </c>
      <c r="DD225" s="140" t="s">
        <v>166</v>
      </c>
      <c r="DE225" s="140" t="s">
        <v>166</v>
      </c>
      <c r="DF225" s="140" t="s">
        <v>520</v>
      </c>
      <c r="DG225" s="140">
        <v>35</v>
      </c>
      <c r="DH225" s="140" t="s">
        <v>201</v>
      </c>
      <c r="DI225" s="140">
        <v>1</v>
      </c>
      <c r="DJ225" s="140" t="s">
        <v>206</v>
      </c>
      <c r="DK225" s="140">
        <v>17</v>
      </c>
      <c r="DL225" s="140" t="s">
        <v>166</v>
      </c>
      <c r="DM225" s="140" t="s">
        <v>166</v>
      </c>
      <c r="DN225" s="140" t="s">
        <v>207</v>
      </c>
      <c r="DO225" s="140">
        <v>38</v>
      </c>
      <c r="DP225" s="140" t="s">
        <v>208</v>
      </c>
      <c r="DQ225" s="140">
        <v>3</v>
      </c>
      <c r="DR225" s="140" t="s">
        <v>209</v>
      </c>
      <c r="DS225" s="140" t="s">
        <v>166</v>
      </c>
      <c r="DT225" s="140" t="s">
        <v>166</v>
      </c>
      <c r="DU225" s="140" t="s">
        <v>166</v>
      </c>
      <c r="DV225" s="140" t="s">
        <v>166</v>
      </c>
      <c r="DW225" s="140">
        <v>432.6</v>
      </c>
      <c r="DX225" s="140" t="s">
        <v>166</v>
      </c>
      <c r="DY225" s="140" t="s">
        <v>166</v>
      </c>
      <c r="DZ225" s="140" t="s">
        <v>210</v>
      </c>
      <c r="EA225" s="140" t="s">
        <v>211</v>
      </c>
      <c r="EB225" s="140" t="s">
        <v>212</v>
      </c>
      <c r="EC225" s="140" t="s">
        <v>166</v>
      </c>
      <c r="ED225" s="140" t="s">
        <v>213</v>
      </c>
      <c r="EE225" s="213" t="s">
        <v>214</v>
      </c>
      <c r="EF225" s="213" t="s">
        <v>214</v>
      </c>
      <c r="EG225" s="140">
        <v>1.0271999999999999</v>
      </c>
      <c r="EH225" s="140" t="s">
        <v>215</v>
      </c>
      <c r="EI225" s="140" t="s">
        <v>215</v>
      </c>
      <c r="EJ225" s="140" t="s">
        <v>216</v>
      </c>
      <c r="EK225" s="140" t="s">
        <v>215</v>
      </c>
      <c r="EL225" s="140" t="s">
        <v>215</v>
      </c>
      <c r="EM225" s="140" t="s">
        <v>217</v>
      </c>
      <c r="EN225" s="214" t="s">
        <v>214</v>
      </c>
      <c r="EO225" s="214" t="s">
        <v>214</v>
      </c>
      <c r="EP225" s="214" t="s">
        <v>214</v>
      </c>
      <c r="EQ225" s="214" t="s">
        <v>214</v>
      </c>
      <c r="ET225" s="140" t="s">
        <v>218</v>
      </c>
      <c r="EU225" s="140" t="s">
        <v>219</v>
      </c>
      <c r="EV225" s="140" t="s">
        <v>213</v>
      </c>
      <c r="EW225" s="140" t="s">
        <v>166</v>
      </c>
      <c r="EX225" s="140" t="s">
        <v>166</v>
      </c>
      <c r="EY225" s="140" t="s">
        <v>166</v>
      </c>
      <c r="EZ225" s="140" t="s">
        <v>166</v>
      </c>
      <c r="FA225" s="205">
        <v>4.5</v>
      </c>
      <c r="FB225" s="140" t="s">
        <v>220</v>
      </c>
      <c r="FC225" s="205">
        <v>1</v>
      </c>
      <c r="FD225" s="205">
        <v>1</v>
      </c>
      <c r="FE225" s="215">
        <v>7.6554603317739804</v>
      </c>
      <c r="FF225" s="140" t="s">
        <v>221</v>
      </c>
      <c r="FG225" s="215">
        <v>4.2078563366979793E-2</v>
      </c>
      <c r="FH225" s="215">
        <v>4.3215659470170031E-2</v>
      </c>
      <c r="FI225" s="266">
        <v>875.37559594397999</v>
      </c>
      <c r="FK225" s="140" t="s">
        <v>166</v>
      </c>
      <c r="FL225" s="217">
        <f t="shared" si="222"/>
        <v>875.37559594397999</v>
      </c>
      <c r="FM225" s="266">
        <v>215.40776826534989</v>
      </c>
      <c r="FN225" s="266">
        <v>210.55846558305495</v>
      </c>
      <c r="FO225" s="140" t="s">
        <v>222</v>
      </c>
      <c r="FP225" s="140" t="s">
        <v>223</v>
      </c>
      <c r="FQ225" s="217" t="s">
        <v>166</v>
      </c>
      <c r="FR225" s="217" t="s">
        <v>166</v>
      </c>
      <c r="FS225" s="217" t="s">
        <v>166</v>
      </c>
      <c r="FT225" s="217" t="s">
        <v>166</v>
      </c>
      <c r="FU225" s="217" t="s">
        <v>166</v>
      </c>
      <c r="FV225" s="217" t="s">
        <v>166</v>
      </c>
      <c r="FW225" s="217" t="s">
        <v>166</v>
      </c>
      <c r="FX225" s="217" t="s">
        <v>166</v>
      </c>
      <c r="FY225" s="217" t="s">
        <v>166</v>
      </c>
      <c r="FZ225" s="217" t="s">
        <v>166</v>
      </c>
      <c r="GA225" s="217" t="s">
        <v>166</v>
      </c>
      <c r="GB225" s="217" t="s">
        <v>166</v>
      </c>
      <c r="GC225" s="202" t="s">
        <v>521</v>
      </c>
    </row>
    <row r="226" spans="1:185" s="140" customFormat="1" ht="17">
      <c r="A226" s="140" t="s">
        <v>162</v>
      </c>
      <c r="B226" s="143" t="s">
        <v>163</v>
      </c>
      <c r="C226" s="140" t="s">
        <v>164</v>
      </c>
      <c r="D226" s="140" t="s">
        <v>165</v>
      </c>
      <c r="E226" s="140">
        <v>2020</v>
      </c>
      <c r="F226" s="140" t="s">
        <v>184</v>
      </c>
      <c r="G226" s="240">
        <v>54046.892</v>
      </c>
      <c r="H226" s="241">
        <f t="shared" ref="H226" si="235">0.0083*G226^(0.9482)</f>
        <v>255.08874284981422</v>
      </c>
      <c r="I226" s="241">
        <f t="shared" si="171"/>
        <v>255.08874284981422</v>
      </c>
      <c r="J226" s="266">
        <v>488.18404020497098</v>
      </c>
      <c r="K226" s="266">
        <v>185.69501103180107</v>
      </c>
      <c r="L226" s="266">
        <v>141.91578926257097</v>
      </c>
      <c r="M226" s="140" t="b">
        <v>1</v>
      </c>
      <c r="N226" s="140">
        <v>1</v>
      </c>
      <c r="O226" s="302" t="s">
        <v>581</v>
      </c>
      <c r="P226" s="140" t="s">
        <v>166</v>
      </c>
      <c r="Q226" s="140" t="s">
        <v>166</v>
      </c>
      <c r="R226" s="140" t="s">
        <v>166</v>
      </c>
      <c r="S226" s="140" t="b">
        <v>1</v>
      </c>
      <c r="T226" s="140" t="b">
        <v>0</v>
      </c>
      <c r="U226" s="140" t="s">
        <v>166</v>
      </c>
      <c r="V226" s="140" t="b">
        <v>0</v>
      </c>
      <c r="W226" s="140" t="b">
        <v>0</v>
      </c>
      <c r="X226" s="140" t="s">
        <v>580</v>
      </c>
      <c r="Y226" s="202" t="s">
        <v>186</v>
      </c>
      <c r="Z226" s="140" t="s">
        <v>184</v>
      </c>
      <c r="AA226" s="267">
        <v>1265</v>
      </c>
      <c r="AB226" s="207" t="s">
        <v>187</v>
      </c>
      <c r="AC226" s="207">
        <v>26</v>
      </c>
      <c r="AD226" s="207">
        <v>3</v>
      </c>
      <c r="AE226" s="207">
        <v>51</v>
      </c>
      <c r="AF226" s="207">
        <v>51.5</v>
      </c>
      <c r="AG226" s="140">
        <v>241.01249999999999</v>
      </c>
      <c r="AH226" s="140">
        <v>277.36250000000001</v>
      </c>
      <c r="AI226" s="140" t="s">
        <v>522</v>
      </c>
      <c r="AJ226" s="140" t="s">
        <v>523</v>
      </c>
      <c r="AK226" s="210">
        <v>-28.835000000000001</v>
      </c>
      <c r="AL226" s="210">
        <v>2.639167</v>
      </c>
      <c r="AM226" s="140">
        <v>-42</v>
      </c>
      <c r="AN226" s="140" t="s">
        <v>166</v>
      </c>
      <c r="AO226" s="140">
        <v>-3083</v>
      </c>
      <c r="AP226" s="140">
        <v>-1850</v>
      </c>
      <c r="AQ226" s="140" t="s">
        <v>524</v>
      </c>
      <c r="AR226" s="140" t="s">
        <v>511</v>
      </c>
      <c r="AS226" s="240">
        <v>54.046892</v>
      </c>
      <c r="AT226" s="140" t="s">
        <v>166</v>
      </c>
      <c r="AU226" s="140" t="s">
        <v>166</v>
      </c>
      <c r="AV226" s="140" t="s">
        <v>166</v>
      </c>
      <c r="AW226" s="140" t="s">
        <v>255</v>
      </c>
      <c r="AX226" s="140" t="s">
        <v>512</v>
      </c>
      <c r="AY226" s="140" t="s">
        <v>190</v>
      </c>
      <c r="AZ226" s="140" t="s">
        <v>166</v>
      </c>
      <c r="BA226" s="140" t="s">
        <v>166</v>
      </c>
      <c r="BB226" s="140" t="s">
        <v>166</v>
      </c>
      <c r="BC226" s="140" t="s">
        <v>166</v>
      </c>
      <c r="BD226" s="140" t="s">
        <v>166</v>
      </c>
      <c r="BE226" s="140" t="s">
        <v>166</v>
      </c>
      <c r="BF226" s="140" t="s">
        <v>166</v>
      </c>
      <c r="BG226" s="269" t="s">
        <v>513</v>
      </c>
      <c r="BH226" s="207" t="s">
        <v>236</v>
      </c>
      <c r="BI226" s="140" t="s">
        <v>514</v>
      </c>
      <c r="BJ226" s="140">
        <v>1.3559999999999945</v>
      </c>
      <c r="BK226" s="140" t="s">
        <v>515</v>
      </c>
      <c r="BL226" s="140" t="s">
        <v>516</v>
      </c>
      <c r="BM226" s="140" t="s">
        <v>517</v>
      </c>
      <c r="BN226" s="140" t="s">
        <v>466</v>
      </c>
      <c r="BO226" s="207">
        <v>4</v>
      </c>
      <c r="BP226" s="210">
        <v>0.62</v>
      </c>
      <c r="BQ226" s="209">
        <v>15.62</v>
      </c>
      <c r="BR226" s="140" t="s">
        <v>518</v>
      </c>
      <c r="BS226" s="209">
        <v>0.62</v>
      </c>
      <c r="BT226" s="140">
        <v>1</v>
      </c>
      <c r="BU226" s="140" t="s">
        <v>197</v>
      </c>
      <c r="BV226" s="140" t="s">
        <v>166</v>
      </c>
      <c r="BW226" s="140">
        <v>0</v>
      </c>
      <c r="BX226" s="140" t="s">
        <v>197</v>
      </c>
      <c r="BY226" s="140" t="s">
        <v>166</v>
      </c>
      <c r="BZ226" s="140" t="s">
        <v>197</v>
      </c>
      <c r="CA226" s="140" t="s">
        <v>166</v>
      </c>
      <c r="CB226" s="210">
        <f t="shared" si="232"/>
        <v>15.62</v>
      </c>
      <c r="CC226" s="140" t="s">
        <v>196</v>
      </c>
      <c r="CD226" s="140">
        <f t="shared" si="233"/>
        <v>0.62</v>
      </c>
      <c r="CE226" s="140" t="s">
        <v>199</v>
      </c>
      <c r="CF226" s="140" t="s">
        <v>166</v>
      </c>
      <c r="CG226" s="140" t="s">
        <v>474</v>
      </c>
      <c r="CH226" s="140" t="s">
        <v>166</v>
      </c>
      <c r="CI226" s="140" t="s">
        <v>166</v>
      </c>
      <c r="CJ226" s="247">
        <v>36.384648889668739</v>
      </c>
      <c r="CK226" s="140" t="s">
        <v>201</v>
      </c>
      <c r="CL226" s="140">
        <v>2</v>
      </c>
      <c r="CM226" s="140">
        <v>2</v>
      </c>
      <c r="CN226" s="140" t="s">
        <v>166</v>
      </c>
      <c r="CO226" s="209">
        <v>4.2287429999999997</v>
      </c>
      <c r="CP226" s="140" t="s">
        <v>519</v>
      </c>
      <c r="CQ226" s="270">
        <v>0.12686228999999999</v>
      </c>
      <c r="CR226" s="270">
        <v>0.12686228999999999</v>
      </c>
      <c r="CS226" s="249" t="s">
        <v>202</v>
      </c>
      <c r="CT226" s="140" t="s">
        <v>203</v>
      </c>
      <c r="CU226" s="140">
        <v>2.2000000000000002</v>
      </c>
      <c r="CV226" s="140" t="s">
        <v>204</v>
      </c>
      <c r="CW226" s="140" t="s">
        <v>166</v>
      </c>
      <c r="CX226" s="140" t="s">
        <v>166</v>
      </c>
      <c r="CY226" s="140" t="s">
        <v>166</v>
      </c>
      <c r="CZ226" s="140" t="s">
        <v>166</v>
      </c>
      <c r="DA226" s="271" t="s">
        <v>166</v>
      </c>
      <c r="DB226" s="140" t="s">
        <v>166</v>
      </c>
      <c r="DC226" s="140" t="s">
        <v>166</v>
      </c>
      <c r="DD226" s="140" t="s">
        <v>166</v>
      </c>
      <c r="DE226" s="140" t="s">
        <v>166</v>
      </c>
      <c r="DF226" s="140" t="s">
        <v>520</v>
      </c>
      <c r="DG226" s="140">
        <v>35</v>
      </c>
      <c r="DH226" s="140" t="s">
        <v>201</v>
      </c>
      <c r="DI226" s="140">
        <v>1</v>
      </c>
      <c r="DJ226" s="140" t="s">
        <v>206</v>
      </c>
      <c r="DK226" s="140">
        <v>17</v>
      </c>
      <c r="DL226" s="140" t="s">
        <v>166</v>
      </c>
      <c r="DM226" s="140" t="s">
        <v>166</v>
      </c>
      <c r="DN226" s="140" t="s">
        <v>207</v>
      </c>
      <c r="DO226" s="140">
        <v>38</v>
      </c>
      <c r="DP226" s="140" t="s">
        <v>208</v>
      </c>
      <c r="DQ226" s="140">
        <v>3</v>
      </c>
      <c r="DR226" s="140" t="s">
        <v>209</v>
      </c>
      <c r="DS226" s="140" t="s">
        <v>166</v>
      </c>
      <c r="DT226" s="140" t="s">
        <v>166</v>
      </c>
      <c r="DU226" s="140" t="s">
        <v>166</v>
      </c>
      <c r="DV226" s="140" t="s">
        <v>166</v>
      </c>
      <c r="DW226" s="140">
        <v>432.6</v>
      </c>
      <c r="DX226" s="140" t="s">
        <v>166</v>
      </c>
      <c r="DY226" s="140" t="s">
        <v>166</v>
      </c>
      <c r="DZ226" s="140" t="s">
        <v>210</v>
      </c>
      <c r="EA226" s="140" t="s">
        <v>211</v>
      </c>
      <c r="EB226" s="140" t="s">
        <v>212</v>
      </c>
      <c r="EC226" s="140" t="s">
        <v>166</v>
      </c>
      <c r="ED226" s="140" t="s">
        <v>213</v>
      </c>
      <c r="EE226" s="213" t="s">
        <v>214</v>
      </c>
      <c r="EF226" s="213" t="s">
        <v>214</v>
      </c>
      <c r="EG226" s="140">
        <v>1.0271999999999999</v>
      </c>
      <c r="EH226" s="140" t="s">
        <v>215</v>
      </c>
      <c r="EI226" s="140" t="s">
        <v>215</v>
      </c>
      <c r="EJ226" s="140" t="s">
        <v>216</v>
      </c>
      <c r="EK226" s="140" t="s">
        <v>215</v>
      </c>
      <c r="EL226" s="140" t="s">
        <v>215</v>
      </c>
      <c r="EM226" s="140" t="s">
        <v>217</v>
      </c>
      <c r="EN226" s="214" t="s">
        <v>214</v>
      </c>
      <c r="EO226" s="214" t="s">
        <v>214</v>
      </c>
      <c r="EP226" s="214" t="s">
        <v>214</v>
      </c>
      <c r="EQ226" s="214" t="s">
        <v>214</v>
      </c>
      <c r="ET226" s="140" t="s">
        <v>218</v>
      </c>
      <c r="EU226" s="140" t="s">
        <v>219</v>
      </c>
      <c r="EV226" s="140" t="s">
        <v>213</v>
      </c>
      <c r="EW226" s="140" t="s">
        <v>166</v>
      </c>
      <c r="EX226" s="140" t="s">
        <v>166</v>
      </c>
      <c r="EY226" s="140" t="s">
        <v>166</v>
      </c>
      <c r="EZ226" s="140" t="s">
        <v>166</v>
      </c>
      <c r="FA226" s="205">
        <v>4.5</v>
      </c>
      <c r="FB226" s="140" t="s">
        <v>220</v>
      </c>
      <c r="FC226" s="205">
        <v>1</v>
      </c>
      <c r="FD226" s="205">
        <v>1</v>
      </c>
      <c r="FE226" s="215">
        <v>7.7831628626859102</v>
      </c>
      <c r="FF226" s="140" t="s">
        <v>221</v>
      </c>
      <c r="FG226" s="215">
        <v>6.1515098654569833E-2</v>
      </c>
      <c r="FH226" s="215">
        <v>6.7534367791390437E-2</v>
      </c>
      <c r="FI226" s="266">
        <v>488.18404020497098</v>
      </c>
      <c r="FK226" s="140" t="s">
        <v>166</v>
      </c>
      <c r="FL226" s="217">
        <f t="shared" si="222"/>
        <v>488.18404020497098</v>
      </c>
      <c r="FM226" s="266">
        <v>185.69501103180107</v>
      </c>
      <c r="FN226" s="266">
        <v>141.91578926257097</v>
      </c>
      <c r="FO226" s="140" t="s">
        <v>222</v>
      </c>
      <c r="FP226" s="140" t="s">
        <v>223</v>
      </c>
      <c r="FQ226" s="217" t="s">
        <v>166</v>
      </c>
      <c r="FR226" s="217" t="s">
        <v>166</v>
      </c>
      <c r="FS226" s="217" t="s">
        <v>166</v>
      </c>
      <c r="FT226" s="217" t="s">
        <v>166</v>
      </c>
      <c r="FU226" s="217" t="s">
        <v>166</v>
      </c>
      <c r="FV226" s="217" t="s">
        <v>166</v>
      </c>
      <c r="FW226" s="217" t="s">
        <v>166</v>
      </c>
      <c r="FX226" s="217" t="s">
        <v>166</v>
      </c>
      <c r="FY226" s="217" t="s">
        <v>166</v>
      </c>
      <c r="FZ226" s="217" t="s">
        <v>166</v>
      </c>
      <c r="GA226" s="217" t="s">
        <v>166</v>
      </c>
      <c r="GB226" s="217" t="s">
        <v>166</v>
      </c>
      <c r="GC226" s="202" t="s">
        <v>521</v>
      </c>
    </row>
    <row r="227" spans="1:185" s="140" customFormat="1" ht="17">
      <c r="A227" s="140" t="s">
        <v>162</v>
      </c>
      <c r="B227" s="143" t="s">
        <v>163</v>
      </c>
      <c r="C227" s="140" t="s">
        <v>164</v>
      </c>
      <c r="D227" s="140" t="s">
        <v>165</v>
      </c>
      <c r="E227" s="140">
        <v>2020</v>
      </c>
      <c r="F227" s="140" t="s">
        <v>184</v>
      </c>
      <c r="G227" s="240">
        <v>54047.175000000003</v>
      </c>
      <c r="H227" s="241">
        <f t="shared" ref="H227" si="236">0.0083*G227^(0.9482)</f>
        <v>255.0900093547784</v>
      </c>
      <c r="I227" s="241">
        <f t="shared" si="171"/>
        <v>255.0900093547784</v>
      </c>
      <c r="J227" s="266">
        <v>606.56728107833101</v>
      </c>
      <c r="K227" s="266">
        <v>272.29355327322105</v>
      </c>
      <c r="L227" s="266">
        <v>181.39267161229299</v>
      </c>
      <c r="M227" s="140" t="b">
        <v>1</v>
      </c>
      <c r="N227" s="140">
        <v>1</v>
      </c>
      <c r="O227" s="302" t="s">
        <v>581</v>
      </c>
      <c r="P227" s="140" t="s">
        <v>166</v>
      </c>
      <c r="Q227" s="140" t="s">
        <v>166</v>
      </c>
      <c r="R227" s="140" t="s">
        <v>166</v>
      </c>
      <c r="S227" s="140" t="b">
        <v>1</v>
      </c>
      <c r="T227" s="140" t="b">
        <v>0</v>
      </c>
      <c r="U227" s="140" t="s">
        <v>166</v>
      </c>
      <c r="V227" s="140" t="b">
        <v>0</v>
      </c>
      <c r="W227" s="140" t="b">
        <v>0</v>
      </c>
      <c r="X227" s="140" t="s">
        <v>580</v>
      </c>
      <c r="Y227" s="202" t="s">
        <v>186</v>
      </c>
      <c r="Z227" s="140" t="s">
        <v>184</v>
      </c>
      <c r="AA227" s="267">
        <v>1265</v>
      </c>
      <c r="AB227" s="207" t="s">
        <v>187</v>
      </c>
      <c r="AC227" s="207">
        <v>26</v>
      </c>
      <c r="AD227" s="207">
        <v>3</v>
      </c>
      <c r="AE227" s="207">
        <v>51.5</v>
      </c>
      <c r="AF227" s="207">
        <v>52</v>
      </c>
      <c r="AG227" s="140">
        <v>241.01750000000001</v>
      </c>
      <c r="AH227" s="140">
        <v>27.3675</v>
      </c>
      <c r="AI227" s="140" t="s">
        <v>522</v>
      </c>
      <c r="AJ227" s="140" t="s">
        <v>523</v>
      </c>
      <c r="AK227" s="210">
        <v>-28.835000000000001</v>
      </c>
      <c r="AL227" s="210">
        <v>2.639167</v>
      </c>
      <c r="AM227" s="140">
        <v>-42</v>
      </c>
      <c r="AN227" s="140" t="s">
        <v>166</v>
      </c>
      <c r="AO227" s="140">
        <v>-3083</v>
      </c>
      <c r="AP227" s="140">
        <v>-1850</v>
      </c>
      <c r="AQ227" s="140" t="s">
        <v>524</v>
      </c>
      <c r="AR227" s="140" t="s">
        <v>511</v>
      </c>
      <c r="AS227" s="240">
        <v>54.047175000000003</v>
      </c>
      <c r="AT227" s="140" t="s">
        <v>166</v>
      </c>
      <c r="AU227" s="140" t="s">
        <v>166</v>
      </c>
      <c r="AV227" s="140" t="s">
        <v>166</v>
      </c>
      <c r="AW227" s="140" t="s">
        <v>255</v>
      </c>
      <c r="AX227" s="140" t="s">
        <v>512</v>
      </c>
      <c r="AY227" s="140" t="s">
        <v>190</v>
      </c>
      <c r="AZ227" s="140" t="s">
        <v>166</v>
      </c>
      <c r="BA227" s="140" t="s">
        <v>166</v>
      </c>
      <c r="BB227" s="140" t="s">
        <v>166</v>
      </c>
      <c r="BC227" s="140" t="s">
        <v>166</v>
      </c>
      <c r="BD227" s="140" t="s">
        <v>166</v>
      </c>
      <c r="BE227" s="140" t="s">
        <v>166</v>
      </c>
      <c r="BF227" s="140" t="s">
        <v>166</v>
      </c>
      <c r="BG227" s="269" t="s">
        <v>513</v>
      </c>
      <c r="BH227" s="207" t="s">
        <v>236</v>
      </c>
      <c r="BI227" s="140" t="s">
        <v>514</v>
      </c>
      <c r="BJ227" s="140">
        <v>1.0060000000000286</v>
      </c>
      <c r="BK227" s="140" t="s">
        <v>515</v>
      </c>
      <c r="BL227" s="140" t="s">
        <v>516</v>
      </c>
      <c r="BM227" s="140" t="s">
        <v>517</v>
      </c>
      <c r="BN227" s="140" t="s">
        <v>466</v>
      </c>
      <c r="BO227" s="207">
        <v>4</v>
      </c>
      <c r="BP227" s="210">
        <v>0.64</v>
      </c>
      <c r="BQ227" s="209">
        <v>15.19</v>
      </c>
      <c r="BR227" s="140" t="s">
        <v>518</v>
      </c>
      <c r="BS227" s="209">
        <v>0.64</v>
      </c>
      <c r="BT227" s="140">
        <v>1</v>
      </c>
      <c r="BU227" s="140" t="s">
        <v>197</v>
      </c>
      <c r="BV227" s="140" t="s">
        <v>166</v>
      </c>
      <c r="BW227" s="140">
        <v>0</v>
      </c>
      <c r="BX227" s="140" t="s">
        <v>197</v>
      </c>
      <c r="BY227" s="140" t="s">
        <v>166</v>
      </c>
      <c r="BZ227" s="140" t="s">
        <v>197</v>
      </c>
      <c r="CA227" s="140" t="s">
        <v>166</v>
      </c>
      <c r="CB227" s="210">
        <f t="shared" si="232"/>
        <v>15.19</v>
      </c>
      <c r="CC227" s="140" t="s">
        <v>196</v>
      </c>
      <c r="CD227" s="140">
        <f t="shared" si="233"/>
        <v>0.64</v>
      </c>
      <c r="CE227" s="140" t="s">
        <v>199</v>
      </c>
      <c r="CF227" s="140" t="s">
        <v>166</v>
      </c>
      <c r="CG227" s="140" t="s">
        <v>474</v>
      </c>
      <c r="CH227" s="140" t="s">
        <v>166</v>
      </c>
      <c r="CI227" s="140" t="s">
        <v>166</v>
      </c>
      <c r="CJ227" s="247">
        <v>36.568705614129314</v>
      </c>
      <c r="CK227" s="140" t="s">
        <v>201</v>
      </c>
      <c r="CL227" s="140">
        <v>2</v>
      </c>
      <c r="CM227" s="140">
        <v>2</v>
      </c>
      <c r="CN227" s="140" t="s">
        <v>166</v>
      </c>
      <c r="CO227" s="209">
        <v>4.2728410573187423</v>
      </c>
      <c r="CP227" s="140" t="s">
        <v>519</v>
      </c>
      <c r="CQ227" s="270">
        <v>0.12818523171956225</v>
      </c>
      <c r="CR227" s="270">
        <v>0.12818523171956225</v>
      </c>
      <c r="CS227" s="249" t="s">
        <v>202</v>
      </c>
      <c r="CT227" s="140" t="s">
        <v>203</v>
      </c>
      <c r="CU227" s="140">
        <v>2.2000000000000002</v>
      </c>
      <c r="CV227" s="140" t="s">
        <v>204</v>
      </c>
      <c r="CW227" s="140" t="s">
        <v>166</v>
      </c>
      <c r="CX227" s="140" t="s">
        <v>166</v>
      </c>
      <c r="CY227" s="140" t="s">
        <v>166</v>
      </c>
      <c r="CZ227" s="140" t="s">
        <v>166</v>
      </c>
      <c r="DA227" s="271" t="s">
        <v>166</v>
      </c>
      <c r="DB227" s="140" t="s">
        <v>166</v>
      </c>
      <c r="DC227" s="140" t="s">
        <v>166</v>
      </c>
      <c r="DD227" s="140" t="s">
        <v>166</v>
      </c>
      <c r="DE227" s="140" t="s">
        <v>166</v>
      </c>
      <c r="DF227" s="140" t="s">
        <v>520</v>
      </c>
      <c r="DG227" s="140">
        <v>35</v>
      </c>
      <c r="DH227" s="140" t="s">
        <v>201</v>
      </c>
      <c r="DI227" s="140">
        <v>1</v>
      </c>
      <c r="DJ227" s="140" t="s">
        <v>206</v>
      </c>
      <c r="DK227" s="140">
        <v>17</v>
      </c>
      <c r="DL227" s="140" t="s">
        <v>166</v>
      </c>
      <c r="DM227" s="140" t="s">
        <v>166</v>
      </c>
      <c r="DN227" s="140" t="s">
        <v>207</v>
      </c>
      <c r="DO227" s="140">
        <v>38</v>
      </c>
      <c r="DP227" s="140" t="s">
        <v>208</v>
      </c>
      <c r="DQ227" s="140">
        <v>3</v>
      </c>
      <c r="DR227" s="140" t="s">
        <v>209</v>
      </c>
      <c r="DS227" s="140" t="s">
        <v>166</v>
      </c>
      <c r="DT227" s="140" t="s">
        <v>166</v>
      </c>
      <c r="DU227" s="140" t="s">
        <v>166</v>
      </c>
      <c r="DV227" s="140" t="s">
        <v>166</v>
      </c>
      <c r="DW227" s="140">
        <v>432.6</v>
      </c>
      <c r="DX227" s="140" t="s">
        <v>166</v>
      </c>
      <c r="DY227" s="140" t="s">
        <v>166</v>
      </c>
      <c r="DZ227" s="140" t="s">
        <v>210</v>
      </c>
      <c r="EA227" s="140" t="s">
        <v>211</v>
      </c>
      <c r="EB227" s="140" t="s">
        <v>212</v>
      </c>
      <c r="EC227" s="140" t="s">
        <v>166</v>
      </c>
      <c r="ED227" s="140" t="s">
        <v>213</v>
      </c>
      <c r="EE227" s="213" t="s">
        <v>214</v>
      </c>
      <c r="EF227" s="213" t="s">
        <v>214</v>
      </c>
      <c r="EG227" s="140">
        <v>1.0271999999999999</v>
      </c>
      <c r="EH227" s="140" t="s">
        <v>215</v>
      </c>
      <c r="EI227" s="140" t="s">
        <v>215</v>
      </c>
      <c r="EJ227" s="140" t="s">
        <v>216</v>
      </c>
      <c r="EK227" s="140" t="s">
        <v>215</v>
      </c>
      <c r="EL227" s="140" t="s">
        <v>215</v>
      </c>
      <c r="EM227" s="140" t="s">
        <v>217</v>
      </c>
      <c r="EN227" s="214" t="s">
        <v>214</v>
      </c>
      <c r="EO227" s="214" t="s">
        <v>214</v>
      </c>
      <c r="EP227" s="214" t="s">
        <v>214</v>
      </c>
      <c r="EQ227" s="214" t="s">
        <v>214</v>
      </c>
      <c r="ET227" s="140" t="s">
        <v>218</v>
      </c>
      <c r="EU227" s="140" t="s">
        <v>219</v>
      </c>
      <c r="EV227" s="140" t="s">
        <v>213</v>
      </c>
      <c r="EW227" s="140" t="s">
        <v>166</v>
      </c>
      <c r="EX227" s="140" t="s">
        <v>166</v>
      </c>
      <c r="EY227" s="140" t="s">
        <v>166</v>
      </c>
      <c r="EZ227" s="140" t="s">
        <v>166</v>
      </c>
      <c r="FA227" s="205">
        <v>4.5</v>
      </c>
      <c r="FB227" s="140" t="s">
        <v>220</v>
      </c>
      <c r="FC227" s="205">
        <v>1</v>
      </c>
      <c r="FD227" s="205">
        <v>1</v>
      </c>
      <c r="FE227" s="215">
        <v>7.72849457477085</v>
      </c>
      <c r="FF227" s="140" t="s">
        <v>221</v>
      </c>
      <c r="FG227" s="215">
        <v>6.6532475629699661E-2</v>
      </c>
      <c r="FH227" s="215">
        <v>6.892805149931025E-2</v>
      </c>
      <c r="FI227" s="266">
        <v>606.56728107833101</v>
      </c>
      <c r="FK227" s="140" t="s">
        <v>166</v>
      </c>
      <c r="FL227" s="217">
        <f t="shared" si="222"/>
        <v>606.56728107833101</v>
      </c>
      <c r="FM227" s="266">
        <v>272.29355327322105</v>
      </c>
      <c r="FN227" s="266">
        <v>181.39267161229299</v>
      </c>
      <c r="FO227" s="140" t="s">
        <v>222</v>
      </c>
      <c r="FP227" s="140" t="s">
        <v>223</v>
      </c>
      <c r="FQ227" s="217" t="s">
        <v>166</v>
      </c>
      <c r="FR227" s="217" t="s">
        <v>166</v>
      </c>
      <c r="FS227" s="217" t="s">
        <v>166</v>
      </c>
      <c r="FT227" s="217" t="s">
        <v>166</v>
      </c>
      <c r="FU227" s="217" t="s">
        <v>166</v>
      </c>
      <c r="FV227" s="217" t="s">
        <v>166</v>
      </c>
      <c r="FW227" s="217" t="s">
        <v>166</v>
      </c>
      <c r="FX227" s="217" t="s">
        <v>166</v>
      </c>
      <c r="FY227" s="217" t="s">
        <v>166</v>
      </c>
      <c r="FZ227" s="217" t="s">
        <v>166</v>
      </c>
      <c r="GA227" s="217" t="s">
        <v>166</v>
      </c>
      <c r="GB227" s="217" t="s">
        <v>166</v>
      </c>
      <c r="GC227" s="202" t="s">
        <v>521</v>
      </c>
    </row>
    <row r="228" spans="1:185" s="140" customFormat="1" ht="17">
      <c r="A228" s="140" t="s">
        <v>162</v>
      </c>
      <c r="B228" s="143" t="s">
        <v>163</v>
      </c>
      <c r="C228" s="140" t="s">
        <v>164</v>
      </c>
      <c r="D228" s="140" t="s">
        <v>165</v>
      </c>
      <c r="E228" s="140">
        <v>2020</v>
      </c>
      <c r="F228" s="140" t="s">
        <v>184</v>
      </c>
      <c r="G228" s="240">
        <v>54049.010999999999</v>
      </c>
      <c r="H228" s="241">
        <f t="shared" ref="H228" si="237">0.0083*G228^(0.9482)</f>
        <v>255.09822596521425</v>
      </c>
      <c r="I228" s="241">
        <f t="shared" si="171"/>
        <v>255.09822596521425</v>
      </c>
      <c r="J228" s="266">
        <v>2335.39126805674</v>
      </c>
      <c r="K228" s="266">
        <v>1704.7161598873899</v>
      </c>
      <c r="L228" s="266">
        <v>822.32606318810008</v>
      </c>
      <c r="M228" s="140" t="b">
        <v>1</v>
      </c>
      <c r="N228" s="140">
        <v>1</v>
      </c>
      <c r="O228" s="302" t="s">
        <v>581</v>
      </c>
      <c r="P228" s="140" t="s">
        <v>166</v>
      </c>
      <c r="Q228" s="140" t="s">
        <v>166</v>
      </c>
      <c r="R228" s="140" t="s">
        <v>166</v>
      </c>
      <c r="S228" s="140" t="b">
        <v>1</v>
      </c>
      <c r="T228" s="140" t="b">
        <v>0</v>
      </c>
      <c r="U228" s="140" t="s">
        <v>166</v>
      </c>
      <c r="V228" s="140" t="b">
        <v>0</v>
      </c>
      <c r="W228" s="140" t="b">
        <v>0</v>
      </c>
      <c r="X228" s="140" t="s">
        <v>580</v>
      </c>
      <c r="Y228" s="202" t="s">
        <v>186</v>
      </c>
      <c r="Z228" s="140" t="s">
        <v>184</v>
      </c>
      <c r="AA228" s="267">
        <v>1265</v>
      </c>
      <c r="AB228" s="207" t="s">
        <v>187</v>
      </c>
      <c r="AC228" s="207">
        <v>26</v>
      </c>
      <c r="AD228" s="207">
        <v>3</v>
      </c>
      <c r="AE228" s="207">
        <v>54</v>
      </c>
      <c r="AF228" s="207">
        <v>56</v>
      </c>
      <c r="AG228" s="140">
        <v>241.05</v>
      </c>
      <c r="AH228" s="140">
        <v>277.39999999999998</v>
      </c>
      <c r="AI228" s="140" t="s">
        <v>522</v>
      </c>
      <c r="AJ228" s="140" t="s">
        <v>523</v>
      </c>
      <c r="AK228" s="210">
        <v>-28.835000000000001</v>
      </c>
      <c r="AL228" s="210">
        <v>2.639167</v>
      </c>
      <c r="AM228" s="140">
        <v>-42</v>
      </c>
      <c r="AN228" s="140" t="s">
        <v>166</v>
      </c>
      <c r="AO228" s="140">
        <v>-3083</v>
      </c>
      <c r="AP228" s="140">
        <v>-1850</v>
      </c>
      <c r="AQ228" s="140" t="s">
        <v>524</v>
      </c>
      <c r="AR228" s="140" t="s">
        <v>511</v>
      </c>
      <c r="AS228" s="240">
        <v>54.049011</v>
      </c>
      <c r="AT228" s="140" t="s">
        <v>166</v>
      </c>
      <c r="AU228" s="140" t="s">
        <v>166</v>
      </c>
      <c r="AV228" s="140" t="s">
        <v>166</v>
      </c>
      <c r="AW228" s="140" t="s">
        <v>255</v>
      </c>
      <c r="AX228" s="140" t="s">
        <v>512</v>
      </c>
      <c r="AY228" s="140" t="s">
        <v>190</v>
      </c>
      <c r="AZ228" s="140" t="s">
        <v>166</v>
      </c>
      <c r="BA228" s="140" t="s">
        <v>166</v>
      </c>
      <c r="BB228" s="140" t="s">
        <v>166</v>
      </c>
      <c r="BC228" s="140" t="s">
        <v>166</v>
      </c>
      <c r="BD228" s="140" t="s">
        <v>166</v>
      </c>
      <c r="BE228" s="140" t="s">
        <v>166</v>
      </c>
      <c r="BF228" s="140" t="s">
        <v>166</v>
      </c>
      <c r="BG228" s="269" t="s">
        <v>513</v>
      </c>
      <c r="BH228" s="207" t="s">
        <v>236</v>
      </c>
      <c r="BI228" s="140" t="s">
        <v>514</v>
      </c>
      <c r="BJ228" s="140">
        <v>0.97300000000001319</v>
      </c>
      <c r="BK228" s="140" t="s">
        <v>515</v>
      </c>
      <c r="BL228" s="140" t="s">
        <v>516</v>
      </c>
      <c r="BM228" s="140" t="s">
        <v>517</v>
      </c>
      <c r="BN228" s="140" t="s">
        <v>466</v>
      </c>
      <c r="BO228" s="207">
        <v>2</v>
      </c>
      <c r="BP228" s="210">
        <v>0.5</v>
      </c>
      <c r="BQ228" s="209">
        <v>13.3</v>
      </c>
      <c r="BR228" s="140" t="s">
        <v>518</v>
      </c>
      <c r="BS228" s="209">
        <v>0.57999999999999996</v>
      </c>
      <c r="BT228" s="140">
        <v>1</v>
      </c>
      <c r="BU228" s="140" t="s">
        <v>197</v>
      </c>
      <c r="BV228" s="140" t="s">
        <v>166</v>
      </c>
      <c r="BW228" s="140">
        <v>0</v>
      </c>
      <c r="BX228" s="140" t="s">
        <v>197</v>
      </c>
      <c r="BY228" s="140" t="s">
        <v>166</v>
      </c>
      <c r="BZ228" s="140" t="s">
        <v>197</v>
      </c>
      <c r="CA228" s="140" t="s">
        <v>166</v>
      </c>
      <c r="CB228" s="210">
        <f t="shared" si="232"/>
        <v>13.3</v>
      </c>
      <c r="CC228" s="140" t="s">
        <v>196</v>
      </c>
      <c r="CD228" s="140">
        <f t="shared" si="233"/>
        <v>0.57999999999999996</v>
      </c>
      <c r="CE228" s="140" t="s">
        <v>199</v>
      </c>
      <c r="CF228" s="140" t="s">
        <v>166</v>
      </c>
      <c r="CG228" s="140" t="s">
        <v>474</v>
      </c>
      <c r="CH228" s="140" t="s">
        <v>166</v>
      </c>
      <c r="CI228" s="140" t="s">
        <v>166</v>
      </c>
      <c r="CJ228" s="247">
        <v>36.609386486763611</v>
      </c>
      <c r="CK228" s="140" t="s">
        <v>201</v>
      </c>
      <c r="CL228" s="140">
        <v>2</v>
      </c>
      <c r="CM228" s="140">
        <v>2</v>
      </c>
      <c r="CN228" s="140" t="s">
        <v>166</v>
      </c>
      <c r="CO228" s="207" t="s">
        <v>529</v>
      </c>
      <c r="CP228" s="140" t="s">
        <v>519</v>
      </c>
      <c r="CQ228" s="270">
        <v>0.12840000000000001</v>
      </c>
      <c r="CR228" s="270">
        <v>0.12840000000000001</v>
      </c>
      <c r="CS228" s="249" t="s">
        <v>202</v>
      </c>
      <c r="CT228" s="140" t="s">
        <v>203</v>
      </c>
      <c r="CU228" s="140">
        <v>2.2000000000000002</v>
      </c>
      <c r="CV228" s="140" t="s">
        <v>204</v>
      </c>
      <c r="CW228" s="140" t="s">
        <v>166</v>
      </c>
      <c r="CX228" s="140" t="s">
        <v>166</v>
      </c>
      <c r="CY228" s="140" t="s">
        <v>166</v>
      </c>
      <c r="CZ228" s="140" t="s">
        <v>166</v>
      </c>
      <c r="DA228" s="209" t="s">
        <v>166</v>
      </c>
      <c r="DB228" s="140" t="s">
        <v>166</v>
      </c>
      <c r="DC228" s="140" t="s">
        <v>166</v>
      </c>
      <c r="DD228" s="140" t="s">
        <v>166</v>
      </c>
      <c r="DE228" s="140" t="s">
        <v>166</v>
      </c>
      <c r="DF228" s="140" t="s">
        <v>520</v>
      </c>
      <c r="DG228" s="250">
        <v>35</v>
      </c>
      <c r="DH228" s="250" t="s">
        <v>201</v>
      </c>
      <c r="DI228" s="140">
        <v>1</v>
      </c>
      <c r="DJ228" s="250" t="s">
        <v>206</v>
      </c>
      <c r="DK228" s="250">
        <v>17</v>
      </c>
      <c r="DL228" s="140" t="s">
        <v>166</v>
      </c>
      <c r="DM228" s="140" t="s">
        <v>166</v>
      </c>
      <c r="DN228" s="250" t="s">
        <v>207</v>
      </c>
      <c r="DO228" s="250">
        <v>38</v>
      </c>
      <c r="DP228" s="250" t="s">
        <v>208</v>
      </c>
      <c r="DQ228" s="250">
        <v>3</v>
      </c>
      <c r="DR228" s="250" t="s">
        <v>209</v>
      </c>
      <c r="DS228" s="140" t="s">
        <v>166</v>
      </c>
      <c r="DT228" s="140" t="s">
        <v>166</v>
      </c>
      <c r="DU228" s="140" t="s">
        <v>166</v>
      </c>
      <c r="DV228" s="140" t="s">
        <v>166</v>
      </c>
      <c r="DW228" s="250">
        <v>432.6</v>
      </c>
      <c r="DX228" s="140" t="s">
        <v>166</v>
      </c>
      <c r="DY228" s="140" t="s">
        <v>166</v>
      </c>
      <c r="DZ228" s="140" t="s">
        <v>210</v>
      </c>
      <c r="EA228" s="140" t="s">
        <v>211</v>
      </c>
      <c r="EB228" s="140" t="s">
        <v>212</v>
      </c>
      <c r="EC228" s="140" t="s">
        <v>166</v>
      </c>
      <c r="ED228" s="140" t="s">
        <v>213</v>
      </c>
      <c r="EE228" s="213" t="s">
        <v>214</v>
      </c>
      <c r="EF228" s="213" t="s">
        <v>214</v>
      </c>
      <c r="EG228" s="250">
        <v>1.0271999999999999</v>
      </c>
      <c r="EH228" s="250" t="s">
        <v>215</v>
      </c>
      <c r="EI228" s="250" t="s">
        <v>215</v>
      </c>
      <c r="EJ228" s="250" t="s">
        <v>216</v>
      </c>
      <c r="EK228" s="250" t="s">
        <v>215</v>
      </c>
      <c r="EL228" s="250" t="s">
        <v>215</v>
      </c>
      <c r="EM228" s="250" t="s">
        <v>217</v>
      </c>
      <c r="EN228" s="251" t="s">
        <v>214</v>
      </c>
      <c r="EO228" s="251" t="s">
        <v>214</v>
      </c>
      <c r="EP228" s="251" t="s">
        <v>214</v>
      </c>
      <c r="EQ228" s="251" t="s">
        <v>214</v>
      </c>
      <c r="ER228" s="250"/>
      <c r="ES228" s="250"/>
      <c r="ET228" s="140" t="s">
        <v>218</v>
      </c>
      <c r="EU228" s="250" t="s">
        <v>219</v>
      </c>
      <c r="EV228" s="250" t="s">
        <v>213</v>
      </c>
      <c r="EW228" s="140" t="s">
        <v>166</v>
      </c>
      <c r="EX228" s="140" t="s">
        <v>166</v>
      </c>
      <c r="EY228" s="140" t="s">
        <v>166</v>
      </c>
      <c r="EZ228" s="140" t="s">
        <v>166</v>
      </c>
      <c r="FA228" s="205">
        <v>4.5</v>
      </c>
      <c r="FB228" s="140" t="s">
        <v>220</v>
      </c>
      <c r="FC228" s="205">
        <v>1</v>
      </c>
      <c r="FD228" s="205">
        <v>1</v>
      </c>
      <c r="FE228" s="215">
        <v>7.4357439947655601</v>
      </c>
      <c r="FF228" s="140" t="s">
        <v>221</v>
      </c>
      <c r="FG228" s="215">
        <v>9.2097846722889898E-2</v>
      </c>
      <c r="FH228" s="215">
        <v>0.1146764707916601</v>
      </c>
      <c r="FI228" s="266">
        <v>2335.39126805674</v>
      </c>
      <c r="FK228" s="140" t="s">
        <v>166</v>
      </c>
      <c r="FL228" s="217">
        <f t="shared" si="222"/>
        <v>2335.39126805674</v>
      </c>
      <c r="FM228" s="266">
        <v>1704.7161598873899</v>
      </c>
      <c r="FN228" s="266">
        <v>822.32606318810008</v>
      </c>
      <c r="FO228" s="140" t="s">
        <v>222</v>
      </c>
      <c r="FP228" s="140" t="s">
        <v>223</v>
      </c>
      <c r="FQ228" s="217" t="s">
        <v>166</v>
      </c>
      <c r="FR228" s="217" t="s">
        <v>166</v>
      </c>
      <c r="FS228" s="217" t="s">
        <v>166</v>
      </c>
      <c r="FT228" s="217" t="s">
        <v>166</v>
      </c>
      <c r="FU228" s="217" t="s">
        <v>166</v>
      </c>
      <c r="FV228" s="217" t="s">
        <v>166</v>
      </c>
      <c r="FW228" s="217" t="s">
        <v>166</v>
      </c>
      <c r="FX228" s="217" t="s">
        <v>166</v>
      </c>
      <c r="FY228" s="217" t="s">
        <v>166</v>
      </c>
      <c r="FZ228" s="217" t="s">
        <v>166</v>
      </c>
      <c r="GA228" s="217" t="s">
        <v>166</v>
      </c>
      <c r="GB228" s="217" t="s">
        <v>166</v>
      </c>
      <c r="GC228" s="202" t="s">
        <v>521</v>
      </c>
    </row>
    <row r="229" spans="1:185" s="140" customFormat="1" ht="17">
      <c r="A229" s="140" t="s">
        <v>162</v>
      </c>
      <c r="B229" s="143" t="s">
        <v>163</v>
      </c>
      <c r="C229" s="140" t="s">
        <v>164</v>
      </c>
      <c r="D229" s="140" t="s">
        <v>165</v>
      </c>
      <c r="E229" s="140">
        <v>2020</v>
      </c>
      <c r="F229" s="140" t="s">
        <v>184</v>
      </c>
      <c r="G229" s="240">
        <v>54049.717000000004</v>
      </c>
      <c r="H229" s="241">
        <f t="shared" ref="H229" si="238">0.0083*G229^(0.9482)</f>
        <v>255.10138550764461</v>
      </c>
      <c r="I229" s="241">
        <f t="shared" si="171"/>
        <v>255.10138550764461</v>
      </c>
      <c r="J229" s="266">
        <v>1213.4622398075201</v>
      </c>
      <c r="K229" s="266">
        <v>371.63058194769997</v>
      </c>
      <c r="L229" s="266">
        <v>288.77104309824813</v>
      </c>
      <c r="M229" s="140" t="b">
        <v>1</v>
      </c>
      <c r="N229" s="140">
        <v>1</v>
      </c>
      <c r="O229" s="302" t="s">
        <v>581</v>
      </c>
      <c r="P229" s="140" t="s">
        <v>166</v>
      </c>
      <c r="Q229" s="140" t="s">
        <v>166</v>
      </c>
      <c r="R229" s="140" t="s">
        <v>166</v>
      </c>
      <c r="S229" s="140" t="b">
        <v>1</v>
      </c>
      <c r="T229" s="140" t="b">
        <v>0</v>
      </c>
      <c r="U229" s="140" t="s">
        <v>166</v>
      </c>
      <c r="V229" s="140" t="b">
        <v>0</v>
      </c>
      <c r="W229" s="140" t="b">
        <v>0</v>
      </c>
      <c r="X229" s="140" t="s">
        <v>580</v>
      </c>
      <c r="Y229" s="202" t="s">
        <v>186</v>
      </c>
      <c r="Z229" s="140" t="s">
        <v>184</v>
      </c>
      <c r="AA229" s="267">
        <v>1265</v>
      </c>
      <c r="AB229" s="207" t="s">
        <v>187</v>
      </c>
      <c r="AC229" s="207">
        <v>26</v>
      </c>
      <c r="AD229" s="207">
        <v>3</v>
      </c>
      <c r="AE229" s="207">
        <v>55.5</v>
      </c>
      <c r="AF229" s="207">
        <v>57</v>
      </c>
      <c r="AG229" s="140">
        <v>241.0625</v>
      </c>
      <c r="AH229" s="140">
        <v>277.41250000000002</v>
      </c>
      <c r="AI229" s="140" t="s">
        <v>522</v>
      </c>
      <c r="AJ229" s="140" t="s">
        <v>523</v>
      </c>
      <c r="AK229" s="210">
        <v>-28.835000000000001</v>
      </c>
      <c r="AL229" s="210">
        <v>2.639167</v>
      </c>
      <c r="AM229" s="140">
        <v>-42</v>
      </c>
      <c r="AN229" s="140" t="s">
        <v>166</v>
      </c>
      <c r="AO229" s="140">
        <v>-3083</v>
      </c>
      <c r="AP229" s="140">
        <v>-1850</v>
      </c>
      <c r="AQ229" s="140" t="s">
        <v>524</v>
      </c>
      <c r="AR229" s="140" t="s">
        <v>511</v>
      </c>
      <c r="AS229" s="240">
        <v>54.049717000000001</v>
      </c>
      <c r="AT229" s="140" t="s">
        <v>166</v>
      </c>
      <c r="AU229" s="140" t="s">
        <v>166</v>
      </c>
      <c r="AV229" s="140" t="s">
        <v>166</v>
      </c>
      <c r="AW229" s="140" t="s">
        <v>255</v>
      </c>
      <c r="AX229" s="140" t="s">
        <v>512</v>
      </c>
      <c r="AY229" s="140" t="s">
        <v>190</v>
      </c>
      <c r="AZ229" s="140" t="s">
        <v>166</v>
      </c>
      <c r="BA229" s="140" t="s">
        <v>166</v>
      </c>
      <c r="BB229" s="140" t="s">
        <v>166</v>
      </c>
      <c r="BC229" s="140" t="s">
        <v>166</v>
      </c>
      <c r="BD229" s="140" t="s">
        <v>166</v>
      </c>
      <c r="BE229" s="140" t="s">
        <v>166</v>
      </c>
      <c r="BF229" s="140" t="s">
        <v>166</v>
      </c>
      <c r="BG229" s="269" t="s">
        <v>513</v>
      </c>
      <c r="BH229" s="207" t="s">
        <v>236</v>
      </c>
      <c r="BI229" s="140" t="s">
        <v>514</v>
      </c>
      <c r="BJ229" s="140">
        <v>2.1179999999999382</v>
      </c>
      <c r="BK229" s="140" t="s">
        <v>515</v>
      </c>
      <c r="BL229" s="140" t="s">
        <v>516</v>
      </c>
      <c r="BM229" s="140" t="s">
        <v>517</v>
      </c>
      <c r="BN229" s="140" t="s">
        <v>466</v>
      </c>
      <c r="BO229" s="207">
        <v>4</v>
      </c>
      <c r="BP229" s="210">
        <v>0.72</v>
      </c>
      <c r="BQ229" s="209">
        <v>14.14</v>
      </c>
      <c r="BR229" s="140" t="s">
        <v>518</v>
      </c>
      <c r="BS229" s="209">
        <v>0.3</v>
      </c>
      <c r="BT229" s="140">
        <v>1</v>
      </c>
      <c r="BU229" s="140" t="s">
        <v>197</v>
      </c>
      <c r="BV229" s="140" t="s">
        <v>166</v>
      </c>
      <c r="BW229" s="140">
        <v>0</v>
      </c>
      <c r="BX229" s="140" t="s">
        <v>197</v>
      </c>
      <c r="BY229" s="140" t="s">
        <v>166</v>
      </c>
      <c r="BZ229" s="140" t="s">
        <v>197</v>
      </c>
      <c r="CA229" s="140" t="s">
        <v>166</v>
      </c>
      <c r="CB229" s="210">
        <f t="shared" si="232"/>
        <v>14.14</v>
      </c>
      <c r="CC229" s="140" t="s">
        <v>196</v>
      </c>
      <c r="CD229" s="140">
        <f t="shared" si="233"/>
        <v>0.3</v>
      </c>
      <c r="CE229" s="140" t="s">
        <v>199</v>
      </c>
      <c r="CF229" s="140" t="s">
        <v>166</v>
      </c>
      <c r="CG229" s="140" t="s">
        <v>474</v>
      </c>
      <c r="CH229" s="140" t="s">
        <v>166</v>
      </c>
      <c r="CI229" s="140" t="s">
        <v>166</v>
      </c>
      <c r="CJ229" s="247">
        <v>37.258915339615847</v>
      </c>
      <c r="CK229" s="140" t="s">
        <v>201</v>
      </c>
      <c r="CL229" s="140">
        <v>2</v>
      </c>
      <c r="CM229" s="140">
        <v>2</v>
      </c>
      <c r="CN229" s="140" t="s">
        <v>166</v>
      </c>
      <c r="CO229" s="207" t="s">
        <v>530</v>
      </c>
      <c r="CP229" s="140" t="s">
        <v>519</v>
      </c>
      <c r="CQ229" s="270">
        <v>0.13320000000000001</v>
      </c>
      <c r="CR229" s="270">
        <v>0.13320000000000001</v>
      </c>
      <c r="CS229" s="249" t="s">
        <v>202</v>
      </c>
      <c r="CT229" s="140" t="s">
        <v>203</v>
      </c>
      <c r="CU229" s="140">
        <v>2.2000000000000002</v>
      </c>
      <c r="CV229" s="140" t="s">
        <v>204</v>
      </c>
      <c r="CW229" s="140" t="s">
        <v>166</v>
      </c>
      <c r="CX229" s="140" t="s">
        <v>166</v>
      </c>
      <c r="CY229" s="140" t="s">
        <v>166</v>
      </c>
      <c r="CZ229" s="140" t="s">
        <v>166</v>
      </c>
      <c r="DA229" s="209" t="s">
        <v>166</v>
      </c>
      <c r="DB229" s="140" t="s">
        <v>166</v>
      </c>
      <c r="DC229" s="140" t="s">
        <v>166</v>
      </c>
      <c r="DD229" s="140" t="s">
        <v>166</v>
      </c>
      <c r="DE229" s="140" t="s">
        <v>166</v>
      </c>
      <c r="DF229" s="140" t="s">
        <v>520</v>
      </c>
      <c r="DG229" s="250">
        <v>35</v>
      </c>
      <c r="DH229" s="250" t="s">
        <v>201</v>
      </c>
      <c r="DI229" s="140">
        <v>1</v>
      </c>
      <c r="DJ229" s="250" t="s">
        <v>206</v>
      </c>
      <c r="DK229" s="250">
        <v>17</v>
      </c>
      <c r="DL229" s="140" t="s">
        <v>166</v>
      </c>
      <c r="DM229" s="140" t="s">
        <v>166</v>
      </c>
      <c r="DN229" s="250" t="s">
        <v>207</v>
      </c>
      <c r="DO229" s="250">
        <v>38</v>
      </c>
      <c r="DP229" s="250" t="s">
        <v>208</v>
      </c>
      <c r="DQ229" s="250">
        <v>3</v>
      </c>
      <c r="DR229" s="250" t="s">
        <v>209</v>
      </c>
      <c r="DS229" s="140" t="s">
        <v>166</v>
      </c>
      <c r="DT229" s="140" t="s">
        <v>166</v>
      </c>
      <c r="DU229" s="140" t="s">
        <v>166</v>
      </c>
      <c r="DV229" s="140" t="s">
        <v>166</v>
      </c>
      <c r="DW229" s="250">
        <v>432.6</v>
      </c>
      <c r="DX229" s="140" t="s">
        <v>166</v>
      </c>
      <c r="DY229" s="140" t="s">
        <v>166</v>
      </c>
      <c r="DZ229" s="140" t="s">
        <v>210</v>
      </c>
      <c r="EA229" s="140" t="s">
        <v>211</v>
      </c>
      <c r="EB229" s="140" t="s">
        <v>212</v>
      </c>
      <c r="EC229" s="140" t="s">
        <v>166</v>
      </c>
      <c r="ED229" s="140" t="s">
        <v>213</v>
      </c>
      <c r="EE229" s="213" t="s">
        <v>214</v>
      </c>
      <c r="EF229" s="213" t="s">
        <v>214</v>
      </c>
      <c r="EG229" s="250">
        <v>1.0271999999999999</v>
      </c>
      <c r="EH229" s="250" t="s">
        <v>215</v>
      </c>
      <c r="EI229" s="250" t="s">
        <v>215</v>
      </c>
      <c r="EJ229" s="250" t="s">
        <v>216</v>
      </c>
      <c r="EK229" s="250" t="s">
        <v>215</v>
      </c>
      <c r="EL229" s="250" t="s">
        <v>215</v>
      </c>
      <c r="EM229" s="250" t="s">
        <v>217</v>
      </c>
      <c r="EN229" s="251" t="s">
        <v>214</v>
      </c>
      <c r="EO229" s="251" t="s">
        <v>214</v>
      </c>
      <c r="EP229" s="251" t="s">
        <v>214</v>
      </c>
      <c r="EQ229" s="251" t="s">
        <v>214</v>
      </c>
      <c r="ER229" s="250"/>
      <c r="ES229" s="250"/>
      <c r="ET229" s="140" t="s">
        <v>218</v>
      </c>
      <c r="EU229" s="250" t="s">
        <v>219</v>
      </c>
      <c r="EV229" s="250" t="s">
        <v>213</v>
      </c>
      <c r="EW229" s="140" t="s">
        <v>166</v>
      </c>
      <c r="EX229" s="140" t="s">
        <v>166</v>
      </c>
      <c r="EY229" s="140" t="s">
        <v>166</v>
      </c>
      <c r="EZ229" s="140" t="s">
        <v>166</v>
      </c>
      <c r="FA229" s="205">
        <v>4.5</v>
      </c>
      <c r="FB229" s="140" t="s">
        <v>220</v>
      </c>
      <c r="FC229" s="205">
        <v>1</v>
      </c>
      <c r="FD229" s="205">
        <v>1</v>
      </c>
      <c r="FE229" s="215">
        <v>7.5757954167077299</v>
      </c>
      <c r="FF229" s="140" t="s">
        <v>221</v>
      </c>
      <c r="FG229" s="215">
        <v>4.5356580701840343E-2</v>
      </c>
      <c r="FH229" s="215">
        <v>4.693881325060012E-2</v>
      </c>
      <c r="FI229" s="266">
        <v>1213.4622398075201</v>
      </c>
      <c r="FK229" s="140" t="s">
        <v>166</v>
      </c>
      <c r="FL229" s="217">
        <f t="shared" si="222"/>
        <v>1213.4622398075201</v>
      </c>
      <c r="FM229" s="266">
        <v>371.63058194769997</v>
      </c>
      <c r="FN229" s="266">
        <v>288.77104309824813</v>
      </c>
      <c r="FO229" s="140" t="s">
        <v>222</v>
      </c>
      <c r="FP229" s="140" t="s">
        <v>223</v>
      </c>
      <c r="FQ229" s="217" t="s">
        <v>166</v>
      </c>
      <c r="FR229" s="217" t="s">
        <v>166</v>
      </c>
      <c r="FS229" s="217" t="s">
        <v>166</v>
      </c>
      <c r="FT229" s="217" t="s">
        <v>166</v>
      </c>
      <c r="FU229" s="217" t="s">
        <v>166</v>
      </c>
      <c r="FV229" s="217" t="s">
        <v>166</v>
      </c>
      <c r="FW229" s="217" t="s">
        <v>166</v>
      </c>
      <c r="FX229" s="217" t="s">
        <v>166</v>
      </c>
      <c r="FY229" s="217" t="s">
        <v>166</v>
      </c>
      <c r="FZ229" s="217" t="s">
        <v>166</v>
      </c>
      <c r="GA229" s="217" t="s">
        <v>166</v>
      </c>
      <c r="GB229" s="217" t="s">
        <v>166</v>
      </c>
      <c r="GC229" s="202" t="s">
        <v>521</v>
      </c>
    </row>
    <row r="230" spans="1:185" s="140" customFormat="1" ht="17">
      <c r="A230" s="140" t="s">
        <v>162</v>
      </c>
      <c r="B230" s="143" t="s">
        <v>163</v>
      </c>
      <c r="C230" s="140" t="s">
        <v>164</v>
      </c>
      <c r="D230" s="140" t="s">
        <v>165</v>
      </c>
      <c r="E230" s="140">
        <v>2020</v>
      </c>
      <c r="F230" s="140" t="s">
        <v>184</v>
      </c>
      <c r="G230" s="240">
        <v>54049.717000000004</v>
      </c>
      <c r="H230" s="241">
        <f t="shared" ref="H230" si="239">0.0083*G230^(0.9482)</f>
        <v>255.10138550764461</v>
      </c>
      <c r="I230" s="241">
        <f t="shared" ref="I230:I243" si="240">0.0083*G230^(0.9482)</f>
        <v>255.10138550764461</v>
      </c>
      <c r="J230" s="266">
        <v>995.53070533850496</v>
      </c>
      <c r="K230" s="266">
        <v>556.93363114007502</v>
      </c>
      <c r="L230" s="266">
        <v>366.16508595536197</v>
      </c>
      <c r="M230" s="140" t="b">
        <v>1</v>
      </c>
      <c r="N230" s="140">
        <v>1</v>
      </c>
      <c r="O230" s="302" t="s">
        <v>581</v>
      </c>
      <c r="P230" s="140" t="s">
        <v>166</v>
      </c>
      <c r="Q230" s="140" t="s">
        <v>166</v>
      </c>
      <c r="R230" s="140" t="s">
        <v>166</v>
      </c>
      <c r="S230" s="140" t="b">
        <v>1</v>
      </c>
      <c r="T230" s="140" t="b">
        <v>0</v>
      </c>
      <c r="U230" s="140" t="s">
        <v>166</v>
      </c>
      <c r="V230" s="140" t="b">
        <v>0</v>
      </c>
      <c r="W230" s="140" t="b">
        <v>0</v>
      </c>
      <c r="X230" s="140" t="s">
        <v>580</v>
      </c>
      <c r="Y230" s="202" t="s">
        <v>186</v>
      </c>
      <c r="Z230" s="140" t="s">
        <v>184</v>
      </c>
      <c r="AA230" s="267">
        <v>1265</v>
      </c>
      <c r="AB230" s="207" t="s">
        <v>187</v>
      </c>
      <c r="AC230" s="207">
        <v>26</v>
      </c>
      <c r="AD230" s="207">
        <v>3</v>
      </c>
      <c r="AE230" s="207">
        <v>56</v>
      </c>
      <c r="AF230" s="207">
        <v>56.5</v>
      </c>
      <c r="AG230" s="140">
        <v>241.0625</v>
      </c>
      <c r="AH230" s="140">
        <v>277.41250000000002</v>
      </c>
      <c r="AI230" s="140" t="s">
        <v>522</v>
      </c>
      <c r="AJ230" s="140" t="s">
        <v>523</v>
      </c>
      <c r="AK230" s="210">
        <v>-28.835000000000001</v>
      </c>
      <c r="AL230" s="210">
        <v>2.639167</v>
      </c>
      <c r="AM230" s="140">
        <v>-42</v>
      </c>
      <c r="AN230" s="140" t="s">
        <v>166</v>
      </c>
      <c r="AO230" s="140">
        <v>-3083</v>
      </c>
      <c r="AP230" s="140">
        <v>-1850</v>
      </c>
      <c r="AQ230" s="140" t="s">
        <v>524</v>
      </c>
      <c r="AR230" s="140" t="s">
        <v>511</v>
      </c>
      <c r="AS230" s="240">
        <v>54.049717000000001</v>
      </c>
      <c r="AT230" s="140" t="s">
        <v>166</v>
      </c>
      <c r="AU230" s="140" t="s">
        <v>166</v>
      </c>
      <c r="AV230" s="140" t="s">
        <v>166</v>
      </c>
      <c r="AW230" s="140" t="s">
        <v>255</v>
      </c>
      <c r="AX230" s="140" t="s">
        <v>512</v>
      </c>
      <c r="AY230" s="140" t="s">
        <v>190</v>
      </c>
      <c r="AZ230" s="140" t="s">
        <v>166</v>
      </c>
      <c r="BA230" s="140" t="s">
        <v>166</v>
      </c>
      <c r="BB230" s="140" t="s">
        <v>166</v>
      </c>
      <c r="BC230" s="140" t="s">
        <v>166</v>
      </c>
      <c r="BD230" s="140" t="s">
        <v>166</v>
      </c>
      <c r="BE230" s="140" t="s">
        <v>166</v>
      </c>
      <c r="BF230" s="140" t="s">
        <v>166</v>
      </c>
      <c r="BG230" s="269" t="s">
        <v>513</v>
      </c>
      <c r="BH230" s="207" t="s">
        <v>236</v>
      </c>
      <c r="BI230" s="140" t="s">
        <v>514</v>
      </c>
      <c r="BJ230" s="140">
        <v>1.4669999999999277</v>
      </c>
      <c r="BK230" s="140" t="s">
        <v>515</v>
      </c>
      <c r="BL230" s="140" t="s">
        <v>516</v>
      </c>
      <c r="BM230" s="140" t="s">
        <v>517</v>
      </c>
      <c r="BN230" s="140" t="s">
        <v>466</v>
      </c>
      <c r="BO230" s="207">
        <v>5</v>
      </c>
      <c r="BP230" s="210">
        <v>0.3</v>
      </c>
      <c r="BQ230" s="209">
        <v>14.43</v>
      </c>
      <c r="BR230" s="140" t="s">
        <v>518</v>
      </c>
      <c r="BS230" s="209">
        <v>0.72</v>
      </c>
      <c r="BT230" s="140">
        <v>1</v>
      </c>
      <c r="BU230" s="140" t="s">
        <v>197</v>
      </c>
      <c r="BV230" s="140" t="s">
        <v>166</v>
      </c>
      <c r="BW230" s="140">
        <v>0</v>
      </c>
      <c r="BX230" s="140" t="s">
        <v>197</v>
      </c>
      <c r="BY230" s="140" t="s">
        <v>166</v>
      </c>
      <c r="BZ230" s="140" t="s">
        <v>197</v>
      </c>
      <c r="CA230" s="140" t="s">
        <v>166</v>
      </c>
      <c r="CB230" s="210">
        <f t="shared" si="232"/>
        <v>14.43</v>
      </c>
      <c r="CC230" s="140" t="s">
        <v>196</v>
      </c>
      <c r="CD230" s="140">
        <f t="shared" si="233"/>
        <v>0.72</v>
      </c>
      <c r="CE230" s="140" t="s">
        <v>199</v>
      </c>
      <c r="CF230" s="140" t="s">
        <v>166</v>
      </c>
      <c r="CG230" s="140" t="s">
        <v>474</v>
      </c>
      <c r="CH230" s="140" t="s">
        <v>166</v>
      </c>
      <c r="CI230" s="140" t="s">
        <v>166</v>
      </c>
      <c r="CJ230" s="247">
        <v>37.258915339615847</v>
      </c>
      <c r="CK230" s="140" t="s">
        <v>201</v>
      </c>
      <c r="CL230" s="140">
        <v>2</v>
      </c>
      <c r="CM230" s="140">
        <v>2</v>
      </c>
      <c r="CN230" s="140" t="s">
        <v>166</v>
      </c>
      <c r="CO230" s="207" t="s">
        <v>530</v>
      </c>
      <c r="CP230" s="140" t="s">
        <v>519</v>
      </c>
      <c r="CQ230" s="270">
        <v>0.13320000000000001</v>
      </c>
      <c r="CR230" s="270">
        <v>0.13320000000000001</v>
      </c>
      <c r="CS230" s="249" t="s">
        <v>202</v>
      </c>
      <c r="CT230" s="140" t="s">
        <v>203</v>
      </c>
      <c r="CU230" s="140">
        <v>2.2000000000000002</v>
      </c>
      <c r="CV230" s="140" t="s">
        <v>204</v>
      </c>
      <c r="CW230" s="140" t="s">
        <v>166</v>
      </c>
      <c r="CX230" s="140" t="s">
        <v>166</v>
      </c>
      <c r="CY230" s="140" t="s">
        <v>166</v>
      </c>
      <c r="CZ230" s="140" t="s">
        <v>166</v>
      </c>
      <c r="DA230" s="209" t="s">
        <v>166</v>
      </c>
      <c r="DB230" s="140" t="s">
        <v>166</v>
      </c>
      <c r="DC230" s="140" t="s">
        <v>166</v>
      </c>
      <c r="DD230" s="140" t="s">
        <v>166</v>
      </c>
      <c r="DE230" s="140" t="s">
        <v>166</v>
      </c>
      <c r="DF230" s="140" t="s">
        <v>520</v>
      </c>
      <c r="DG230" s="250">
        <v>35</v>
      </c>
      <c r="DH230" s="250" t="s">
        <v>201</v>
      </c>
      <c r="DI230" s="140">
        <v>1</v>
      </c>
      <c r="DJ230" s="250" t="s">
        <v>206</v>
      </c>
      <c r="DK230" s="250">
        <v>17</v>
      </c>
      <c r="DL230" s="140" t="s">
        <v>166</v>
      </c>
      <c r="DM230" s="140" t="s">
        <v>166</v>
      </c>
      <c r="DN230" s="250" t="s">
        <v>207</v>
      </c>
      <c r="DO230" s="250">
        <v>38</v>
      </c>
      <c r="DP230" s="250" t="s">
        <v>208</v>
      </c>
      <c r="DQ230" s="250">
        <v>3</v>
      </c>
      <c r="DR230" s="250" t="s">
        <v>209</v>
      </c>
      <c r="DS230" s="140" t="s">
        <v>166</v>
      </c>
      <c r="DT230" s="140" t="s">
        <v>166</v>
      </c>
      <c r="DU230" s="140" t="s">
        <v>166</v>
      </c>
      <c r="DV230" s="140" t="s">
        <v>166</v>
      </c>
      <c r="DW230" s="250">
        <v>432.6</v>
      </c>
      <c r="DX230" s="140" t="s">
        <v>166</v>
      </c>
      <c r="DY230" s="140" t="s">
        <v>166</v>
      </c>
      <c r="DZ230" s="140" t="s">
        <v>210</v>
      </c>
      <c r="EA230" s="140" t="s">
        <v>211</v>
      </c>
      <c r="EB230" s="140" t="s">
        <v>212</v>
      </c>
      <c r="EC230" s="140" t="s">
        <v>166</v>
      </c>
      <c r="ED230" s="140" t="s">
        <v>213</v>
      </c>
      <c r="EE230" s="233" t="s">
        <v>214</v>
      </c>
      <c r="EF230" s="233" t="s">
        <v>214</v>
      </c>
      <c r="EG230" s="250">
        <v>1.0271999999999999</v>
      </c>
      <c r="EH230" s="250" t="s">
        <v>215</v>
      </c>
      <c r="EI230" s="250" t="s">
        <v>215</v>
      </c>
      <c r="EJ230" s="250" t="s">
        <v>216</v>
      </c>
      <c r="EK230" s="250" t="s">
        <v>215</v>
      </c>
      <c r="EL230" s="250" t="s">
        <v>215</v>
      </c>
      <c r="EM230" s="250" t="s">
        <v>217</v>
      </c>
      <c r="EN230" s="264" t="s">
        <v>214</v>
      </c>
      <c r="EO230" s="264" t="s">
        <v>214</v>
      </c>
      <c r="EP230" s="264" t="s">
        <v>214</v>
      </c>
      <c r="EQ230" s="264" t="s">
        <v>214</v>
      </c>
      <c r="ER230" s="250"/>
      <c r="ES230" s="250"/>
      <c r="ET230" s="140" t="s">
        <v>218</v>
      </c>
      <c r="EU230" s="250" t="s">
        <v>219</v>
      </c>
      <c r="EV230" s="250" t="s">
        <v>213</v>
      </c>
      <c r="EW230" s="140" t="s">
        <v>166</v>
      </c>
      <c r="EX230" s="140" t="s">
        <v>166</v>
      </c>
      <c r="EY230" s="140" t="s">
        <v>166</v>
      </c>
      <c r="EZ230" s="140" t="s">
        <v>166</v>
      </c>
      <c r="FA230" s="205">
        <v>4.5</v>
      </c>
      <c r="FB230" s="140" t="s">
        <v>220</v>
      </c>
      <c r="FC230" s="205">
        <v>1</v>
      </c>
      <c r="FD230" s="205">
        <v>1</v>
      </c>
      <c r="FE230" s="215">
        <v>7.6181338342881002</v>
      </c>
      <c r="FF230" s="140" t="s">
        <v>221</v>
      </c>
      <c r="FG230" s="215">
        <v>8.8955624882619766E-2</v>
      </c>
      <c r="FH230" s="215">
        <v>8.7864000238040418E-2</v>
      </c>
      <c r="FI230" s="266">
        <v>995.53070533850496</v>
      </c>
      <c r="FK230" s="140" t="s">
        <v>166</v>
      </c>
      <c r="FL230" s="217">
        <f t="shared" si="222"/>
        <v>995.53070533850496</v>
      </c>
      <c r="FM230" s="266">
        <v>556.93363114007502</v>
      </c>
      <c r="FN230" s="266">
        <v>366.16508595536197</v>
      </c>
      <c r="FO230" s="140" t="s">
        <v>222</v>
      </c>
      <c r="FP230" s="140" t="s">
        <v>223</v>
      </c>
      <c r="FQ230" s="217" t="s">
        <v>166</v>
      </c>
      <c r="FR230" s="217" t="s">
        <v>166</v>
      </c>
      <c r="FS230" s="217" t="s">
        <v>166</v>
      </c>
      <c r="FT230" s="217" t="s">
        <v>166</v>
      </c>
      <c r="FU230" s="217" t="s">
        <v>166</v>
      </c>
      <c r="FV230" s="217" t="s">
        <v>166</v>
      </c>
      <c r="FW230" s="217" t="s">
        <v>166</v>
      </c>
      <c r="FX230" s="217" t="s">
        <v>166</v>
      </c>
      <c r="FY230" s="217" t="s">
        <v>166</v>
      </c>
      <c r="FZ230" s="217" t="s">
        <v>166</v>
      </c>
      <c r="GA230" s="217" t="s">
        <v>166</v>
      </c>
      <c r="GB230" s="217" t="s">
        <v>166</v>
      </c>
      <c r="GC230" s="202" t="s">
        <v>521</v>
      </c>
    </row>
    <row r="231" spans="1:185" s="140" customFormat="1" ht="17">
      <c r="A231" s="140" t="s">
        <v>162</v>
      </c>
      <c r="B231" s="143" t="s">
        <v>163</v>
      </c>
      <c r="C231" s="140" t="s">
        <v>164</v>
      </c>
      <c r="D231" s="140" t="s">
        <v>165</v>
      </c>
      <c r="E231" s="140">
        <v>2020</v>
      </c>
      <c r="F231" s="140" t="s">
        <v>184</v>
      </c>
      <c r="G231" s="240">
        <v>54050.15</v>
      </c>
      <c r="H231" s="241">
        <f t="shared" ref="H231" si="241">0.0083*G231^(0.9482)</f>
        <v>255.10332329960715</v>
      </c>
      <c r="I231" s="241">
        <f t="shared" si="240"/>
        <v>255.10332329960715</v>
      </c>
      <c r="J231" s="266">
        <v>1025.16378982885</v>
      </c>
      <c r="K231" s="266">
        <v>791.2901825321901</v>
      </c>
      <c r="L231" s="266">
        <v>418.19884975720902</v>
      </c>
      <c r="M231" s="140" t="b">
        <v>1</v>
      </c>
      <c r="N231" s="140">
        <v>1</v>
      </c>
      <c r="O231" s="302" t="s">
        <v>581</v>
      </c>
      <c r="P231" s="140" t="s">
        <v>166</v>
      </c>
      <c r="Q231" s="140" t="s">
        <v>166</v>
      </c>
      <c r="R231" s="140" t="s">
        <v>166</v>
      </c>
      <c r="S231" s="140" t="b">
        <v>1</v>
      </c>
      <c r="T231" s="140" t="b">
        <v>0</v>
      </c>
      <c r="U231" s="140" t="s">
        <v>166</v>
      </c>
      <c r="V231" s="140" t="b">
        <v>0</v>
      </c>
      <c r="W231" s="140" t="b">
        <v>0</v>
      </c>
      <c r="X231" s="140" t="s">
        <v>580</v>
      </c>
      <c r="Y231" s="202" t="s">
        <v>186</v>
      </c>
      <c r="Z231" s="140" t="s">
        <v>184</v>
      </c>
      <c r="AA231" s="267">
        <v>1265</v>
      </c>
      <c r="AB231" s="207" t="s">
        <v>187</v>
      </c>
      <c r="AC231" s="207">
        <v>26</v>
      </c>
      <c r="AD231" s="207">
        <v>3</v>
      </c>
      <c r="AE231" s="207">
        <v>57</v>
      </c>
      <c r="AF231" s="207">
        <v>57.5</v>
      </c>
      <c r="AG231" s="140">
        <v>241.07249999999999</v>
      </c>
      <c r="AH231" s="140">
        <v>277.42250000000001</v>
      </c>
      <c r="AI231" s="140" t="s">
        <v>522</v>
      </c>
      <c r="AJ231" s="140" t="s">
        <v>523</v>
      </c>
      <c r="AK231" s="210">
        <v>-28.835000000000001</v>
      </c>
      <c r="AL231" s="210">
        <v>2.639167</v>
      </c>
      <c r="AM231" s="140">
        <v>-42</v>
      </c>
      <c r="AN231" s="140" t="s">
        <v>166</v>
      </c>
      <c r="AO231" s="140">
        <v>-3083</v>
      </c>
      <c r="AP231" s="140">
        <v>-1850</v>
      </c>
      <c r="AQ231" s="140" t="s">
        <v>524</v>
      </c>
      <c r="AR231" s="140" t="s">
        <v>511</v>
      </c>
      <c r="AS231" s="240">
        <v>54.050150000000002</v>
      </c>
      <c r="AT231" s="140" t="s">
        <v>166</v>
      </c>
      <c r="AU231" s="140" t="s">
        <v>166</v>
      </c>
      <c r="AV231" s="140" t="s">
        <v>166</v>
      </c>
      <c r="AW231" s="140" t="s">
        <v>255</v>
      </c>
      <c r="AX231" s="140" t="s">
        <v>512</v>
      </c>
      <c r="AY231" s="140" t="s">
        <v>190</v>
      </c>
      <c r="AZ231" s="140" t="s">
        <v>166</v>
      </c>
      <c r="BA231" s="140" t="s">
        <v>166</v>
      </c>
      <c r="BB231" s="140" t="s">
        <v>166</v>
      </c>
      <c r="BC231" s="140" t="s">
        <v>166</v>
      </c>
      <c r="BD231" s="140" t="s">
        <v>166</v>
      </c>
      <c r="BE231" s="140" t="s">
        <v>166</v>
      </c>
      <c r="BF231" s="140" t="s">
        <v>166</v>
      </c>
      <c r="BG231" s="269" t="s">
        <v>513</v>
      </c>
      <c r="BH231" s="207" t="s">
        <v>236</v>
      </c>
      <c r="BI231" s="140" t="s">
        <v>514</v>
      </c>
      <c r="BJ231" s="140">
        <v>2.450999999999965</v>
      </c>
      <c r="BK231" s="140" t="s">
        <v>515</v>
      </c>
      <c r="BL231" s="140" t="s">
        <v>516</v>
      </c>
      <c r="BM231" s="140" t="s">
        <v>517</v>
      </c>
      <c r="BN231" s="140" t="s">
        <v>466</v>
      </c>
      <c r="BO231" s="217">
        <v>2</v>
      </c>
      <c r="BP231" s="210">
        <v>0.98</v>
      </c>
      <c r="BQ231" s="209">
        <v>14.37</v>
      </c>
      <c r="BR231" s="140" t="s">
        <v>518</v>
      </c>
      <c r="BS231" s="209">
        <v>0.98</v>
      </c>
      <c r="BT231" s="140">
        <v>1</v>
      </c>
      <c r="BU231" s="140" t="s">
        <v>197</v>
      </c>
      <c r="BV231" s="140" t="s">
        <v>166</v>
      </c>
      <c r="BW231" s="140">
        <v>0</v>
      </c>
      <c r="BX231" s="140" t="s">
        <v>197</v>
      </c>
      <c r="BY231" s="140" t="s">
        <v>166</v>
      </c>
      <c r="BZ231" s="140" t="s">
        <v>197</v>
      </c>
      <c r="CA231" s="140" t="s">
        <v>166</v>
      </c>
      <c r="CB231" s="210">
        <f t="shared" si="232"/>
        <v>14.37</v>
      </c>
      <c r="CC231" s="140" t="s">
        <v>196</v>
      </c>
      <c r="CD231" s="140">
        <f t="shared" si="233"/>
        <v>0.98</v>
      </c>
      <c r="CE231" s="140" t="s">
        <v>199</v>
      </c>
      <c r="CF231" s="140" t="s">
        <v>166</v>
      </c>
      <c r="CG231" s="140" t="s">
        <v>474</v>
      </c>
      <c r="CH231" s="140" t="s">
        <v>166</v>
      </c>
      <c r="CI231" s="140" t="s">
        <v>166</v>
      </c>
      <c r="CJ231" s="247">
        <v>37.258915339615847</v>
      </c>
      <c r="CK231" s="140" t="s">
        <v>201</v>
      </c>
      <c r="CL231" s="140">
        <v>2</v>
      </c>
      <c r="CM231" s="140">
        <v>2</v>
      </c>
      <c r="CN231" s="140" t="s">
        <v>166</v>
      </c>
      <c r="CO231" s="209">
        <v>4.4423430000000002</v>
      </c>
      <c r="CP231" s="140" t="s">
        <v>519</v>
      </c>
      <c r="CQ231" s="270">
        <v>0.13327029000000001</v>
      </c>
      <c r="CR231" s="270">
        <v>0.13327029000000001</v>
      </c>
      <c r="CS231" s="249" t="s">
        <v>202</v>
      </c>
      <c r="CT231" s="140" t="s">
        <v>203</v>
      </c>
      <c r="CU231" s="140">
        <v>2.2000000000000002</v>
      </c>
      <c r="CV231" s="140" t="s">
        <v>204</v>
      </c>
      <c r="CW231" s="140" t="s">
        <v>166</v>
      </c>
      <c r="CX231" s="140" t="s">
        <v>166</v>
      </c>
      <c r="CY231" s="140" t="s">
        <v>166</v>
      </c>
      <c r="CZ231" s="140" t="s">
        <v>166</v>
      </c>
      <c r="DA231" s="271" t="s">
        <v>166</v>
      </c>
      <c r="DB231" s="140" t="s">
        <v>166</v>
      </c>
      <c r="DC231" s="140" t="s">
        <v>166</v>
      </c>
      <c r="DD231" s="140" t="s">
        <v>166</v>
      </c>
      <c r="DE231" s="140" t="s">
        <v>166</v>
      </c>
      <c r="DF231" s="140" t="s">
        <v>520</v>
      </c>
      <c r="DG231" s="140">
        <v>35</v>
      </c>
      <c r="DH231" s="140" t="s">
        <v>201</v>
      </c>
      <c r="DI231" s="140">
        <v>1</v>
      </c>
      <c r="DJ231" s="140" t="s">
        <v>206</v>
      </c>
      <c r="DK231" s="140">
        <v>17</v>
      </c>
      <c r="DL231" s="140" t="s">
        <v>166</v>
      </c>
      <c r="DM231" s="140" t="s">
        <v>166</v>
      </c>
      <c r="DN231" s="140" t="s">
        <v>207</v>
      </c>
      <c r="DO231" s="140">
        <v>38</v>
      </c>
      <c r="DP231" s="140" t="s">
        <v>208</v>
      </c>
      <c r="DQ231" s="140">
        <v>3</v>
      </c>
      <c r="DR231" s="140" t="s">
        <v>209</v>
      </c>
      <c r="DS231" s="140" t="s">
        <v>166</v>
      </c>
      <c r="DT231" s="140" t="s">
        <v>166</v>
      </c>
      <c r="DU231" s="140" t="s">
        <v>166</v>
      </c>
      <c r="DV231" s="140" t="s">
        <v>166</v>
      </c>
      <c r="DW231" s="140">
        <v>432.6</v>
      </c>
      <c r="DX231" s="140" t="s">
        <v>166</v>
      </c>
      <c r="DY231" s="140" t="s">
        <v>166</v>
      </c>
      <c r="DZ231" s="140" t="s">
        <v>210</v>
      </c>
      <c r="EA231" s="140" t="s">
        <v>211</v>
      </c>
      <c r="EB231" s="140" t="s">
        <v>212</v>
      </c>
      <c r="EC231" s="140" t="s">
        <v>166</v>
      </c>
      <c r="ED231" s="140" t="s">
        <v>213</v>
      </c>
      <c r="EE231" s="213" t="s">
        <v>214</v>
      </c>
      <c r="EF231" s="213" t="s">
        <v>214</v>
      </c>
      <c r="EG231" s="140">
        <v>1.0271999999999999</v>
      </c>
      <c r="EH231" s="140" t="s">
        <v>215</v>
      </c>
      <c r="EI231" s="140" t="s">
        <v>215</v>
      </c>
      <c r="EJ231" s="140" t="s">
        <v>216</v>
      </c>
      <c r="EK231" s="140" t="s">
        <v>215</v>
      </c>
      <c r="EL231" s="140" t="s">
        <v>215</v>
      </c>
      <c r="EM231" s="140" t="s">
        <v>217</v>
      </c>
      <c r="EN231" s="214" t="s">
        <v>214</v>
      </c>
      <c r="EO231" s="214" t="s">
        <v>214</v>
      </c>
      <c r="EP231" s="214" t="s">
        <v>214</v>
      </c>
      <c r="EQ231" s="214" t="s">
        <v>214</v>
      </c>
      <c r="ET231" s="140" t="s">
        <v>218</v>
      </c>
      <c r="EU231" s="140" t="s">
        <v>219</v>
      </c>
      <c r="EV231" s="140" t="s">
        <v>213</v>
      </c>
      <c r="EW231" s="140" t="s">
        <v>166</v>
      </c>
      <c r="EX231" s="140" t="s">
        <v>166</v>
      </c>
      <c r="EY231" s="140" t="s">
        <v>166</v>
      </c>
      <c r="EZ231" s="140" t="s">
        <v>166</v>
      </c>
      <c r="FA231" s="205">
        <v>4.5</v>
      </c>
      <c r="FB231" s="140" t="s">
        <v>220</v>
      </c>
      <c r="FC231" s="205">
        <v>1</v>
      </c>
      <c r="FD231" s="205">
        <v>1</v>
      </c>
      <c r="FE231" s="215">
        <v>7.6121679060238598</v>
      </c>
      <c r="FF231" s="140" t="s">
        <v>221</v>
      </c>
      <c r="FG231" s="215">
        <v>0.10352759231365027</v>
      </c>
      <c r="FH231" s="215">
        <v>0.12219575099466962</v>
      </c>
      <c r="FI231" s="266">
        <v>1025.16378982885</v>
      </c>
      <c r="FK231" s="140" t="s">
        <v>166</v>
      </c>
      <c r="FL231" s="217">
        <f t="shared" si="222"/>
        <v>1025.16378982885</v>
      </c>
      <c r="FM231" s="266">
        <v>791.2901825321901</v>
      </c>
      <c r="FN231" s="266">
        <v>418.19884975720902</v>
      </c>
      <c r="FO231" s="140" t="s">
        <v>222</v>
      </c>
      <c r="FP231" s="140" t="s">
        <v>223</v>
      </c>
      <c r="FQ231" s="217" t="s">
        <v>166</v>
      </c>
      <c r="FR231" s="217" t="s">
        <v>166</v>
      </c>
      <c r="FS231" s="217" t="s">
        <v>166</v>
      </c>
      <c r="FT231" s="217" t="s">
        <v>166</v>
      </c>
      <c r="FU231" s="217" t="s">
        <v>166</v>
      </c>
      <c r="FV231" s="217" t="s">
        <v>166</v>
      </c>
      <c r="FW231" s="217" t="s">
        <v>166</v>
      </c>
      <c r="FX231" s="217" t="s">
        <v>166</v>
      </c>
      <c r="FY231" s="217" t="s">
        <v>166</v>
      </c>
      <c r="FZ231" s="217" t="s">
        <v>166</v>
      </c>
      <c r="GA231" s="217" t="s">
        <v>166</v>
      </c>
      <c r="GB231" s="217" t="s">
        <v>166</v>
      </c>
      <c r="GC231" s="202" t="s">
        <v>521</v>
      </c>
    </row>
    <row r="232" spans="1:185" s="140" customFormat="1" ht="17">
      <c r="A232" s="140" t="s">
        <v>162</v>
      </c>
      <c r="B232" s="143" t="s">
        <v>163</v>
      </c>
      <c r="C232" s="140" t="s">
        <v>164</v>
      </c>
      <c r="D232" s="140" t="s">
        <v>165</v>
      </c>
      <c r="E232" s="140">
        <v>2020</v>
      </c>
      <c r="F232" s="140" t="s">
        <v>184</v>
      </c>
      <c r="G232" s="240">
        <v>54051.352999999996</v>
      </c>
      <c r="H232" s="241">
        <f t="shared" ref="H232" si="242">0.0083*G232^(0.9482)</f>
        <v>255.10870704534256</v>
      </c>
      <c r="I232" s="241">
        <f t="shared" si="240"/>
        <v>255.10870704534256</v>
      </c>
      <c r="J232" s="266">
        <v>1389.1321325174899</v>
      </c>
      <c r="K232" s="266">
        <v>723.06848030809033</v>
      </c>
      <c r="L232" s="266">
        <v>442.05933245656092</v>
      </c>
      <c r="M232" s="140" t="b">
        <v>1</v>
      </c>
      <c r="N232" s="140">
        <v>1</v>
      </c>
      <c r="O232" s="302" t="s">
        <v>581</v>
      </c>
      <c r="P232" s="140" t="s">
        <v>166</v>
      </c>
      <c r="Q232" s="140" t="s">
        <v>166</v>
      </c>
      <c r="R232" s="140" t="s">
        <v>166</v>
      </c>
      <c r="S232" s="140" t="b">
        <v>1</v>
      </c>
      <c r="T232" s="140" t="b">
        <v>0</v>
      </c>
      <c r="U232" s="140" t="s">
        <v>166</v>
      </c>
      <c r="V232" s="140" t="b">
        <v>0</v>
      </c>
      <c r="W232" s="140" t="b">
        <v>0</v>
      </c>
      <c r="X232" s="140" t="s">
        <v>580</v>
      </c>
      <c r="Y232" s="202" t="s">
        <v>186</v>
      </c>
      <c r="Z232" s="140" t="s">
        <v>184</v>
      </c>
      <c r="AA232" s="267">
        <v>1265</v>
      </c>
      <c r="AB232" s="207" t="s">
        <v>187</v>
      </c>
      <c r="AC232" s="207">
        <v>26</v>
      </c>
      <c r="AD232" s="207">
        <v>3</v>
      </c>
      <c r="AE232" s="207">
        <v>61</v>
      </c>
      <c r="AF232" s="207">
        <v>61.5</v>
      </c>
      <c r="AG232" s="140">
        <v>241.11250000000001</v>
      </c>
      <c r="AH232" s="140">
        <v>277.46249999999998</v>
      </c>
      <c r="AI232" s="140" t="s">
        <v>522</v>
      </c>
      <c r="AJ232" s="140" t="s">
        <v>523</v>
      </c>
      <c r="AK232" s="210">
        <v>-28.835000000000001</v>
      </c>
      <c r="AL232" s="210">
        <v>2.639167</v>
      </c>
      <c r="AM232" s="140">
        <v>-42</v>
      </c>
      <c r="AN232" s="140" t="s">
        <v>166</v>
      </c>
      <c r="AO232" s="140">
        <v>-3083</v>
      </c>
      <c r="AP232" s="140">
        <v>-1850</v>
      </c>
      <c r="AQ232" s="140" t="s">
        <v>524</v>
      </c>
      <c r="AR232" s="140" t="s">
        <v>511</v>
      </c>
      <c r="AS232" s="240">
        <v>54.051352999999999</v>
      </c>
      <c r="AT232" s="140" t="s">
        <v>166</v>
      </c>
      <c r="AU232" s="140" t="s">
        <v>166</v>
      </c>
      <c r="AV232" s="140" t="s">
        <v>166</v>
      </c>
      <c r="AW232" s="140" t="s">
        <v>255</v>
      </c>
      <c r="AX232" s="140" t="s">
        <v>512</v>
      </c>
      <c r="AY232" s="140" t="s">
        <v>190</v>
      </c>
      <c r="AZ232" s="140" t="s">
        <v>166</v>
      </c>
      <c r="BA232" s="140" t="s">
        <v>166</v>
      </c>
      <c r="BB232" s="140" t="s">
        <v>166</v>
      </c>
      <c r="BC232" s="140" t="s">
        <v>166</v>
      </c>
      <c r="BD232" s="140" t="s">
        <v>166</v>
      </c>
      <c r="BE232" s="140" t="s">
        <v>166</v>
      </c>
      <c r="BF232" s="140" t="s">
        <v>166</v>
      </c>
      <c r="BG232" s="269" t="s">
        <v>513</v>
      </c>
      <c r="BH232" s="207" t="s">
        <v>236</v>
      </c>
      <c r="BI232" s="140" t="s">
        <v>514</v>
      </c>
      <c r="BJ232" s="140">
        <v>2.3010000000000446</v>
      </c>
      <c r="BK232" s="140" t="s">
        <v>515</v>
      </c>
      <c r="BL232" s="140" t="s">
        <v>516</v>
      </c>
      <c r="BM232" s="140" t="s">
        <v>517</v>
      </c>
      <c r="BN232" s="140" t="s">
        <v>466</v>
      </c>
      <c r="BO232" s="207">
        <v>3</v>
      </c>
      <c r="BP232" s="210">
        <v>0.56000000000000005</v>
      </c>
      <c r="BQ232" s="209">
        <v>13.94</v>
      </c>
      <c r="BR232" s="140" t="s">
        <v>518</v>
      </c>
      <c r="BS232" s="209">
        <v>0.56000000000000005</v>
      </c>
      <c r="BT232" s="140">
        <v>1</v>
      </c>
      <c r="BU232" s="140" t="s">
        <v>197</v>
      </c>
      <c r="BV232" s="140" t="s">
        <v>166</v>
      </c>
      <c r="BW232" s="140">
        <v>0</v>
      </c>
      <c r="BX232" s="140" t="s">
        <v>197</v>
      </c>
      <c r="BY232" s="140" t="s">
        <v>166</v>
      </c>
      <c r="BZ232" s="140" t="s">
        <v>197</v>
      </c>
      <c r="CA232" s="140" t="s">
        <v>166</v>
      </c>
      <c r="CB232" s="210">
        <f t="shared" si="232"/>
        <v>13.94</v>
      </c>
      <c r="CC232" s="140" t="s">
        <v>196</v>
      </c>
      <c r="CD232" s="140">
        <f t="shared" si="233"/>
        <v>0.56000000000000005</v>
      </c>
      <c r="CE232" s="140" t="s">
        <v>199</v>
      </c>
      <c r="CF232" s="140" t="s">
        <v>166</v>
      </c>
      <c r="CG232" s="140" t="s">
        <v>474</v>
      </c>
      <c r="CH232" s="140" t="s">
        <v>166</v>
      </c>
      <c r="CI232" s="140" t="s">
        <v>166</v>
      </c>
      <c r="CJ232" s="247">
        <v>37.854485720632553</v>
      </c>
      <c r="CK232" s="140" t="s">
        <v>201</v>
      </c>
      <c r="CL232" s="140">
        <v>2</v>
      </c>
      <c r="CM232" s="140">
        <v>2</v>
      </c>
      <c r="CN232" s="140" t="s">
        <v>166</v>
      </c>
      <c r="CO232" s="209">
        <v>4.593998</v>
      </c>
      <c r="CP232" s="140" t="s">
        <v>519</v>
      </c>
      <c r="CQ232" s="270">
        <v>0.13781994</v>
      </c>
      <c r="CR232" s="270">
        <v>0.13781994</v>
      </c>
      <c r="CS232" s="249" t="s">
        <v>202</v>
      </c>
      <c r="CT232" s="140" t="s">
        <v>203</v>
      </c>
      <c r="CU232" s="140">
        <v>2.2000000000000002</v>
      </c>
      <c r="CV232" s="140" t="s">
        <v>204</v>
      </c>
      <c r="CW232" s="140" t="s">
        <v>166</v>
      </c>
      <c r="CX232" s="140" t="s">
        <v>166</v>
      </c>
      <c r="CY232" s="140" t="s">
        <v>166</v>
      </c>
      <c r="CZ232" s="140" t="s">
        <v>166</v>
      </c>
      <c r="DA232" s="271" t="s">
        <v>166</v>
      </c>
      <c r="DB232" s="140" t="s">
        <v>166</v>
      </c>
      <c r="DC232" s="140" t="s">
        <v>166</v>
      </c>
      <c r="DD232" s="140" t="s">
        <v>166</v>
      </c>
      <c r="DE232" s="140" t="s">
        <v>166</v>
      </c>
      <c r="DF232" s="140" t="s">
        <v>520</v>
      </c>
      <c r="DG232" s="140">
        <v>35</v>
      </c>
      <c r="DH232" s="140" t="s">
        <v>201</v>
      </c>
      <c r="DI232" s="140">
        <v>1</v>
      </c>
      <c r="DJ232" s="140" t="s">
        <v>206</v>
      </c>
      <c r="DK232" s="140">
        <v>17</v>
      </c>
      <c r="DL232" s="140" t="s">
        <v>166</v>
      </c>
      <c r="DM232" s="140" t="s">
        <v>166</v>
      </c>
      <c r="DN232" s="140" t="s">
        <v>207</v>
      </c>
      <c r="DO232" s="140">
        <v>38</v>
      </c>
      <c r="DP232" s="140" t="s">
        <v>208</v>
      </c>
      <c r="DQ232" s="140">
        <v>3</v>
      </c>
      <c r="DR232" s="140" t="s">
        <v>209</v>
      </c>
      <c r="DS232" s="140" t="s">
        <v>166</v>
      </c>
      <c r="DT232" s="140" t="s">
        <v>166</v>
      </c>
      <c r="DU232" s="140" t="s">
        <v>166</v>
      </c>
      <c r="DV232" s="140" t="s">
        <v>166</v>
      </c>
      <c r="DW232" s="140">
        <v>432.6</v>
      </c>
      <c r="DX232" s="140" t="s">
        <v>166</v>
      </c>
      <c r="DY232" s="140" t="s">
        <v>166</v>
      </c>
      <c r="DZ232" s="140" t="s">
        <v>210</v>
      </c>
      <c r="EA232" s="140" t="s">
        <v>211</v>
      </c>
      <c r="EB232" s="140" t="s">
        <v>212</v>
      </c>
      <c r="EC232" s="140" t="s">
        <v>166</v>
      </c>
      <c r="ED232" s="140" t="s">
        <v>213</v>
      </c>
      <c r="EE232" s="213" t="s">
        <v>214</v>
      </c>
      <c r="EF232" s="213" t="s">
        <v>214</v>
      </c>
      <c r="EG232" s="140">
        <v>1.0271999999999999</v>
      </c>
      <c r="EH232" s="140" t="s">
        <v>215</v>
      </c>
      <c r="EI232" s="140" t="s">
        <v>215</v>
      </c>
      <c r="EJ232" s="140" t="s">
        <v>216</v>
      </c>
      <c r="EK232" s="140" t="s">
        <v>215</v>
      </c>
      <c r="EL232" s="140" t="s">
        <v>215</v>
      </c>
      <c r="EM232" s="140" t="s">
        <v>217</v>
      </c>
      <c r="EN232" s="214" t="s">
        <v>214</v>
      </c>
      <c r="EO232" s="214" t="s">
        <v>214</v>
      </c>
      <c r="EP232" s="214" t="s">
        <v>214</v>
      </c>
      <c r="EQ232" s="214" t="s">
        <v>214</v>
      </c>
      <c r="ET232" s="140" t="s">
        <v>218</v>
      </c>
      <c r="EU232" s="140" t="s">
        <v>219</v>
      </c>
      <c r="EV232" s="140" t="s">
        <v>213</v>
      </c>
      <c r="EW232" s="140" t="s">
        <v>166</v>
      </c>
      <c r="EX232" s="140" t="s">
        <v>166</v>
      </c>
      <c r="EY232" s="140" t="s">
        <v>166</v>
      </c>
      <c r="EZ232" s="140" t="s">
        <v>166</v>
      </c>
      <c r="FA232" s="205">
        <v>4.5</v>
      </c>
      <c r="FB232" s="140" t="s">
        <v>220</v>
      </c>
      <c r="FC232" s="205">
        <v>1</v>
      </c>
      <c r="FD232" s="205">
        <v>1</v>
      </c>
      <c r="FE232" s="215">
        <v>7.5421525584458697</v>
      </c>
      <c r="FF232" s="140" t="s">
        <v>221</v>
      </c>
      <c r="FG232" s="215">
        <v>7.4377928853940567E-2</v>
      </c>
      <c r="FH232" s="215">
        <v>8.2984656235999488E-2</v>
      </c>
      <c r="FI232" s="266">
        <v>1389.1321325174899</v>
      </c>
      <c r="FK232" s="140" t="s">
        <v>166</v>
      </c>
      <c r="FL232" s="217">
        <f t="shared" si="222"/>
        <v>1389.1321325174899</v>
      </c>
      <c r="FM232" s="266">
        <v>723.06848030809033</v>
      </c>
      <c r="FN232" s="266">
        <v>442.05933245656092</v>
      </c>
      <c r="FO232" s="140" t="s">
        <v>222</v>
      </c>
      <c r="FP232" s="140" t="s">
        <v>223</v>
      </c>
      <c r="FQ232" s="217" t="s">
        <v>166</v>
      </c>
      <c r="FR232" s="217" t="s">
        <v>166</v>
      </c>
      <c r="FS232" s="217" t="s">
        <v>166</v>
      </c>
      <c r="FT232" s="217" t="s">
        <v>166</v>
      </c>
      <c r="FU232" s="217" t="s">
        <v>166</v>
      </c>
      <c r="FV232" s="217" t="s">
        <v>166</v>
      </c>
      <c r="FW232" s="217" t="s">
        <v>166</v>
      </c>
      <c r="FX232" s="217" t="s">
        <v>166</v>
      </c>
      <c r="FY232" s="217" t="s">
        <v>166</v>
      </c>
      <c r="FZ232" s="217" t="s">
        <v>166</v>
      </c>
      <c r="GA232" s="217" t="s">
        <v>166</v>
      </c>
      <c r="GB232" s="217" t="s">
        <v>166</v>
      </c>
      <c r="GC232" s="202" t="s">
        <v>521</v>
      </c>
    </row>
    <row r="233" spans="1:185" s="140" customFormat="1" ht="17">
      <c r="A233" s="140" t="s">
        <v>162</v>
      </c>
      <c r="B233" s="143" t="s">
        <v>163</v>
      </c>
      <c r="C233" s="140" t="s">
        <v>164</v>
      </c>
      <c r="D233" s="140" t="s">
        <v>165</v>
      </c>
      <c r="E233" s="140">
        <v>2020</v>
      </c>
      <c r="F233" s="140" t="s">
        <v>184</v>
      </c>
      <c r="G233" s="240">
        <v>54054.51</v>
      </c>
      <c r="H233" s="241">
        <f t="shared" ref="H233" si="243">0.0083*G233^(0.9482)</f>
        <v>255.12283543252246</v>
      </c>
      <c r="I233" s="241">
        <f t="shared" si="240"/>
        <v>255.12283543252246</v>
      </c>
      <c r="J233" s="266">
        <v>578.76896596384609</v>
      </c>
      <c r="K233" s="266">
        <v>212.76843829620191</v>
      </c>
      <c r="L233" s="266">
        <v>150.93849742796209</v>
      </c>
      <c r="M233" s="140" t="b">
        <v>1</v>
      </c>
      <c r="N233" s="140">
        <v>1</v>
      </c>
      <c r="O233" s="302" t="s">
        <v>581</v>
      </c>
      <c r="P233" s="140" t="s">
        <v>166</v>
      </c>
      <c r="Q233" s="140" t="s">
        <v>166</v>
      </c>
      <c r="R233" s="140" t="s">
        <v>166</v>
      </c>
      <c r="S233" s="140" t="b">
        <v>1</v>
      </c>
      <c r="T233" s="140" t="b">
        <v>0</v>
      </c>
      <c r="U233" s="140" t="s">
        <v>166</v>
      </c>
      <c r="V233" s="140" t="b">
        <v>0</v>
      </c>
      <c r="W233" s="140" t="b">
        <v>0</v>
      </c>
      <c r="X233" s="140" t="s">
        <v>580</v>
      </c>
      <c r="Y233" s="202" t="s">
        <v>186</v>
      </c>
      <c r="Z233" s="140" t="s">
        <v>184</v>
      </c>
      <c r="AA233" s="267">
        <v>1265</v>
      </c>
      <c r="AB233" s="207" t="s">
        <v>187</v>
      </c>
      <c r="AC233" s="207">
        <v>26</v>
      </c>
      <c r="AD233" s="207">
        <v>3</v>
      </c>
      <c r="AE233" s="207">
        <v>71.5</v>
      </c>
      <c r="AF233" s="207">
        <v>72</v>
      </c>
      <c r="AG233" s="140">
        <v>241.2175</v>
      </c>
      <c r="AH233" s="140">
        <v>277.5675</v>
      </c>
      <c r="AI233" s="140" t="s">
        <v>522</v>
      </c>
      <c r="AJ233" s="140" t="s">
        <v>523</v>
      </c>
      <c r="AK233" s="210">
        <v>-28.835000000000001</v>
      </c>
      <c r="AL233" s="210">
        <v>2.639167</v>
      </c>
      <c r="AM233" s="140">
        <v>-42</v>
      </c>
      <c r="AN233" s="140" t="s">
        <v>166</v>
      </c>
      <c r="AO233" s="140">
        <v>-3083</v>
      </c>
      <c r="AP233" s="140">
        <v>-1850</v>
      </c>
      <c r="AQ233" s="140" t="s">
        <v>524</v>
      </c>
      <c r="AR233" s="140" t="s">
        <v>511</v>
      </c>
      <c r="AS233" s="240">
        <v>54.054510000000001</v>
      </c>
      <c r="AT233" s="140" t="s">
        <v>166</v>
      </c>
      <c r="AU233" s="140" t="s">
        <v>166</v>
      </c>
      <c r="AV233" s="140" t="s">
        <v>166</v>
      </c>
      <c r="AW233" s="140" t="s">
        <v>255</v>
      </c>
      <c r="AX233" s="140" t="s">
        <v>512</v>
      </c>
      <c r="AY233" s="140" t="s">
        <v>190</v>
      </c>
      <c r="AZ233" s="140" t="s">
        <v>166</v>
      </c>
      <c r="BA233" s="140" t="s">
        <v>166</v>
      </c>
      <c r="BB233" s="140" t="s">
        <v>166</v>
      </c>
      <c r="BC233" s="140" t="s">
        <v>166</v>
      </c>
      <c r="BD233" s="140" t="s">
        <v>166</v>
      </c>
      <c r="BE233" s="140" t="s">
        <v>166</v>
      </c>
      <c r="BF233" s="140" t="s">
        <v>166</v>
      </c>
      <c r="BG233" s="269" t="s">
        <v>513</v>
      </c>
      <c r="BH233" s="207" t="s">
        <v>236</v>
      </c>
      <c r="BI233" s="140" t="s">
        <v>514</v>
      </c>
      <c r="BJ233" s="140">
        <v>2.4850000000000136</v>
      </c>
      <c r="BK233" s="140" t="s">
        <v>515</v>
      </c>
      <c r="BL233" s="140" t="s">
        <v>516</v>
      </c>
      <c r="BM233" s="140" t="s">
        <v>517</v>
      </c>
      <c r="BN233" s="140" t="s">
        <v>466</v>
      </c>
      <c r="BO233" s="207">
        <v>4</v>
      </c>
      <c r="BP233" s="210">
        <v>0.53</v>
      </c>
      <c r="BQ233" s="209">
        <v>15.23</v>
      </c>
      <c r="BR233" s="140" t="s">
        <v>518</v>
      </c>
      <c r="BS233" s="209">
        <v>0.53</v>
      </c>
      <c r="BT233" s="140">
        <v>1</v>
      </c>
      <c r="BU233" s="140" t="s">
        <v>197</v>
      </c>
      <c r="BV233" s="140" t="s">
        <v>166</v>
      </c>
      <c r="BW233" s="140">
        <v>0</v>
      </c>
      <c r="BX233" s="140" t="s">
        <v>197</v>
      </c>
      <c r="BY233" s="140" t="s">
        <v>166</v>
      </c>
      <c r="BZ233" s="140" t="s">
        <v>197</v>
      </c>
      <c r="CA233" s="140" t="s">
        <v>166</v>
      </c>
      <c r="CB233" s="210">
        <f t="shared" si="232"/>
        <v>15.23</v>
      </c>
      <c r="CC233" s="140" t="s">
        <v>196</v>
      </c>
      <c r="CD233" s="140">
        <f t="shared" si="233"/>
        <v>0.53</v>
      </c>
      <c r="CE233" s="140" t="s">
        <v>199</v>
      </c>
      <c r="CF233" s="140" t="s">
        <v>166</v>
      </c>
      <c r="CG233" s="140" t="s">
        <v>474</v>
      </c>
      <c r="CH233" s="140" t="s">
        <v>166</v>
      </c>
      <c r="CI233" s="140" t="s">
        <v>166</v>
      </c>
      <c r="CJ233" s="247">
        <v>35.443976518019312</v>
      </c>
      <c r="CK233" s="140" t="s">
        <v>201</v>
      </c>
      <c r="CL233" s="140">
        <v>2</v>
      </c>
      <c r="CM233" s="140">
        <v>2</v>
      </c>
      <c r="CN233" s="140" t="s">
        <v>166</v>
      </c>
      <c r="CO233" s="209">
        <v>4.0103749000000004</v>
      </c>
      <c r="CP233" s="140" t="s">
        <v>519</v>
      </c>
      <c r="CQ233" s="270">
        <v>0.12031124700000001</v>
      </c>
      <c r="CR233" s="270">
        <v>0.12031124700000001</v>
      </c>
      <c r="CS233" s="249" t="s">
        <v>202</v>
      </c>
      <c r="CT233" s="140" t="s">
        <v>203</v>
      </c>
      <c r="CU233" s="140">
        <v>2.2000000000000002</v>
      </c>
      <c r="CV233" s="140" t="s">
        <v>204</v>
      </c>
      <c r="CW233" s="140" t="s">
        <v>166</v>
      </c>
      <c r="CX233" s="140" t="s">
        <v>166</v>
      </c>
      <c r="CY233" s="140" t="s">
        <v>166</v>
      </c>
      <c r="CZ233" s="140" t="s">
        <v>166</v>
      </c>
      <c r="DA233" s="271" t="s">
        <v>166</v>
      </c>
      <c r="DB233" s="140" t="s">
        <v>166</v>
      </c>
      <c r="DC233" s="140" t="s">
        <v>166</v>
      </c>
      <c r="DD233" s="140" t="s">
        <v>166</v>
      </c>
      <c r="DE233" s="140" t="s">
        <v>166</v>
      </c>
      <c r="DF233" s="140" t="s">
        <v>520</v>
      </c>
      <c r="DG233" s="140">
        <v>35</v>
      </c>
      <c r="DH233" s="140" t="s">
        <v>201</v>
      </c>
      <c r="DI233" s="140">
        <v>1</v>
      </c>
      <c r="DJ233" s="140" t="s">
        <v>206</v>
      </c>
      <c r="DK233" s="140">
        <v>17</v>
      </c>
      <c r="DL233" s="140" t="s">
        <v>166</v>
      </c>
      <c r="DM233" s="140" t="s">
        <v>166</v>
      </c>
      <c r="DN233" s="140" t="s">
        <v>207</v>
      </c>
      <c r="DO233" s="140">
        <v>38</v>
      </c>
      <c r="DP233" s="140" t="s">
        <v>208</v>
      </c>
      <c r="DQ233" s="140">
        <v>3</v>
      </c>
      <c r="DR233" s="140" t="s">
        <v>209</v>
      </c>
      <c r="DS233" s="140" t="s">
        <v>166</v>
      </c>
      <c r="DT233" s="140" t="s">
        <v>166</v>
      </c>
      <c r="DU233" s="140" t="s">
        <v>166</v>
      </c>
      <c r="DV233" s="140" t="s">
        <v>166</v>
      </c>
      <c r="DW233" s="140">
        <v>432.6</v>
      </c>
      <c r="DX233" s="140" t="s">
        <v>166</v>
      </c>
      <c r="DY233" s="140" t="s">
        <v>166</v>
      </c>
      <c r="DZ233" s="140" t="s">
        <v>210</v>
      </c>
      <c r="EA233" s="140" t="s">
        <v>211</v>
      </c>
      <c r="EB233" s="140" t="s">
        <v>212</v>
      </c>
      <c r="EC233" s="140" t="s">
        <v>166</v>
      </c>
      <c r="ED233" s="140" t="s">
        <v>213</v>
      </c>
      <c r="EE233" s="213" t="s">
        <v>214</v>
      </c>
      <c r="EF233" s="213" t="s">
        <v>214</v>
      </c>
      <c r="EG233" s="140">
        <v>1.0271999999999999</v>
      </c>
      <c r="EH233" s="140" t="s">
        <v>215</v>
      </c>
      <c r="EI233" s="140" t="s">
        <v>215</v>
      </c>
      <c r="EJ233" s="140" t="s">
        <v>216</v>
      </c>
      <c r="EK233" s="140" t="s">
        <v>215</v>
      </c>
      <c r="EL233" s="140" t="s">
        <v>215</v>
      </c>
      <c r="EM233" s="140" t="s">
        <v>217</v>
      </c>
      <c r="EN233" s="214" t="s">
        <v>214</v>
      </c>
      <c r="EO233" s="214" t="s">
        <v>214</v>
      </c>
      <c r="EP233" s="214" t="s">
        <v>214</v>
      </c>
      <c r="EQ233" s="214" t="s">
        <v>214</v>
      </c>
      <c r="ET233" s="140" t="s">
        <v>218</v>
      </c>
      <c r="EU233" s="140" t="s">
        <v>219</v>
      </c>
      <c r="EV233" s="140" t="s">
        <v>213</v>
      </c>
      <c r="EW233" s="140" t="s">
        <v>166</v>
      </c>
      <c r="EX233" s="140" t="s">
        <v>166</v>
      </c>
      <c r="EY233" s="140" t="s">
        <v>166</v>
      </c>
      <c r="EZ233" s="140" t="s">
        <v>166</v>
      </c>
      <c r="FA233" s="205">
        <v>4.5</v>
      </c>
      <c r="FB233" s="140" t="s">
        <v>220</v>
      </c>
      <c r="FC233" s="205">
        <v>1</v>
      </c>
      <c r="FD233" s="205">
        <v>1</v>
      </c>
      <c r="FE233" s="215">
        <v>7.74829914726201</v>
      </c>
      <c r="FF233" s="140" t="s">
        <v>221</v>
      </c>
      <c r="FG233" s="215">
        <v>5.2801578005819749E-2</v>
      </c>
      <c r="FH233" s="215">
        <v>6.1768432332359957E-2</v>
      </c>
      <c r="FI233" s="266">
        <v>578.76896596384609</v>
      </c>
      <c r="FK233" s="140" t="s">
        <v>166</v>
      </c>
      <c r="FL233" s="217">
        <f t="shared" si="222"/>
        <v>578.76896596384609</v>
      </c>
      <c r="FM233" s="266">
        <v>212.76843829620191</v>
      </c>
      <c r="FN233" s="266">
        <v>150.93849742796209</v>
      </c>
      <c r="FO233" s="140" t="s">
        <v>222</v>
      </c>
      <c r="FP233" s="140" t="s">
        <v>223</v>
      </c>
      <c r="FQ233" s="217" t="s">
        <v>166</v>
      </c>
      <c r="FR233" s="217" t="s">
        <v>166</v>
      </c>
      <c r="FS233" s="217" t="s">
        <v>166</v>
      </c>
      <c r="FT233" s="217" t="s">
        <v>166</v>
      </c>
      <c r="FU233" s="217" t="s">
        <v>166</v>
      </c>
      <c r="FV233" s="217" t="s">
        <v>166</v>
      </c>
      <c r="FW233" s="217" t="s">
        <v>166</v>
      </c>
      <c r="FX233" s="217" t="s">
        <v>166</v>
      </c>
      <c r="FY233" s="217" t="s">
        <v>166</v>
      </c>
      <c r="FZ233" s="217" t="s">
        <v>166</v>
      </c>
      <c r="GA233" s="217" t="s">
        <v>166</v>
      </c>
      <c r="GB233" s="217" t="s">
        <v>166</v>
      </c>
      <c r="GC233" s="202" t="s">
        <v>521</v>
      </c>
    </row>
    <row r="234" spans="1:185" s="140" customFormat="1" ht="17">
      <c r="A234" s="140" t="s">
        <v>162</v>
      </c>
      <c r="B234" s="143" t="s">
        <v>163</v>
      </c>
      <c r="C234" s="140" t="s">
        <v>164</v>
      </c>
      <c r="D234" s="140" t="s">
        <v>165</v>
      </c>
      <c r="E234" s="140">
        <v>2020</v>
      </c>
      <c r="F234" s="140" t="s">
        <v>184</v>
      </c>
      <c r="G234" s="240">
        <v>54064.745999999999</v>
      </c>
      <c r="H234" s="241">
        <f t="shared" ref="H234" si="244">0.0083*G234^(0.9482)</f>
        <v>255.16864387191919</v>
      </c>
      <c r="I234" s="241">
        <f t="shared" si="240"/>
        <v>255.16864387191919</v>
      </c>
      <c r="J234" s="266">
        <v>482.77647525841303</v>
      </c>
      <c r="K234" s="266">
        <v>144.42621524845788</v>
      </c>
      <c r="L234" s="266">
        <v>126.13700929462107</v>
      </c>
      <c r="M234" s="140" t="b">
        <v>1</v>
      </c>
      <c r="N234" s="140">
        <v>1</v>
      </c>
      <c r="O234" s="302" t="s">
        <v>581</v>
      </c>
      <c r="P234" s="140" t="s">
        <v>166</v>
      </c>
      <c r="Q234" s="140" t="s">
        <v>166</v>
      </c>
      <c r="R234" s="140" t="s">
        <v>166</v>
      </c>
      <c r="S234" s="140" t="b">
        <v>1</v>
      </c>
      <c r="T234" s="140" t="b">
        <v>0</v>
      </c>
      <c r="U234" s="140" t="s">
        <v>166</v>
      </c>
      <c r="V234" s="140" t="b">
        <v>0</v>
      </c>
      <c r="W234" s="140" t="b">
        <v>0</v>
      </c>
      <c r="X234" s="140" t="s">
        <v>580</v>
      </c>
      <c r="Y234" s="202" t="s">
        <v>186</v>
      </c>
      <c r="Z234" s="140" t="s">
        <v>184</v>
      </c>
      <c r="AA234" s="267">
        <v>1265</v>
      </c>
      <c r="AB234" s="207" t="s">
        <v>187</v>
      </c>
      <c r="AC234" s="207">
        <v>26</v>
      </c>
      <c r="AD234" s="207">
        <v>3</v>
      </c>
      <c r="AE234" s="207">
        <v>97</v>
      </c>
      <c r="AF234" s="207">
        <v>98</v>
      </c>
      <c r="AG234" s="140">
        <v>241.47499999999999</v>
      </c>
      <c r="AH234" s="140">
        <v>277.82499999999999</v>
      </c>
      <c r="AI234" s="140" t="s">
        <v>522</v>
      </c>
      <c r="AJ234" s="140" t="s">
        <v>523</v>
      </c>
      <c r="AK234" s="210">
        <v>-28.835000000000001</v>
      </c>
      <c r="AL234" s="210">
        <v>2.639167</v>
      </c>
      <c r="AM234" s="140">
        <v>-42</v>
      </c>
      <c r="AN234" s="140" t="s">
        <v>166</v>
      </c>
      <c r="AO234" s="140">
        <v>-3083</v>
      </c>
      <c r="AP234" s="140">
        <v>-1850</v>
      </c>
      <c r="AQ234" s="140" t="s">
        <v>524</v>
      </c>
      <c r="AR234" s="140" t="s">
        <v>511</v>
      </c>
      <c r="AS234" s="240">
        <v>54.064746</v>
      </c>
      <c r="AT234" s="140" t="s">
        <v>166</v>
      </c>
      <c r="AU234" s="140" t="s">
        <v>166</v>
      </c>
      <c r="AV234" s="140" t="s">
        <v>166</v>
      </c>
      <c r="AW234" s="140" t="s">
        <v>255</v>
      </c>
      <c r="AX234" s="140" t="s">
        <v>512</v>
      </c>
      <c r="AY234" s="140" t="s">
        <v>190</v>
      </c>
      <c r="AZ234" s="140" t="s">
        <v>166</v>
      </c>
      <c r="BA234" s="140" t="s">
        <v>166</v>
      </c>
      <c r="BB234" s="140" t="s">
        <v>166</v>
      </c>
      <c r="BC234" s="140" t="s">
        <v>166</v>
      </c>
      <c r="BD234" s="140" t="s">
        <v>166</v>
      </c>
      <c r="BE234" s="140" t="s">
        <v>166</v>
      </c>
      <c r="BF234" s="140" t="s">
        <v>166</v>
      </c>
      <c r="BG234" s="269" t="s">
        <v>513</v>
      </c>
      <c r="BH234" s="207" t="s">
        <v>236</v>
      </c>
      <c r="BI234" s="140" t="s">
        <v>514</v>
      </c>
      <c r="BJ234" s="140">
        <v>0.88900000000001</v>
      </c>
      <c r="BK234" s="140" t="s">
        <v>515</v>
      </c>
      <c r="BL234" s="140" t="s">
        <v>516</v>
      </c>
      <c r="BM234" s="140" t="s">
        <v>517</v>
      </c>
      <c r="BN234" s="140" t="s">
        <v>466</v>
      </c>
      <c r="BO234" s="207">
        <v>3</v>
      </c>
      <c r="BP234" s="210">
        <v>0.49</v>
      </c>
      <c r="BQ234" s="209">
        <v>15.57</v>
      </c>
      <c r="BR234" s="140" t="s">
        <v>518</v>
      </c>
      <c r="BS234" s="209">
        <v>0.49</v>
      </c>
      <c r="BT234" s="140">
        <v>1</v>
      </c>
      <c r="BU234" s="140" t="s">
        <v>197</v>
      </c>
      <c r="BV234" s="140" t="s">
        <v>166</v>
      </c>
      <c r="BW234" s="140">
        <v>0</v>
      </c>
      <c r="BX234" s="140" t="s">
        <v>197</v>
      </c>
      <c r="BY234" s="140" t="s">
        <v>166</v>
      </c>
      <c r="BZ234" s="140" t="s">
        <v>197</v>
      </c>
      <c r="CA234" s="140" t="s">
        <v>166</v>
      </c>
      <c r="CB234" s="210">
        <f t="shared" si="232"/>
        <v>15.57</v>
      </c>
      <c r="CC234" s="140" t="s">
        <v>196</v>
      </c>
      <c r="CD234" s="140">
        <f t="shared" si="233"/>
        <v>0.49</v>
      </c>
      <c r="CE234" s="140" t="s">
        <v>199</v>
      </c>
      <c r="CF234" s="140" t="s">
        <v>166</v>
      </c>
      <c r="CG234" s="140" t="s">
        <v>474</v>
      </c>
      <c r="CH234" s="140" t="s">
        <v>166</v>
      </c>
      <c r="CI234" s="140" t="s">
        <v>166</v>
      </c>
      <c r="CJ234" s="247">
        <v>34.579898483434008</v>
      </c>
      <c r="CK234" s="140" t="s">
        <v>201</v>
      </c>
      <c r="CL234" s="140">
        <v>2</v>
      </c>
      <c r="CM234" s="140">
        <v>2</v>
      </c>
      <c r="CN234" s="140" t="s">
        <v>166</v>
      </c>
      <c r="CO234" s="209">
        <v>3.8197380000000001</v>
      </c>
      <c r="CP234" s="140" t="s">
        <v>519</v>
      </c>
      <c r="CQ234" s="270">
        <v>0.11459214</v>
      </c>
      <c r="CR234" s="270">
        <v>0.11459214</v>
      </c>
      <c r="CS234" s="249" t="s">
        <v>202</v>
      </c>
      <c r="CT234" s="140" t="s">
        <v>203</v>
      </c>
      <c r="CU234" s="140">
        <v>2.2000000000000002</v>
      </c>
      <c r="CV234" s="140" t="s">
        <v>204</v>
      </c>
      <c r="CW234" s="140" t="s">
        <v>166</v>
      </c>
      <c r="CX234" s="140" t="s">
        <v>166</v>
      </c>
      <c r="CY234" s="140" t="s">
        <v>166</v>
      </c>
      <c r="CZ234" s="140" t="s">
        <v>166</v>
      </c>
      <c r="DA234" s="271" t="s">
        <v>166</v>
      </c>
      <c r="DB234" s="140" t="s">
        <v>166</v>
      </c>
      <c r="DC234" s="140" t="s">
        <v>166</v>
      </c>
      <c r="DD234" s="140" t="s">
        <v>166</v>
      </c>
      <c r="DE234" s="140" t="s">
        <v>166</v>
      </c>
      <c r="DF234" s="140" t="s">
        <v>520</v>
      </c>
      <c r="DG234" s="140">
        <v>35</v>
      </c>
      <c r="DH234" s="140" t="s">
        <v>201</v>
      </c>
      <c r="DI234" s="140">
        <v>1</v>
      </c>
      <c r="DJ234" s="140" t="s">
        <v>206</v>
      </c>
      <c r="DK234" s="140">
        <v>17</v>
      </c>
      <c r="DL234" s="140" t="s">
        <v>166</v>
      </c>
      <c r="DM234" s="140" t="s">
        <v>166</v>
      </c>
      <c r="DN234" s="140" t="s">
        <v>207</v>
      </c>
      <c r="DO234" s="140">
        <v>38</v>
      </c>
      <c r="DP234" s="140" t="s">
        <v>208</v>
      </c>
      <c r="DQ234" s="140">
        <v>3</v>
      </c>
      <c r="DR234" s="140" t="s">
        <v>209</v>
      </c>
      <c r="DS234" s="140" t="s">
        <v>166</v>
      </c>
      <c r="DT234" s="140" t="s">
        <v>166</v>
      </c>
      <c r="DU234" s="140" t="s">
        <v>166</v>
      </c>
      <c r="DV234" s="140" t="s">
        <v>166</v>
      </c>
      <c r="DW234" s="140">
        <v>432.6</v>
      </c>
      <c r="DX234" s="140" t="s">
        <v>166</v>
      </c>
      <c r="DY234" s="140" t="s">
        <v>166</v>
      </c>
      <c r="DZ234" s="140" t="s">
        <v>210</v>
      </c>
      <c r="EA234" s="140" t="s">
        <v>211</v>
      </c>
      <c r="EB234" s="140" t="s">
        <v>212</v>
      </c>
      <c r="EC234" s="140" t="s">
        <v>166</v>
      </c>
      <c r="ED234" s="140" t="s">
        <v>213</v>
      </c>
      <c r="EE234" s="213" t="s">
        <v>214</v>
      </c>
      <c r="EF234" s="213" t="s">
        <v>214</v>
      </c>
      <c r="EG234" s="140">
        <v>1.0271999999999999</v>
      </c>
      <c r="EH234" s="140" t="s">
        <v>215</v>
      </c>
      <c r="EI234" s="140" t="s">
        <v>215</v>
      </c>
      <c r="EJ234" s="140" t="s">
        <v>216</v>
      </c>
      <c r="EK234" s="140" t="s">
        <v>215</v>
      </c>
      <c r="EL234" s="140" t="s">
        <v>215</v>
      </c>
      <c r="EM234" s="140" t="s">
        <v>217</v>
      </c>
      <c r="EN234" s="214" t="s">
        <v>214</v>
      </c>
      <c r="EO234" s="214" t="s">
        <v>214</v>
      </c>
      <c r="EP234" s="214" t="s">
        <v>214</v>
      </c>
      <c r="EQ234" s="214" t="s">
        <v>214</v>
      </c>
      <c r="ET234" s="140" t="s">
        <v>218</v>
      </c>
      <c r="EU234" s="140" t="s">
        <v>219</v>
      </c>
      <c r="EV234" s="140" t="s">
        <v>213</v>
      </c>
      <c r="EW234" s="140" t="s">
        <v>166</v>
      </c>
      <c r="EX234" s="140" t="s">
        <v>166</v>
      </c>
      <c r="EY234" s="140" t="s">
        <v>166</v>
      </c>
      <c r="EZ234" s="140" t="s">
        <v>166</v>
      </c>
      <c r="FA234" s="205">
        <v>4.5</v>
      </c>
      <c r="FB234" s="140" t="s">
        <v>220</v>
      </c>
      <c r="FC234" s="205">
        <v>1</v>
      </c>
      <c r="FD234" s="205">
        <v>1</v>
      </c>
      <c r="FE234" s="215">
        <v>7.7963678647058003</v>
      </c>
      <c r="FF234" s="140" t="s">
        <v>221</v>
      </c>
      <c r="FG234" s="215">
        <v>4.9837654294009326E-2</v>
      </c>
      <c r="FH234" s="215">
        <v>5.0702772047830358E-2</v>
      </c>
      <c r="FI234" s="266">
        <v>482.77647525841303</v>
      </c>
      <c r="FK234" s="140" t="s">
        <v>166</v>
      </c>
      <c r="FL234" s="217">
        <f t="shared" si="222"/>
        <v>482.77647525841303</v>
      </c>
      <c r="FM234" s="266">
        <v>144.42621524845788</v>
      </c>
      <c r="FN234" s="266">
        <v>126.13700929462107</v>
      </c>
      <c r="FO234" s="140" t="s">
        <v>222</v>
      </c>
      <c r="FP234" s="140" t="s">
        <v>223</v>
      </c>
      <c r="FQ234" s="217" t="s">
        <v>166</v>
      </c>
      <c r="FR234" s="217" t="s">
        <v>166</v>
      </c>
      <c r="FS234" s="217" t="s">
        <v>166</v>
      </c>
      <c r="FT234" s="217" t="s">
        <v>166</v>
      </c>
      <c r="FU234" s="217" t="s">
        <v>166</v>
      </c>
      <c r="FV234" s="217" t="s">
        <v>166</v>
      </c>
      <c r="FW234" s="217" t="s">
        <v>166</v>
      </c>
      <c r="FX234" s="217" t="s">
        <v>166</v>
      </c>
      <c r="FY234" s="217" t="s">
        <v>166</v>
      </c>
      <c r="FZ234" s="217" t="s">
        <v>166</v>
      </c>
      <c r="GA234" s="217" t="s">
        <v>166</v>
      </c>
      <c r="GB234" s="217" t="s">
        <v>166</v>
      </c>
      <c r="GC234" s="202" t="s">
        <v>521</v>
      </c>
    </row>
    <row r="235" spans="1:185" s="140" customFormat="1" ht="17">
      <c r="A235" s="140" t="s">
        <v>162</v>
      </c>
      <c r="B235" s="143" t="s">
        <v>163</v>
      </c>
      <c r="C235" s="140" t="s">
        <v>164</v>
      </c>
      <c r="D235" s="140" t="s">
        <v>165</v>
      </c>
      <c r="E235" s="140">
        <v>2020</v>
      </c>
      <c r="F235" s="140" t="s">
        <v>184</v>
      </c>
      <c r="G235" s="240">
        <v>54074.538</v>
      </c>
      <c r="H235" s="241">
        <f t="shared" ref="H235" si="245">0.0083*G235^(0.9482)</f>
        <v>255.21246488939678</v>
      </c>
      <c r="I235" s="241">
        <f t="shared" si="240"/>
        <v>255.21246488939678</v>
      </c>
      <c r="J235" s="266">
        <v>547.75343319574995</v>
      </c>
      <c r="K235" s="266">
        <v>168.08127143048102</v>
      </c>
      <c r="L235" s="266">
        <v>130.29299073533099</v>
      </c>
      <c r="M235" s="140" t="b">
        <v>1</v>
      </c>
      <c r="N235" s="140">
        <v>1</v>
      </c>
      <c r="O235" s="302" t="s">
        <v>581</v>
      </c>
      <c r="P235" s="140" t="s">
        <v>166</v>
      </c>
      <c r="Q235" s="140" t="s">
        <v>166</v>
      </c>
      <c r="R235" s="140" t="s">
        <v>166</v>
      </c>
      <c r="S235" s="140" t="b">
        <v>1</v>
      </c>
      <c r="T235" s="140" t="b">
        <v>0</v>
      </c>
      <c r="U235" s="140" t="s">
        <v>166</v>
      </c>
      <c r="V235" s="140" t="b">
        <v>0</v>
      </c>
      <c r="W235" s="140" t="b">
        <v>0</v>
      </c>
      <c r="X235" s="140" t="s">
        <v>580</v>
      </c>
      <c r="Y235" s="202" t="s">
        <v>186</v>
      </c>
      <c r="Z235" s="140" t="s">
        <v>184</v>
      </c>
      <c r="AA235" s="267">
        <v>1265</v>
      </c>
      <c r="AB235" s="207" t="s">
        <v>187</v>
      </c>
      <c r="AC235" s="207">
        <v>26</v>
      </c>
      <c r="AD235" s="207">
        <v>3</v>
      </c>
      <c r="AE235" s="207">
        <v>117</v>
      </c>
      <c r="AF235" s="207">
        <v>118</v>
      </c>
      <c r="AG235" s="140">
        <v>241.67500000000001</v>
      </c>
      <c r="AH235" s="140">
        <v>278.02499999999998</v>
      </c>
      <c r="AI235" s="140" t="s">
        <v>522</v>
      </c>
      <c r="AJ235" s="140" t="s">
        <v>523</v>
      </c>
      <c r="AK235" s="210">
        <v>-28.835000000000001</v>
      </c>
      <c r="AL235" s="210">
        <v>2.639167</v>
      </c>
      <c r="AM235" s="140">
        <v>-42</v>
      </c>
      <c r="AN235" s="140" t="s">
        <v>166</v>
      </c>
      <c r="AO235" s="140">
        <v>-3083</v>
      </c>
      <c r="AP235" s="140">
        <v>-1850</v>
      </c>
      <c r="AQ235" s="140" t="s">
        <v>524</v>
      </c>
      <c r="AR235" s="140" t="s">
        <v>511</v>
      </c>
      <c r="AS235" s="240">
        <v>54.074537999999997</v>
      </c>
      <c r="AT235" s="140" t="s">
        <v>166</v>
      </c>
      <c r="AU235" s="140" t="s">
        <v>166</v>
      </c>
      <c r="AV235" s="140" t="s">
        <v>166</v>
      </c>
      <c r="AW235" s="140" t="s">
        <v>255</v>
      </c>
      <c r="AX235" s="140" t="s">
        <v>512</v>
      </c>
      <c r="AY235" s="140" t="s">
        <v>190</v>
      </c>
      <c r="AZ235" s="140" t="s">
        <v>166</v>
      </c>
      <c r="BA235" s="140" t="s">
        <v>166</v>
      </c>
      <c r="BB235" s="140" t="s">
        <v>166</v>
      </c>
      <c r="BC235" s="140" t="s">
        <v>166</v>
      </c>
      <c r="BD235" s="140" t="s">
        <v>166</v>
      </c>
      <c r="BE235" s="140" t="s">
        <v>166</v>
      </c>
      <c r="BF235" s="140" t="s">
        <v>166</v>
      </c>
      <c r="BG235" s="269" t="s">
        <v>513</v>
      </c>
      <c r="BH235" s="207" t="s">
        <v>236</v>
      </c>
      <c r="BI235" s="140" t="s">
        <v>514</v>
      </c>
      <c r="BJ235" s="140">
        <v>1.0989999999999895</v>
      </c>
      <c r="BK235" s="140" t="s">
        <v>515</v>
      </c>
      <c r="BL235" s="140" t="s">
        <v>516</v>
      </c>
      <c r="BM235" s="140" t="s">
        <v>517</v>
      </c>
      <c r="BN235" s="140" t="s">
        <v>466</v>
      </c>
      <c r="BO235" s="207">
        <v>4</v>
      </c>
      <c r="BP235" s="210">
        <v>0.4</v>
      </c>
      <c r="BQ235" s="209">
        <v>15.33</v>
      </c>
      <c r="BR235" s="140" t="s">
        <v>518</v>
      </c>
      <c r="BS235" s="209">
        <v>0.4</v>
      </c>
      <c r="BT235" s="140">
        <v>1</v>
      </c>
      <c r="BU235" s="140" t="s">
        <v>197</v>
      </c>
      <c r="BV235" s="140" t="s">
        <v>166</v>
      </c>
      <c r="BW235" s="140">
        <v>0</v>
      </c>
      <c r="BX235" s="140" t="s">
        <v>197</v>
      </c>
      <c r="BY235" s="140" t="s">
        <v>166</v>
      </c>
      <c r="BZ235" s="140" t="s">
        <v>197</v>
      </c>
      <c r="CA235" s="140" t="s">
        <v>166</v>
      </c>
      <c r="CB235" s="210">
        <f t="shared" si="232"/>
        <v>15.33</v>
      </c>
      <c r="CC235" s="140" t="s">
        <v>196</v>
      </c>
      <c r="CD235" s="140">
        <f t="shared" si="233"/>
        <v>0.4</v>
      </c>
      <c r="CE235" s="140" t="s">
        <v>199</v>
      </c>
      <c r="CF235" s="140" t="s">
        <v>166</v>
      </c>
      <c r="CG235" s="140" t="s">
        <v>474</v>
      </c>
      <c r="CH235" s="140" t="s">
        <v>166</v>
      </c>
      <c r="CI235" s="140" t="s">
        <v>166</v>
      </c>
      <c r="CJ235" s="247">
        <v>34.91909630530882</v>
      </c>
      <c r="CK235" s="140" t="s">
        <v>201</v>
      </c>
      <c r="CL235" s="140">
        <v>2</v>
      </c>
      <c r="CM235" s="140">
        <v>2</v>
      </c>
      <c r="CN235" s="140" t="s">
        <v>166</v>
      </c>
      <c r="CO235" s="209">
        <v>3.8934684000000002</v>
      </c>
      <c r="CP235" s="140" t="s">
        <v>519</v>
      </c>
      <c r="CQ235" s="270">
        <v>0.11680405200000001</v>
      </c>
      <c r="CR235" s="270">
        <v>0.11680405200000001</v>
      </c>
      <c r="CS235" s="249" t="s">
        <v>202</v>
      </c>
      <c r="CT235" s="140" t="s">
        <v>203</v>
      </c>
      <c r="CU235" s="140">
        <v>2.2000000000000002</v>
      </c>
      <c r="CV235" s="140" t="s">
        <v>204</v>
      </c>
      <c r="CW235" s="140" t="s">
        <v>166</v>
      </c>
      <c r="CX235" s="140" t="s">
        <v>166</v>
      </c>
      <c r="CY235" s="140" t="s">
        <v>166</v>
      </c>
      <c r="CZ235" s="140" t="s">
        <v>166</v>
      </c>
      <c r="DA235" s="271" t="s">
        <v>166</v>
      </c>
      <c r="DB235" s="140" t="s">
        <v>166</v>
      </c>
      <c r="DC235" s="140" t="s">
        <v>166</v>
      </c>
      <c r="DD235" s="140" t="s">
        <v>166</v>
      </c>
      <c r="DE235" s="140" t="s">
        <v>166</v>
      </c>
      <c r="DF235" s="140" t="s">
        <v>520</v>
      </c>
      <c r="DG235" s="140">
        <v>35</v>
      </c>
      <c r="DH235" s="140" t="s">
        <v>201</v>
      </c>
      <c r="DI235" s="140">
        <v>1</v>
      </c>
      <c r="DJ235" s="140" t="s">
        <v>206</v>
      </c>
      <c r="DK235" s="140">
        <v>17</v>
      </c>
      <c r="DL235" s="140" t="s">
        <v>166</v>
      </c>
      <c r="DM235" s="140" t="s">
        <v>166</v>
      </c>
      <c r="DN235" s="140" t="s">
        <v>207</v>
      </c>
      <c r="DO235" s="140">
        <v>38</v>
      </c>
      <c r="DP235" s="140" t="s">
        <v>208</v>
      </c>
      <c r="DQ235" s="140">
        <v>3</v>
      </c>
      <c r="DR235" s="140" t="s">
        <v>209</v>
      </c>
      <c r="DS235" s="140" t="s">
        <v>166</v>
      </c>
      <c r="DT235" s="140" t="s">
        <v>166</v>
      </c>
      <c r="DU235" s="140" t="s">
        <v>166</v>
      </c>
      <c r="DV235" s="140" t="s">
        <v>166</v>
      </c>
      <c r="DW235" s="140">
        <v>432.6</v>
      </c>
      <c r="DX235" s="140" t="s">
        <v>166</v>
      </c>
      <c r="DY235" s="140" t="s">
        <v>166</v>
      </c>
      <c r="DZ235" s="140" t="s">
        <v>210</v>
      </c>
      <c r="EA235" s="140" t="s">
        <v>211</v>
      </c>
      <c r="EB235" s="140" t="s">
        <v>212</v>
      </c>
      <c r="EC235" s="140" t="s">
        <v>166</v>
      </c>
      <c r="ED235" s="140" t="s">
        <v>213</v>
      </c>
      <c r="EE235" s="213" t="s">
        <v>214</v>
      </c>
      <c r="EF235" s="213" t="s">
        <v>214</v>
      </c>
      <c r="EG235" s="140">
        <v>1.0271999999999999</v>
      </c>
      <c r="EH235" s="140" t="s">
        <v>215</v>
      </c>
      <c r="EI235" s="140" t="s">
        <v>215</v>
      </c>
      <c r="EJ235" s="140" t="s">
        <v>216</v>
      </c>
      <c r="EK235" s="140" t="s">
        <v>215</v>
      </c>
      <c r="EL235" s="140" t="s">
        <v>215</v>
      </c>
      <c r="EM235" s="140" t="s">
        <v>217</v>
      </c>
      <c r="EN235" s="214" t="s">
        <v>214</v>
      </c>
      <c r="EO235" s="214" t="s">
        <v>214</v>
      </c>
      <c r="EP235" s="214" t="s">
        <v>214</v>
      </c>
      <c r="EQ235" s="214" t="s">
        <v>214</v>
      </c>
      <c r="ET235" s="140" t="s">
        <v>218</v>
      </c>
      <c r="EU235" s="140" t="s">
        <v>219</v>
      </c>
      <c r="EV235" s="140" t="s">
        <v>213</v>
      </c>
      <c r="EW235" s="140" t="s">
        <v>166</v>
      </c>
      <c r="EX235" s="140" t="s">
        <v>166</v>
      </c>
      <c r="EY235" s="140" t="s">
        <v>166</v>
      </c>
      <c r="EZ235" s="140" t="s">
        <v>166</v>
      </c>
      <c r="FA235" s="205">
        <v>4.5</v>
      </c>
      <c r="FB235" s="140" t="s">
        <v>220</v>
      </c>
      <c r="FC235" s="205">
        <v>1</v>
      </c>
      <c r="FD235" s="205">
        <v>1</v>
      </c>
      <c r="FE235" s="215">
        <v>7.7637394557871504</v>
      </c>
      <c r="FF235" s="140" t="s">
        <v>221</v>
      </c>
      <c r="FG235" s="215">
        <v>4.3417229843719873E-2</v>
      </c>
      <c r="FH235" s="215">
        <v>4.3978052776840748E-2</v>
      </c>
      <c r="FI235" s="266">
        <v>547.75343319574995</v>
      </c>
      <c r="FK235" s="140" t="s">
        <v>166</v>
      </c>
      <c r="FL235" s="217">
        <f t="shared" si="222"/>
        <v>547.75343319574995</v>
      </c>
      <c r="FM235" s="266">
        <v>168.08127143048102</v>
      </c>
      <c r="FN235" s="266">
        <v>130.29299073533099</v>
      </c>
      <c r="FO235" s="140" t="s">
        <v>222</v>
      </c>
      <c r="FP235" s="140" t="s">
        <v>223</v>
      </c>
      <c r="FQ235" s="217" t="s">
        <v>166</v>
      </c>
      <c r="FR235" s="217" t="s">
        <v>166</v>
      </c>
      <c r="FS235" s="217" t="s">
        <v>166</v>
      </c>
      <c r="FT235" s="217" t="s">
        <v>166</v>
      </c>
      <c r="FU235" s="217" t="s">
        <v>166</v>
      </c>
      <c r="FV235" s="217" t="s">
        <v>166</v>
      </c>
      <c r="FW235" s="217" t="s">
        <v>166</v>
      </c>
      <c r="FX235" s="217" t="s">
        <v>166</v>
      </c>
      <c r="FY235" s="217" t="s">
        <v>166</v>
      </c>
      <c r="FZ235" s="217" t="s">
        <v>166</v>
      </c>
      <c r="GA235" s="217" t="s">
        <v>166</v>
      </c>
      <c r="GB235" s="217" t="s">
        <v>166</v>
      </c>
      <c r="GC235" s="202" t="s">
        <v>521</v>
      </c>
    </row>
    <row r="236" spans="1:185" s="140" customFormat="1" ht="17">
      <c r="A236" s="140" t="s">
        <v>162</v>
      </c>
      <c r="B236" s="143" t="s">
        <v>163</v>
      </c>
      <c r="C236" s="140" t="s">
        <v>164</v>
      </c>
      <c r="D236" s="140" t="s">
        <v>165</v>
      </c>
      <c r="E236" s="140">
        <v>2020</v>
      </c>
      <c r="F236" s="140" t="s">
        <v>184</v>
      </c>
      <c r="G236" s="240">
        <v>54088.008000000002</v>
      </c>
      <c r="H236" s="241">
        <f t="shared" ref="H236" si="246">0.0083*G236^(0.9482)</f>
        <v>255.272744967927</v>
      </c>
      <c r="I236" s="241">
        <f t="shared" si="240"/>
        <v>255.272744967927</v>
      </c>
      <c r="J236" s="266">
        <v>527.38080535207689</v>
      </c>
      <c r="K236" s="266">
        <v>362.2143627886071</v>
      </c>
      <c r="L236" s="266">
        <v>183.41909047176989</v>
      </c>
      <c r="M236" s="140" t="b">
        <v>1</v>
      </c>
      <c r="N236" s="140">
        <v>1</v>
      </c>
      <c r="O236" s="302" t="s">
        <v>581</v>
      </c>
      <c r="P236" s="140" t="s">
        <v>166</v>
      </c>
      <c r="Q236" s="140" t="s">
        <v>166</v>
      </c>
      <c r="R236" s="140" t="s">
        <v>166</v>
      </c>
      <c r="S236" s="140" t="b">
        <v>1</v>
      </c>
      <c r="T236" s="140" t="b">
        <v>0</v>
      </c>
      <c r="U236" s="140" t="s">
        <v>166</v>
      </c>
      <c r="V236" s="140" t="b">
        <v>0</v>
      </c>
      <c r="W236" s="140" t="b">
        <v>0</v>
      </c>
      <c r="X236" s="140" t="s">
        <v>580</v>
      </c>
      <c r="Y236" s="202" t="s">
        <v>186</v>
      </c>
      <c r="Z236" s="140" t="s">
        <v>184</v>
      </c>
      <c r="AA236" s="267">
        <v>1265</v>
      </c>
      <c r="AB236" s="207" t="s">
        <v>187</v>
      </c>
      <c r="AC236" s="207">
        <v>26</v>
      </c>
      <c r="AD236" s="207">
        <v>3</v>
      </c>
      <c r="AE236" s="207">
        <v>147</v>
      </c>
      <c r="AF236" s="207">
        <v>148</v>
      </c>
      <c r="AG236" s="140">
        <v>241.97499999999999</v>
      </c>
      <c r="AH236" s="140">
        <v>278.32499999999999</v>
      </c>
      <c r="AI236" s="140" t="s">
        <v>522</v>
      </c>
      <c r="AJ236" s="140" t="s">
        <v>523</v>
      </c>
      <c r="AK236" s="210">
        <v>-28.835000000000001</v>
      </c>
      <c r="AL236" s="210">
        <v>2.639167</v>
      </c>
      <c r="AM236" s="140">
        <v>-42</v>
      </c>
      <c r="AN236" s="140" t="s">
        <v>166</v>
      </c>
      <c r="AO236" s="140">
        <v>-3083</v>
      </c>
      <c r="AP236" s="140">
        <v>-1850</v>
      </c>
      <c r="AQ236" s="140" t="s">
        <v>524</v>
      </c>
      <c r="AR236" s="140" t="s">
        <v>511</v>
      </c>
      <c r="AS236" s="240">
        <v>54.088008000000002</v>
      </c>
      <c r="AT236" s="140" t="s">
        <v>166</v>
      </c>
      <c r="AU236" s="140" t="s">
        <v>166</v>
      </c>
      <c r="AV236" s="140" t="s">
        <v>166</v>
      </c>
      <c r="AW236" s="140" t="s">
        <v>255</v>
      </c>
      <c r="AX236" s="140" t="s">
        <v>512</v>
      </c>
      <c r="AY236" s="140" t="s">
        <v>190</v>
      </c>
      <c r="AZ236" s="140" t="s">
        <v>166</v>
      </c>
      <c r="BA236" s="140" t="s">
        <v>166</v>
      </c>
      <c r="BB236" s="140" t="s">
        <v>166</v>
      </c>
      <c r="BC236" s="140" t="s">
        <v>166</v>
      </c>
      <c r="BD236" s="140" t="s">
        <v>166</v>
      </c>
      <c r="BE236" s="140" t="s">
        <v>166</v>
      </c>
      <c r="BF236" s="140" t="s">
        <v>166</v>
      </c>
      <c r="BG236" s="269" t="s">
        <v>513</v>
      </c>
      <c r="BH236" s="207" t="s">
        <v>236</v>
      </c>
      <c r="BI236" s="140" t="s">
        <v>514</v>
      </c>
      <c r="BJ236" s="140">
        <v>1.6329999999999814</v>
      </c>
      <c r="BK236" s="140" t="s">
        <v>515</v>
      </c>
      <c r="BL236" s="140" t="s">
        <v>516</v>
      </c>
      <c r="BM236" s="140" t="s">
        <v>517</v>
      </c>
      <c r="BN236" s="140" t="s">
        <v>466</v>
      </c>
      <c r="BO236" s="207">
        <v>3</v>
      </c>
      <c r="BP236" s="210">
        <v>0.94</v>
      </c>
      <c r="BQ236" s="209">
        <v>15.37</v>
      </c>
      <c r="BR236" s="140" t="s">
        <v>518</v>
      </c>
      <c r="BS236" s="209">
        <v>0.94</v>
      </c>
      <c r="BT236" s="140">
        <v>1</v>
      </c>
      <c r="BU236" s="140" t="s">
        <v>197</v>
      </c>
      <c r="BV236" s="140" t="s">
        <v>166</v>
      </c>
      <c r="BW236" s="140">
        <v>0</v>
      </c>
      <c r="BX236" s="140" t="s">
        <v>197</v>
      </c>
      <c r="BY236" s="140" t="s">
        <v>166</v>
      </c>
      <c r="BZ236" s="140" t="s">
        <v>197</v>
      </c>
      <c r="CA236" s="140" t="s">
        <v>166</v>
      </c>
      <c r="CB236" s="210">
        <f t="shared" si="232"/>
        <v>15.37</v>
      </c>
      <c r="CC236" s="140" t="s">
        <v>196</v>
      </c>
      <c r="CD236" s="140">
        <f t="shared" si="233"/>
        <v>0.94</v>
      </c>
      <c r="CE236" s="140" t="s">
        <v>199</v>
      </c>
      <c r="CF236" s="140" t="s">
        <v>166</v>
      </c>
      <c r="CG236" s="140" t="s">
        <v>474</v>
      </c>
      <c r="CH236" s="140" t="s">
        <v>166</v>
      </c>
      <c r="CI236" s="140" t="s">
        <v>166</v>
      </c>
      <c r="CJ236" s="247">
        <v>34.753421263818502</v>
      </c>
      <c r="CK236" s="140" t="s">
        <v>201</v>
      </c>
      <c r="CL236" s="140">
        <v>2</v>
      </c>
      <c r="CM236" s="140">
        <v>2</v>
      </c>
      <c r="CN236" s="140" t="s">
        <v>166</v>
      </c>
      <c r="CO236" s="209">
        <v>3.8572799999999998</v>
      </c>
      <c r="CP236" s="140" t="s">
        <v>519</v>
      </c>
      <c r="CQ236" s="270">
        <v>0.11571839999999999</v>
      </c>
      <c r="CR236" s="270">
        <v>0.11571839999999999</v>
      </c>
      <c r="CS236" s="249" t="s">
        <v>202</v>
      </c>
      <c r="CT236" s="140" t="s">
        <v>203</v>
      </c>
      <c r="CU236" s="140">
        <v>2.2000000000000002</v>
      </c>
      <c r="CV236" s="140" t="s">
        <v>204</v>
      </c>
      <c r="CW236" s="140" t="s">
        <v>166</v>
      </c>
      <c r="CX236" s="140" t="s">
        <v>166</v>
      </c>
      <c r="CY236" s="140" t="s">
        <v>166</v>
      </c>
      <c r="CZ236" s="140" t="s">
        <v>166</v>
      </c>
      <c r="DA236" s="271" t="s">
        <v>166</v>
      </c>
      <c r="DB236" s="140" t="s">
        <v>166</v>
      </c>
      <c r="DC236" s="140" t="s">
        <v>166</v>
      </c>
      <c r="DD236" s="140" t="s">
        <v>166</v>
      </c>
      <c r="DE236" s="140" t="s">
        <v>166</v>
      </c>
      <c r="DF236" s="140" t="s">
        <v>520</v>
      </c>
      <c r="DG236" s="140">
        <v>35</v>
      </c>
      <c r="DH236" s="140" t="s">
        <v>201</v>
      </c>
      <c r="DI236" s="140">
        <v>1</v>
      </c>
      <c r="DJ236" s="140" t="s">
        <v>206</v>
      </c>
      <c r="DK236" s="140">
        <v>17</v>
      </c>
      <c r="DL236" s="140" t="s">
        <v>166</v>
      </c>
      <c r="DM236" s="140" t="s">
        <v>166</v>
      </c>
      <c r="DN236" s="140" t="s">
        <v>207</v>
      </c>
      <c r="DO236" s="140">
        <v>38</v>
      </c>
      <c r="DP236" s="140" t="s">
        <v>208</v>
      </c>
      <c r="DQ236" s="140">
        <v>3</v>
      </c>
      <c r="DR236" s="140" t="s">
        <v>209</v>
      </c>
      <c r="DS236" s="140" t="s">
        <v>166</v>
      </c>
      <c r="DT236" s="140" t="s">
        <v>166</v>
      </c>
      <c r="DU236" s="140" t="s">
        <v>166</v>
      </c>
      <c r="DV236" s="140" t="s">
        <v>166</v>
      </c>
      <c r="DW236" s="140">
        <v>432.6</v>
      </c>
      <c r="DX236" s="140" t="s">
        <v>166</v>
      </c>
      <c r="DY236" s="140" t="s">
        <v>166</v>
      </c>
      <c r="DZ236" s="140" t="s">
        <v>210</v>
      </c>
      <c r="EA236" s="140" t="s">
        <v>211</v>
      </c>
      <c r="EB236" s="140" t="s">
        <v>212</v>
      </c>
      <c r="EC236" s="140" t="s">
        <v>166</v>
      </c>
      <c r="ED236" s="140" t="s">
        <v>213</v>
      </c>
      <c r="EE236" s="213" t="s">
        <v>214</v>
      </c>
      <c r="EF236" s="213" t="s">
        <v>214</v>
      </c>
      <c r="EG236" s="140">
        <v>1.0271999999999999</v>
      </c>
      <c r="EH236" s="140" t="s">
        <v>215</v>
      </c>
      <c r="EI236" s="140" t="s">
        <v>215</v>
      </c>
      <c r="EJ236" s="140" t="s">
        <v>216</v>
      </c>
      <c r="EK236" s="140" t="s">
        <v>215</v>
      </c>
      <c r="EL236" s="140" t="s">
        <v>215</v>
      </c>
      <c r="EM236" s="140" t="s">
        <v>217</v>
      </c>
      <c r="EN236" s="214" t="s">
        <v>214</v>
      </c>
      <c r="EO236" s="214" t="s">
        <v>214</v>
      </c>
      <c r="EP236" s="214" t="s">
        <v>214</v>
      </c>
      <c r="EQ236" s="214" t="s">
        <v>214</v>
      </c>
      <c r="ET236" s="140" t="s">
        <v>218</v>
      </c>
      <c r="EU236" s="140" t="s">
        <v>219</v>
      </c>
      <c r="EV236" s="140" t="s">
        <v>213</v>
      </c>
      <c r="EW236" s="140" t="s">
        <v>166</v>
      </c>
      <c r="EX236" s="140" t="s">
        <v>166</v>
      </c>
      <c r="EY236" s="140" t="s">
        <v>166</v>
      </c>
      <c r="EZ236" s="140" t="s">
        <v>166</v>
      </c>
      <c r="FA236" s="205">
        <v>4.5</v>
      </c>
      <c r="FB236" s="140" t="s">
        <v>220</v>
      </c>
      <c r="FC236" s="205">
        <v>1</v>
      </c>
      <c r="FD236" s="205">
        <v>1</v>
      </c>
      <c r="FE236" s="215">
        <v>7.7701012723332497</v>
      </c>
      <c r="FF236" s="140" t="s">
        <v>221</v>
      </c>
      <c r="FG236" s="215">
        <v>8.6330137419370345E-2</v>
      </c>
      <c r="FH236" s="215">
        <v>9.788492195268006E-2</v>
      </c>
      <c r="FI236" s="266">
        <v>527.38080535207689</v>
      </c>
      <c r="FK236" s="140" t="s">
        <v>166</v>
      </c>
      <c r="FL236" s="217">
        <f t="shared" si="222"/>
        <v>527.38080535207689</v>
      </c>
      <c r="FM236" s="266">
        <v>362.2143627886071</v>
      </c>
      <c r="FN236" s="266">
        <v>183.41909047176989</v>
      </c>
      <c r="FO236" s="140" t="s">
        <v>222</v>
      </c>
      <c r="FP236" s="140" t="s">
        <v>223</v>
      </c>
      <c r="FQ236" s="217" t="s">
        <v>166</v>
      </c>
      <c r="FR236" s="217" t="s">
        <v>166</v>
      </c>
      <c r="FS236" s="217" t="s">
        <v>166</v>
      </c>
      <c r="FT236" s="217" t="s">
        <v>166</v>
      </c>
      <c r="FU236" s="217" t="s">
        <v>166</v>
      </c>
      <c r="FV236" s="217" t="s">
        <v>166</v>
      </c>
      <c r="FW236" s="217" t="s">
        <v>166</v>
      </c>
      <c r="FX236" s="217" t="s">
        <v>166</v>
      </c>
      <c r="FY236" s="217" t="s">
        <v>166</v>
      </c>
      <c r="FZ236" s="217" t="s">
        <v>166</v>
      </c>
      <c r="GA236" s="217" t="s">
        <v>166</v>
      </c>
      <c r="GB236" s="217" t="s">
        <v>166</v>
      </c>
      <c r="GC236" s="202" t="s">
        <v>521</v>
      </c>
    </row>
    <row r="237" spans="1:185" s="140" customFormat="1" ht="17">
      <c r="A237" s="140" t="s">
        <v>162</v>
      </c>
      <c r="B237" s="143" t="s">
        <v>163</v>
      </c>
      <c r="C237" s="140" t="s">
        <v>164</v>
      </c>
      <c r="D237" s="140" t="s">
        <v>165</v>
      </c>
      <c r="E237" s="140">
        <v>2020</v>
      </c>
      <c r="F237" s="140" t="s">
        <v>184</v>
      </c>
      <c r="G237" s="240">
        <v>56065.999999999993</v>
      </c>
      <c r="H237" s="241">
        <f t="shared" ref="H237" si="247">0.0083*G237^(0.9482)</f>
        <v>264.11619210009098</v>
      </c>
      <c r="I237" s="241">
        <f t="shared" si="240"/>
        <v>264.11619210009098</v>
      </c>
      <c r="J237" s="266">
        <v>946.36372627661694</v>
      </c>
      <c r="K237" s="266">
        <v>191.13767841611298</v>
      </c>
      <c r="L237" s="266">
        <v>166.87760902013895</v>
      </c>
      <c r="M237" s="140" t="b">
        <v>1</v>
      </c>
      <c r="N237" s="140">
        <v>1</v>
      </c>
      <c r="O237" s="302" t="s">
        <v>581</v>
      </c>
      <c r="P237" s="140" t="s">
        <v>166</v>
      </c>
      <c r="Q237" s="140" t="s">
        <v>166</v>
      </c>
      <c r="R237" s="140" t="s">
        <v>166</v>
      </c>
      <c r="S237" s="140" t="b">
        <v>1</v>
      </c>
      <c r="T237" s="140" t="b">
        <v>0</v>
      </c>
      <c r="U237" s="140" t="s">
        <v>166</v>
      </c>
      <c r="V237" s="140" t="b">
        <v>0</v>
      </c>
      <c r="W237" s="140" t="b">
        <v>0</v>
      </c>
      <c r="X237" s="140" t="s">
        <v>580</v>
      </c>
      <c r="Y237" s="202" t="s">
        <v>186</v>
      </c>
      <c r="Z237" s="140" t="s">
        <v>184</v>
      </c>
      <c r="AA237" s="274">
        <v>1209</v>
      </c>
      <c r="AB237" s="275" t="s">
        <v>233</v>
      </c>
      <c r="AC237" s="275">
        <v>22</v>
      </c>
      <c r="AD237" s="275">
        <v>2</v>
      </c>
      <c r="AE237" s="275">
        <v>66</v>
      </c>
      <c r="AF237" s="275">
        <v>66</v>
      </c>
      <c r="AG237" s="140">
        <v>197.26</v>
      </c>
      <c r="AH237" s="140">
        <v>218.96899999999999</v>
      </c>
      <c r="AI237" s="140" t="s">
        <v>531</v>
      </c>
      <c r="AJ237" s="140" t="s">
        <v>509</v>
      </c>
      <c r="AK237" s="210">
        <v>32.651833000000003</v>
      </c>
      <c r="AL237" s="210">
        <v>158.506</v>
      </c>
      <c r="AM237" s="140">
        <v>28</v>
      </c>
      <c r="AN237" s="140" t="s">
        <v>166</v>
      </c>
      <c r="AO237" s="140">
        <v>-2387</v>
      </c>
      <c r="AP237" s="140">
        <v>-1900</v>
      </c>
      <c r="AQ237" s="140" t="s">
        <v>510</v>
      </c>
      <c r="AR237" s="140" t="s">
        <v>511</v>
      </c>
      <c r="AS237" s="240">
        <v>56.065999999999995</v>
      </c>
      <c r="AT237" s="140" t="s">
        <v>166</v>
      </c>
      <c r="AU237" s="140" t="s">
        <v>166</v>
      </c>
      <c r="AV237" s="140" t="s">
        <v>166</v>
      </c>
      <c r="AW237" s="140" t="s">
        <v>255</v>
      </c>
      <c r="AX237" s="140" t="s">
        <v>501</v>
      </c>
      <c r="AY237" s="140" t="s">
        <v>532</v>
      </c>
      <c r="AZ237" s="140" t="s">
        <v>166</v>
      </c>
      <c r="BA237" s="140" t="s">
        <v>166</v>
      </c>
      <c r="BB237" s="140" t="s">
        <v>166</v>
      </c>
      <c r="BC237" s="140" t="s">
        <v>166</v>
      </c>
      <c r="BD237" s="140" t="s">
        <v>166</v>
      </c>
      <c r="BE237" s="140" t="s">
        <v>166</v>
      </c>
      <c r="BF237" s="140" t="s">
        <v>166</v>
      </c>
      <c r="BG237" s="269" t="s">
        <v>513</v>
      </c>
      <c r="BH237" s="207" t="s">
        <v>236</v>
      </c>
      <c r="BI237" s="140" t="s">
        <v>514</v>
      </c>
      <c r="BJ237" s="140">
        <v>1.8389999999999986</v>
      </c>
      <c r="BK237" s="140" t="s">
        <v>515</v>
      </c>
      <c r="BL237" s="140" t="s">
        <v>516</v>
      </c>
      <c r="BM237" s="140" t="s">
        <v>517</v>
      </c>
      <c r="BN237" s="140" t="s">
        <v>466</v>
      </c>
      <c r="BO237" s="207">
        <v>7</v>
      </c>
      <c r="BP237" s="140">
        <v>0.18</v>
      </c>
      <c r="BQ237" s="207">
        <v>14.82</v>
      </c>
      <c r="BR237" s="140" t="s">
        <v>518</v>
      </c>
      <c r="BS237" s="207">
        <v>0.22</v>
      </c>
      <c r="BT237" s="140">
        <v>1</v>
      </c>
      <c r="BU237" s="140" t="s">
        <v>197</v>
      </c>
      <c r="BV237" s="140" t="s">
        <v>166</v>
      </c>
      <c r="BW237" s="140">
        <v>0</v>
      </c>
      <c r="BX237" s="140" t="s">
        <v>197</v>
      </c>
      <c r="BY237" s="140" t="s">
        <v>166</v>
      </c>
      <c r="BZ237" s="140" t="s">
        <v>197</v>
      </c>
      <c r="CA237" s="140" t="s">
        <v>166</v>
      </c>
      <c r="CB237" s="210">
        <f t="shared" si="232"/>
        <v>14.82</v>
      </c>
      <c r="CC237" s="140" t="s">
        <v>196</v>
      </c>
      <c r="CD237" s="140">
        <f t="shared" si="233"/>
        <v>0.22</v>
      </c>
      <c r="CE237" s="140" t="s">
        <v>199</v>
      </c>
      <c r="CF237" s="140" t="s">
        <v>166</v>
      </c>
      <c r="CG237" s="140" t="s">
        <v>474</v>
      </c>
      <c r="CH237" s="140" t="s">
        <v>166</v>
      </c>
      <c r="CI237" s="140" t="s">
        <v>166</v>
      </c>
      <c r="CJ237" s="247">
        <v>32.773646215397186</v>
      </c>
      <c r="CK237" s="140" t="s">
        <v>201</v>
      </c>
      <c r="CL237" s="140">
        <v>2</v>
      </c>
      <c r="CM237" s="140">
        <v>2</v>
      </c>
      <c r="CN237" s="140" t="s">
        <v>166</v>
      </c>
      <c r="CO237" s="140">
        <v>3.45</v>
      </c>
      <c r="CP237" s="140" t="s">
        <v>519</v>
      </c>
      <c r="CQ237" s="270">
        <v>0.10349999999999999</v>
      </c>
      <c r="CR237" s="270">
        <v>0.10349999999999999</v>
      </c>
      <c r="CS237" s="249" t="s">
        <v>202</v>
      </c>
      <c r="CT237" s="140" t="s">
        <v>203</v>
      </c>
      <c r="CU237" s="140">
        <v>2.2000000000000002</v>
      </c>
      <c r="CV237" s="140" t="s">
        <v>204</v>
      </c>
      <c r="CW237" s="140" t="s">
        <v>166</v>
      </c>
      <c r="CX237" s="140" t="s">
        <v>166</v>
      </c>
      <c r="CY237" s="140" t="s">
        <v>166</v>
      </c>
      <c r="CZ237" s="140" t="s">
        <v>166</v>
      </c>
      <c r="DA237" s="209" t="s">
        <v>166</v>
      </c>
      <c r="DB237" s="140" t="s">
        <v>166</v>
      </c>
      <c r="DC237" s="140" t="s">
        <v>166</v>
      </c>
      <c r="DD237" s="140" t="s">
        <v>166</v>
      </c>
      <c r="DE237" s="140" t="s">
        <v>166</v>
      </c>
      <c r="DF237" s="140" t="s">
        <v>520</v>
      </c>
      <c r="DG237" s="250">
        <v>35</v>
      </c>
      <c r="DH237" s="250" t="s">
        <v>201</v>
      </c>
      <c r="DI237" s="140">
        <v>1</v>
      </c>
      <c r="DJ237" s="250" t="s">
        <v>206</v>
      </c>
      <c r="DK237" s="250">
        <v>17</v>
      </c>
      <c r="DL237" s="140" t="s">
        <v>166</v>
      </c>
      <c r="DM237" s="140" t="s">
        <v>166</v>
      </c>
      <c r="DN237" s="250" t="s">
        <v>207</v>
      </c>
      <c r="DO237" s="250">
        <v>38</v>
      </c>
      <c r="DP237" s="250" t="s">
        <v>208</v>
      </c>
      <c r="DQ237" s="250">
        <v>3</v>
      </c>
      <c r="DR237" s="250" t="s">
        <v>209</v>
      </c>
      <c r="DS237" s="140" t="s">
        <v>166</v>
      </c>
      <c r="DT237" s="140" t="s">
        <v>166</v>
      </c>
      <c r="DU237" s="140" t="s">
        <v>166</v>
      </c>
      <c r="DV237" s="140" t="s">
        <v>166</v>
      </c>
      <c r="DW237" s="250">
        <v>432.6</v>
      </c>
      <c r="DX237" s="140" t="s">
        <v>166</v>
      </c>
      <c r="DY237" s="140" t="s">
        <v>166</v>
      </c>
      <c r="DZ237" s="140" t="s">
        <v>210</v>
      </c>
      <c r="EA237" s="140" t="s">
        <v>211</v>
      </c>
      <c r="EB237" s="140" t="s">
        <v>212</v>
      </c>
      <c r="EC237" s="140" t="s">
        <v>166</v>
      </c>
      <c r="ED237" s="140" t="s">
        <v>213</v>
      </c>
      <c r="EE237" s="213" t="s">
        <v>214</v>
      </c>
      <c r="EF237" s="213" t="s">
        <v>214</v>
      </c>
      <c r="EG237" s="250">
        <v>1.0271999999999999</v>
      </c>
      <c r="EH237" s="250" t="s">
        <v>215</v>
      </c>
      <c r="EI237" s="250" t="s">
        <v>215</v>
      </c>
      <c r="EJ237" s="250" t="s">
        <v>216</v>
      </c>
      <c r="EK237" s="250" t="s">
        <v>215</v>
      </c>
      <c r="EL237" s="250" t="s">
        <v>215</v>
      </c>
      <c r="EM237" s="250" t="s">
        <v>217</v>
      </c>
      <c r="EN237" s="251" t="s">
        <v>214</v>
      </c>
      <c r="EO237" s="251" t="s">
        <v>214</v>
      </c>
      <c r="EP237" s="251" t="s">
        <v>214</v>
      </c>
      <c r="EQ237" s="251" t="s">
        <v>214</v>
      </c>
      <c r="ER237" s="250"/>
      <c r="ES237" s="250"/>
      <c r="ET237" s="140" t="s">
        <v>218</v>
      </c>
      <c r="EU237" s="250" t="s">
        <v>219</v>
      </c>
      <c r="EV237" s="250" t="s">
        <v>213</v>
      </c>
      <c r="EW237" s="140" t="s">
        <v>166</v>
      </c>
      <c r="EX237" s="140" t="s">
        <v>166</v>
      </c>
      <c r="EY237" s="140" t="s">
        <v>166</v>
      </c>
      <c r="EZ237" s="140" t="s">
        <v>166</v>
      </c>
      <c r="FA237" s="205">
        <v>6</v>
      </c>
      <c r="FB237" s="140" t="s">
        <v>220</v>
      </c>
      <c r="FC237" s="205">
        <v>1</v>
      </c>
      <c r="FD237" s="205">
        <v>1</v>
      </c>
      <c r="FE237" s="215">
        <v>7.7250391887117802</v>
      </c>
      <c r="FF237" s="140" t="s">
        <v>221</v>
      </c>
      <c r="FG237" s="215">
        <v>3.2496341686509389E-2</v>
      </c>
      <c r="FH237" s="215">
        <v>3.3620784690359784E-2</v>
      </c>
      <c r="FI237" s="266">
        <v>946.36372627661694</v>
      </c>
      <c r="FK237" s="140" t="s">
        <v>166</v>
      </c>
      <c r="FL237" s="217">
        <f t="shared" si="222"/>
        <v>946.36372627661694</v>
      </c>
      <c r="FM237" s="266">
        <v>191.13767841611298</v>
      </c>
      <c r="FN237" s="266">
        <v>166.87760902013895</v>
      </c>
      <c r="FO237" s="140" t="s">
        <v>222</v>
      </c>
      <c r="FP237" s="140" t="s">
        <v>223</v>
      </c>
      <c r="FQ237" s="217" t="s">
        <v>166</v>
      </c>
      <c r="FR237" s="217" t="s">
        <v>166</v>
      </c>
      <c r="FS237" s="217" t="s">
        <v>166</v>
      </c>
      <c r="FT237" s="217" t="s">
        <v>166</v>
      </c>
      <c r="FU237" s="217" t="s">
        <v>166</v>
      </c>
      <c r="FV237" s="217" t="s">
        <v>166</v>
      </c>
      <c r="FW237" s="217" t="s">
        <v>166</v>
      </c>
      <c r="FX237" s="217" t="s">
        <v>166</v>
      </c>
      <c r="FY237" s="217" t="s">
        <v>166</v>
      </c>
      <c r="FZ237" s="217" t="s">
        <v>166</v>
      </c>
      <c r="GA237" s="217" t="s">
        <v>166</v>
      </c>
      <c r="GB237" s="217" t="s">
        <v>166</v>
      </c>
      <c r="GC237" s="202" t="s">
        <v>521</v>
      </c>
    </row>
    <row r="238" spans="1:185" s="140" customFormat="1" ht="17">
      <c r="A238" s="140" t="s">
        <v>162</v>
      </c>
      <c r="B238" s="143" t="s">
        <v>163</v>
      </c>
      <c r="C238" s="140" t="s">
        <v>164</v>
      </c>
      <c r="D238" s="140" t="s">
        <v>165</v>
      </c>
      <c r="E238" s="140">
        <v>2020</v>
      </c>
      <c r="F238" s="140" t="s">
        <v>184</v>
      </c>
      <c r="G238" s="240">
        <v>55929</v>
      </c>
      <c r="H238" s="241">
        <f t="shared" ref="H238" si="248">0.0083*G238^(0.9482)</f>
        <v>263.50420329058471</v>
      </c>
      <c r="I238" s="241">
        <f t="shared" si="240"/>
        <v>263.50420329058471</v>
      </c>
      <c r="J238" s="266">
        <v>684.83299336502296</v>
      </c>
      <c r="K238" s="266">
        <v>171.53745495368605</v>
      </c>
      <c r="L238" s="266">
        <v>126.90153478951197</v>
      </c>
      <c r="M238" s="140" t="b">
        <v>1</v>
      </c>
      <c r="N238" s="140">
        <v>1</v>
      </c>
      <c r="O238" s="302" t="s">
        <v>581</v>
      </c>
      <c r="P238" s="140" t="s">
        <v>166</v>
      </c>
      <c r="Q238" s="140" t="s">
        <v>166</v>
      </c>
      <c r="R238" s="140" t="s">
        <v>166</v>
      </c>
      <c r="S238" s="140" t="b">
        <v>1</v>
      </c>
      <c r="T238" s="140" t="b">
        <v>0</v>
      </c>
      <c r="U238" s="140" t="s">
        <v>166</v>
      </c>
      <c r="V238" s="140" t="b">
        <v>0</v>
      </c>
      <c r="W238" s="140" t="b">
        <v>0</v>
      </c>
      <c r="X238" s="140" t="s">
        <v>580</v>
      </c>
      <c r="Y238" s="202" t="s">
        <v>186</v>
      </c>
      <c r="Z238" s="140" t="s">
        <v>184</v>
      </c>
      <c r="AA238" s="274">
        <v>1209</v>
      </c>
      <c r="AB238" s="275" t="s">
        <v>233</v>
      </c>
      <c r="AC238" s="275">
        <v>22</v>
      </c>
      <c r="AD238" s="275">
        <v>1</v>
      </c>
      <c r="AE238" s="275">
        <v>148</v>
      </c>
      <c r="AF238" s="275">
        <v>148</v>
      </c>
      <c r="AG238" s="140">
        <v>196.57999999999998</v>
      </c>
      <c r="AH238" s="140">
        <v>218.184</v>
      </c>
      <c r="AI238" s="140" t="s">
        <v>531</v>
      </c>
      <c r="AJ238" s="140" t="s">
        <v>509</v>
      </c>
      <c r="AK238" s="210">
        <v>32.651833000000003</v>
      </c>
      <c r="AL238" s="210">
        <v>158.506</v>
      </c>
      <c r="AM238" s="140">
        <v>28</v>
      </c>
      <c r="AN238" s="140" t="s">
        <v>166</v>
      </c>
      <c r="AO238" s="140">
        <v>-2387</v>
      </c>
      <c r="AP238" s="140">
        <v>-1900</v>
      </c>
      <c r="AQ238" s="140" t="s">
        <v>510</v>
      </c>
      <c r="AR238" s="140" t="s">
        <v>511</v>
      </c>
      <c r="AS238" s="240">
        <v>55.929000000000002</v>
      </c>
      <c r="AT238" s="140" t="s">
        <v>166</v>
      </c>
      <c r="AU238" s="140" t="s">
        <v>166</v>
      </c>
      <c r="AV238" s="140" t="s">
        <v>166</v>
      </c>
      <c r="AW238" s="140" t="s">
        <v>255</v>
      </c>
      <c r="AX238" s="140" t="s">
        <v>501</v>
      </c>
      <c r="AY238" s="140" t="s">
        <v>532</v>
      </c>
      <c r="AZ238" s="140" t="s">
        <v>166</v>
      </c>
      <c r="BA238" s="140" t="s">
        <v>166</v>
      </c>
      <c r="BB238" s="140" t="s">
        <v>166</v>
      </c>
      <c r="BC238" s="140" t="s">
        <v>166</v>
      </c>
      <c r="BD238" s="140" t="s">
        <v>166</v>
      </c>
      <c r="BE238" s="140" t="s">
        <v>166</v>
      </c>
      <c r="BF238" s="140" t="s">
        <v>166</v>
      </c>
      <c r="BG238" s="269" t="s">
        <v>513</v>
      </c>
      <c r="BH238" s="207" t="s">
        <v>236</v>
      </c>
      <c r="BI238" s="140" t="s">
        <v>514</v>
      </c>
      <c r="BJ238" s="140">
        <v>1.160000000000025</v>
      </c>
      <c r="BK238" s="140" t="s">
        <v>515</v>
      </c>
      <c r="BL238" s="140" t="s">
        <v>516</v>
      </c>
      <c r="BM238" s="140" t="s">
        <v>517</v>
      </c>
      <c r="BN238" s="140" t="s">
        <v>466</v>
      </c>
      <c r="BO238" s="207">
        <v>3</v>
      </c>
      <c r="BP238" s="140">
        <v>0.19</v>
      </c>
      <c r="BQ238" s="209">
        <v>15.4</v>
      </c>
      <c r="BR238" s="140" t="s">
        <v>518</v>
      </c>
      <c r="BS238" s="207">
        <v>0.33</v>
      </c>
      <c r="BT238" s="140">
        <v>1</v>
      </c>
      <c r="BU238" s="140" t="s">
        <v>197</v>
      </c>
      <c r="BV238" s="140" t="s">
        <v>166</v>
      </c>
      <c r="BW238" s="140">
        <v>0</v>
      </c>
      <c r="BX238" s="140" t="s">
        <v>197</v>
      </c>
      <c r="BY238" s="140" t="s">
        <v>166</v>
      </c>
      <c r="BZ238" s="140" t="s">
        <v>197</v>
      </c>
      <c r="CA238" s="140" t="s">
        <v>166</v>
      </c>
      <c r="CB238" s="210">
        <f t="shared" si="232"/>
        <v>15.4</v>
      </c>
      <c r="CC238" s="140" t="s">
        <v>196</v>
      </c>
      <c r="CD238" s="140">
        <f t="shared" si="233"/>
        <v>0.33</v>
      </c>
      <c r="CE238" s="140" t="s">
        <v>199</v>
      </c>
      <c r="CF238" s="140" t="s">
        <v>166</v>
      </c>
      <c r="CG238" s="140" t="s">
        <v>474</v>
      </c>
      <c r="CH238" s="140" t="s">
        <v>166</v>
      </c>
      <c r="CI238" s="140" t="s">
        <v>166</v>
      </c>
      <c r="CJ238" s="247">
        <v>33.429890792952733</v>
      </c>
      <c r="CK238" s="140" t="s">
        <v>201</v>
      </c>
      <c r="CL238" s="140">
        <v>2</v>
      </c>
      <c r="CM238" s="140">
        <v>2</v>
      </c>
      <c r="CN238" s="140" t="s">
        <v>166</v>
      </c>
      <c r="CO238" s="140">
        <v>3.58</v>
      </c>
      <c r="CP238" s="140" t="s">
        <v>519</v>
      </c>
      <c r="CQ238" s="270">
        <v>0.1074</v>
      </c>
      <c r="CR238" s="270">
        <v>0.1074</v>
      </c>
      <c r="CS238" s="249" t="s">
        <v>202</v>
      </c>
      <c r="CT238" s="140" t="s">
        <v>203</v>
      </c>
      <c r="CU238" s="140">
        <v>2.2000000000000002</v>
      </c>
      <c r="CV238" s="140" t="s">
        <v>204</v>
      </c>
      <c r="CW238" s="140" t="s">
        <v>166</v>
      </c>
      <c r="CX238" s="140" t="s">
        <v>166</v>
      </c>
      <c r="CY238" s="140" t="s">
        <v>166</v>
      </c>
      <c r="CZ238" s="140" t="s">
        <v>166</v>
      </c>
      <c r="DA238" s="209" t="s">
        <v>166</v>
      </c>
      <c r="DB238" s="140" t="s">
        <v>166</v>
      </c>
      <c r="DC238" s="140" t="s">
        <v>166</v>
      </c>
      <c r="DD238" s="140" t="s">
        <v>166</v>
      </c>
      <c r="DE238" s="140" t="s">
        <v>166</v>
      </c>
      <c r="DF238" s="140" t="s">
        <v>520</v>
      </c>
      <c r="DG238" s="250">
        <v>35</v>
      </c>
      <c r="DH238" s="250" t="s">
        <v>201</v>
      </c>
      <c r="DI238" s="140">
        <v>1</v>
      </c>
      <c r="DJ238" s="250" t="s">
        <v>206</v>
      </c>
      <c r="DK238" s="250">
        <v>17</v>
      </c>
      <c r="DL238" s="140" t="s">
        <v>166</v>
      </c>
      <c r="DM238" s="140" t="s">
        <v>166</v>
      </c>
      <c r="DN238" s="250" t="s">
        <v>207</v>
      </c>
      <c r="DO238" s="250">
        <v>38</v>
      </c>
      <c r="DP238" s="250" t="s">
        <v>208</v>
      </c>
      <c r="DQ238" s="250">
        <v>3</v>
      </c>
      <c r="DR238" s="250" t="s">
        <v>209</v>
      </c>
      <c r="DS238" s="140" t="s">
        <v>166</v>
      </c>
      <c r="DT238" s="140" t="s">
        <v>166</v>
      </c>
      <c r="DU238" s="140" t="s">
        <v>166</v>
      </c>
      <c r="DV238" s="140" t="s">
        <v>166</v>
      </c>
      <c r="DW238" s="250">
        <v>432.6</v>
      </c>
      <c r="DX238" s="140" t="s">
        <v>166</v>
      </c>
      <c r="DY238" s="140" t="s">
        <v>166</v>
      </c>
      <c r="DZ238" s="140" t="s">
        <v>210</v>
      </c>
      <c r="EA238" s="140" t="s">
        <v>211</v>
      </c>
      <c r="EB238" s="140" t="s">
        <v>212</v>
      </c>
      <c r="EC238" s="140" t="s">
        <v>166</v>
      </c>
      <c r="ED238" s="140" t="s">
        <v>213</v>
      </c>
      <c r="EE238" s="213" t="s">
        <v>214</v>
      </c>
      <c r="EF238" s="213" t="s">
        <v>214</v>
      </c>
      <c r="EG238" s="250">
        <v>1.0271999999999999</v>
      </c>
      <c r="EH238" s="250" t="s">
        <v>215</v>
      </c>
      <c r="EI238" s="250" t="s">
        <v>215</v>
      </c>
      <c r="EJ238" s="250" t="s">
        <v>216</v>
      </c>
      <c r="EK238" s="250" t="s">
        <v>215</v>
      </c>
      <c r="EL238" s="250" t="s">
        <v>215</v>
      </c>
      <c r="EM238" s="250" t="s">
        <v>217</v>
      </c>
      <c r="EN238" s="251" t="s">
        <v>214</v>
      </c>
      <c r="EO238" s="251" t="s">
        <v>214</v>
      </c>
      <c r="EP238" s="251" t="s">
        <v>214</v>
      </c>
      <c r="EQ238" s="251" t="s">
        <v>214</v>
      </c>
      <c r="ER238" s="250"/>
      <c r="ES238" s="250"/>
      <c r="ET238" s="140" t="s">
        <v>218</v>
      </c>
      <c r="EU238" s="250" t="s">
        <v>219</v>
      </c>
      <c r="EV238" s="250" t="s">
        <v>213</v>
      </c>
      <c r="EW238" s="140" t="s">
        <v>166</v>
      </c>
      <c r="EX238" s="140" t="s">
        <v>166</v>
      </c>
      <c r="EY238" s="140" t="s">
        <v>166</v>
      </c>
      <c r="EZ238" s="140" t="s">
        <v>166</v>
      </c>
      <c r="FA238" s="205">
        <v>6</v>
      </c>
      <c r="FB238" s="140" t="s">
        <v>220</v>
      </c>
      <c r="FC238" s="205">
        <v>1</v>
      </c>
      <c r="FD238" s="205">
        <v>1</v>
      </c>
      <c r="FE238" s="215">
        <v>7.7891082408389201</v>
      </c>
      <c r="FF238" s="140" t="s">
        <v>221</v>
      </c>
      <c r="FG238" s="215">
        <v>3.7017149158960372E-2</v>
      </c>
      <c r="FH238" s="215">
        <v>4.2015505077349857E-2</v>
      </c>
      <c r="FI238" s="266">
        <v>684.83299336502296</v>
      </c>
      <c r="FK238" s="140" t="s">
        <v>166</v>
      </c>
      <c r="FL238" s="217">
        <f t="shared" si="222"/>
        <v>684.83299336502296</v>
      </c>
      <c r="FM238" s="266">
        <v>171.53745495368605</v>
      </c>
      <c r="FN238" s="266">
        <v>126.90153478951197</v>
      </c>
      <c r="FO238" s="140" t="s">
        <v>222</v>
      </c>
      <c r="FP238" s="140" t="s">
        <v>223</v>
      </c>
      <c r="FQ238" s="217" t="s">
        <v>166</v>
      </c>
      <c r="FR238" s="217" t="s">
        <v>166</v>
      </c>
      <c r="FS238" s="217" t="s">
        <v>166</v>
      </c>
      <c r="FT238" s="217" t="s">
        <v>166</v>
      </c>
      <c r="FU238" s="217" t="s">
        <v>166</v>
      </c>
      <c r="FV238" s="217" t="s">
        <v>166</v>
      </c>
      <c r="FW238" s="217" t="s">
        <v>166</v>
      </c>
      <c r="FX238" s="217" t="s">
        <v>166</v>
      </c>
      <c r="FY238" s="217" t="s">
        <v>166</v>
      </c>
      <c r="FZ238" s="217" t="s">
        <v>166</v>
      </c>
      <c r="GA238" s="217" t="s">
        <v>166</v>
      </c>
      <c r="GB238" s="217" t="s">
        <v>166</v>
      </c>
      <c r="GC238" s="202" t="s">
        <v>521</v>
      </c>
    </row>
    <row r="239" spans="1:185" s="140" customFormat="1" ht="17">
      <c r="A239" s="140" t="s">
        <v>162</v>
      </c>
      <c r="B239" s="143" t="s">
        <v>163</v>
      </c>
      <c r="C239" s="140" t="s">
        <v>164</v>
      </c>
      <c r="D239" s="140" t="s">
        <v>165</v>
      </c>
      <c r="E239" s="140">
        <v>2020</v>
      </c>
      <c r="F239" s="140" t="s">
        <v>184</v>
      </c>
      <c r="G239" s="240">
        <v>55919</v>
      </c>
      <c r="H239" s="241">
        <f t="shared" ref="H239" si="249">0.0083*G239^(0.9482)</f>
        <v>263.45952953588176</v>
      </c>
      <c r="I239" s="241">
        <f t="shared" si="240"/>
        <v>263.45952953588176</v>
      </c>
      <c r="J239" s="266">
        <v>1091.1220986073999</v>
      </c>
      <c r="K239" s="266">
        <v>214.55218021703013</v>
      </c>
      <c r="L239" s="266">
        <v>188.68605964477092</v>
      </c>
      <c r="M239" s="140" t="b">
        <v>1</v>
      </c>
      <c r="N239" s="140">
        <v>1</v>
      </c>
      <c r="O239" s="302" t="s">
        <v>581</v>
      </c>
      <c r="P239" s="140" t="s">
        <v>166</v>
      </c>
      <c r="Q239" s="140" t="s">
        <v>166</v>
      </c>
      <c r="R239" s="140" t="s">
        <v>166</v>
      </c>
      <c r="S239" s="140" t="b">
        <v>1</v>
      </c>
      <c r="T239" s="140" t="b">
        <v>0</v>
      </c>
      <c r="U239" s="140" t="s">
        <v>166</v>
      </c>
      <c r="V239" s="140" t="b">
        <v>0</v>
      </c>
      <c r="W239" s="140" t="b">
        <v>0</v>
      </c>
      <c r="X239" s="140" t="s">
        <v>580</v>
      </c>
      <c r="Y239" s="202" t="s">
        <v>186</v>
      </c>
      <c r="Z239" s="140" t="s">
        <v>184</v>
      </c>
      <c r="AA239" s="274">
        <v>1209</v>
      </c>
      <c r="AB239" s="275" t="s">
        <v>233</v>
      </c>
      <c r="AC239" s="275">
        <v>22</v>
      </c>
      <c r="AD239" s="275">
        <v>1</v>
      </c>
      <c r="AE239" s="275">
        <v>143</v>
      </c>
      <c r="AF239" s="275">
        <v>143</v>
      </c>
      <c r="AG239" s="276">
        <v>196.53</v>
      </c>
      <c r="AH239" s="276">
        <v>218.125</v>
      </c>
      <c r="AI239" s="140" t="s">
        <v>531</v>
      </c>
      <c r="AJ239" s="140" t="s">
        <v>509</v>
      </c>
      <c r="AK239" s="210">
        <v>32.651833000000003</v>
      </c>
      <c r="AL239" s="210">
        <v>158.506</v>
      </c>
      <c r="AM239" s="140">
        <v>28</v>
      </c>
      <c r="AN239" s="140" t="s">
        <v>166</v>
      </c>
      <c r="AO239" s="140">
        <v>-2387</v>
      </c>
      <c r="AP239" s="140">
        <v>-1900</v>
      </c>
      <c r="AQ239" s="140" t="s">
        <v>510</v>
      </c>
      <c r="AR239" s="140" t="s">
        <v>511</v>
      </c>
      <c r="AS239" s="240">
        <v>55.918999999999997</v>
      </c>
      <c r="AT239" s="140" t="s">
        <v>166</v>
      </c>
      <c r="AU239" s="140" t="s">
        <v>166</v>
      </c>
      <c r="AV239" s="140" t="s">
        <v>166</v>
      </c>
      <c r="AW239" s="140" t="s">
        <v>255</v>
      </c>
      <c r="AX239" s="140" t="s">
        <v>501</v>
      </c>
      <c r="AY239" s="140" t="s">
        <v>532</v>
      </c>
      <c r="AZ239" s="140" t="s">
        <v>166</v>
      </c>
      <c r="BA239" s="140" t="s">
        <v>166</v>
      </c>
      <c r="BB239" s="140" t="s">
        <v>166</v>
      </c>
      <c r="BC239" s="140" t="s">
        <v>166</v>
      </c>
      <c r="BD239" s="140" t="s">
        <v>166</v>
      </c>
      <c r="BE239" s="140" t="s">
        <v>166</v>
      </c>
      <c r="BF239" s="140" t="s">
        <v>166</v>
      </c>
      <c r="BG239" s="269" t="s">
        <v>513</v>
      </c>
      <c r="BH239" s="207" t="s">
        <v>236</v>
      </c>
      <c r="BI239" s="140" t="s">
        <v>514</v>
      </c>
      <c r="BJ239" s="140">
        <v>1.5199999999999818</v>
      </c>
      <c r="BK239" s="140" t="s">
        <v>515</v>
      </c>
      <c r="BL239" s="140" t="s">
        <v>516</v>
      </c>
      <c r="BM239" s="140" t="s">
        <v>517</v>
      </c>
      <c r="BN239" s="140" t="s">
        <v>466</v>
      </c>
      <c r="BO239" s="207">
        <v>9</v>
      </c>
      <c r="BP239" s="140">
        <v>0.23</v>
      </c>
      <c r="BQ239" s="207">
        <v>14.61</v>
      </c>
      <c r="BR239" s="140" t="s">
        <v>518</v>
      </c>
      <c r="BS239" s="207">
        <v>0.23</v>
      </c>
      <c r="BT239" s="140">
        <v>1</v>
      </c>
      <c r="BU239" s="140" t="s">
        <v>197</v>
      </c>
      <c r="BV239" s="140" t="s">
        <v>166</v>
      </c>
      <c r="BW239" s="140">
        <v>0</v>
      </c>
      <c r="BX239" s="140" t="s">
        <v>197</v>
      </c>
      <c r="BY239" s="140" t="s">
        <v>166</v>
      </c>
      <c r="BZ239" s="140" t="s">
        <v>197</v>
      </c>
      <c r="CA239" s="140" t="s">
        <v>166</v>
      </c>
      <c r="CB239" s="210">
        <f t="shared" si="232"/>
        <v>14.61</v>
      </c>
      <c r="CC239" s="140" t="s">
        <v>196</v>
      </c>
      <c r="CD239" s="140">
        <f t="shared" si="233"/>
        <v>0.23</v>
      </c>
      <c r="CE239" s="140" t="s">
        <v>199</v>
      </c>
      <c r="CF239" s="140" t="s">
        <v>166</v>
      </c>
      <c r="CG239" s="140" t="s">
        <v>474</v>
      </c>
      <c r="CH239" s="140" t="s">
        <v>166</v>
      </c>
      <c r="CI239" s="140" t="s">
        <v>166</v>
      </c>
      <c r="CJ239" s="247">
        <v>33.429890792952733</v>
      </c>
      <c r="CK239" s="140" t="s">
        <v>201</v>
      </c>
      <c r="CL239" s="140">
        <v>2</v>
      </c>
      <c r="CM239" s="140">
        <v>2</v>
      </c>
      <c r="CN239" s="140" t="s">
        <v>166</v>
      </c>
      <c r="CO239" s="140">
        <v>3.58</v>
      </c>
      <c r="CP239" s="140" t="s">
        <v>519</v>
      </c>
      <c r="CQ239" s="270">
        <v>0.1074</v>
      </c>
      <c r="CR239" s="270">
        <v>0.1074</v>
      </c>
      <c r="CS239" s="249" t="s">
        <v>202</v>
      </c>
      <c r="CT239" s="140" t="s">
        <v>203</v>
      </c>
      <c r="CU239" s="140">
        <v>2.2000000000000002</v>
      </c>
      <c r="CV239" s="140" t="s">
        <v>204</v>
      </c>
      <c r="CW239" s="140" t="s">
        <v>166</v>
      </c>
      <c r="CX239" s="140" t="s">
        <v>166</v>
      </c>
      <c r="CY239" s="140" t="s">
        <v>166</v>
      </c>
      <c r="CZ239" s="140" t="s">
        <v>166</v>
      </c>
      <c r="DA239" s="209" t="s">
        <v>166</v>
      </c>
      <c r="DB239" s="140" t="s">
        <v>166</v>
      </c>
      <c r="DC239" s="140" t="s">
        <v>166</v>
      </c>
      <c r="DD239" s="140" t="s">
        <v>166</v>
      </c>
      <c r="DE239" s="140" t="s">
        <v>166</v>
      </c>
      <c r="DF239" s="140" t="s">
        <v>520</v>
      </c>
      <c r="DG239" s="250">
        <v>35</v>
      </c>
      <c r="DH239" s="250" t="s">
        <v>201</v>
      </c>
      <c r="DI239" s="140">
        <v>1</v>
      </c>
      <c r="DJ239" s="250" t="s">
        <v>206</v>
      </c>
      <c r="DK239" s="250">
        <v>17</v>
      </c>
      <c r="DL239" s="140" t="s">
        <v>166</v>
      </c>
      <c r="DM239" s="140" t="s">
        <v>166</v>
      </c>
      <c r="DN239" s="250" t="s">
        <v>207</v>
      </c>
      <c r="DO239" s="250">
        <v>38</v>
      </c>
      <c r="DP239" s="250" t="s">
        <v>208</v>
      </c>
      <c r="DQ239" s="250">
        <v>3</v>
      </c>
      <c r="DR239" s="250" t="s">
        <v>209</v>
      </c>
      <c r="DS239" s="140" t="s">
        <v>166</v>
      </c>
      <c r="DT239" s="140" t="s">
        <v>166</v>
      </c>
      <c r="DU239" s="140" t="s">
        <v>166</v>
      </c>
      <c r="DV239" s="140" t="s">
        <v>166</v>
      </c>
      <c r="DW239" s="250">
        <v>432.6</v>
      </c>
      <c r="DX239" s="140" t="s">
        <v>166</v>
      </c>
      <c r="DY239" s="140" t="s">
        <v>166</v>
      </c>
      <c r="DZ239" s="140" t="s">
        <v>210</v>
      </c>
      <c r="EA239" s="140" t="s">
        <v>211</v>
      </c>
      <c r="EB239" s="140" t="s">
        <v>212</v>
      </c>
      <c r="EC239" s="140" t="s">
        <v>166</v>
      </c>
      <c r="ED239" s="140" t="s">
        <v>213</v>
      </c>
      <c r="EE239" s="213" t="s">
        <v>214</v>
      </c>
      <c r="EF239" s="213" t="s">
        <v>214</v>
      </c>
      <c r="EG239" s="250">
        <v>1.0271999999999999</v>
      </c>
      <c r="EH239" s="250" t="s">
        <v>215</v>
      </c>
      <c r="EI239" s="250" t="s">
        <v>215</v>
      </c>
      <c r="EJ239" s="250" t="s">
        <v>216</v>
      </c>
      <c r="EK239" s="250" t="s">
        <v>215</v>
      </c>
      <c r="EL239" s="250" t="s">
        <v>215</v>
      </c>
      <c r="EM239" s="250" t="s">
        <v>217</v>
      </c>
      <c r="EN239" s="251" t="s">
        <v>214</v>
      </c>
      <c r="EO239" s="251" t="s">
        <v>214</v>
      </c>
      <c r="EP239" s="251" t="s">
        <v>214</v>
      </c>
      <c r="EQ239" s="251" t="s">
        <v>214</v>
      </c>
      <c r="ER239" s="250"/>
      <c r="ES239" s="250"/>
      <c r="ET239" s="140" t="s">
        <v>218</v>
      </c>
      <c r="EU239" s="250" t="s">
        <v>219</v>
      </c>
      <c r="EV239" s="250" t="s">
        <v>213</v>
      </c>
      <c r="EW239" s="140" t="s">
        <v>166</v>
      </c>
      <c r="EX239" s="140" t="s">
        <v>166</v>
      </c>
      <c r="EY239" s="140" t="s">
        <v>166</v>
      </c>
      <c r="EZ239" s="140" t="s">
        <v>166</v>
      </c>
      <c r="FA239" s="205">
        <v>6</v>
      </c>
      <c r="FB239" s="140" t="s">
        <v>220</v>
      </c>
      <c r="FC239" s="205">
        <v>1</v>
      </c>
      <c r="FD239" s="205">
        <v>1</v>
      </c>
      <c r="FE239" s="215">
        <v>7.6895109781536704</v>
      </c>
      <c r="FF239" s="140" t="s">
        <v>221</v>
      </c>
      <c r="FG239" s="215">
        <v>3.1458685919099949E-2</v>
      </c>
      <c r="FH239" s="215">
        <v>3.6616396364590464E-2</v>
      </c>
      <c r="FI239" s="266">
        <v>1091.1220986073999</v>
      </c>
      <c r="FK239" s="140" t="s">
        <v>166</v>
      </c>
      <c r="FL239" s="217">
        <f t="shared" si="222"/>
        <v>1091.1220986073999</v>
      </c>
      <c r="FM239" s="266">
        <v>214.55218021703013</v>
      </c>
      <c r="FN239" s="266">
        <v>188.68605964477092</v>
      </c>
      <c r="FO239" s="140" t="s">
        <v>222</v>
      </c>
      <c r="FP239" s="140" t="s">
        <v>223</v>
      </c>
      <c r="FQ239" s="217" t="s">
        <v>166</v>
      </c>
      <c r="FR239" s="217" t="s">
        <v>166</v>
      </c>
      <c r="FS239" s="217" t="s">
        <v>166</v>
      </c>
      <c r="FT239" s="217" t="s">
        <v>166</v>
      </c>
      <c r="FU239" s="217" t="s">
        <v>166</v>
      </c>
      <c r="FV239" s="217" t="s">
        <v>166</v>
      </c>
      <c r="FW239" s="217" t="s">
        <v>166</v>
      </c>
      <c r="FX239" s="217" t="s">
        <v>166</v>
      </c>
      <c r="FY239" s="217" t="s">
        <v>166</v>
      </c>
      <c r="FZ239" s="217" t="s">
        <v>166</v>
      </c>
      <c r="GA239" s="217" t="s">
        <v>166</v>
      </c>
      <c r="GB239" s="217" t="s">
        <v>166</v>
      </c>
      <c r="GC239" s="202" t="s">
        <v>521</v>
      </c>
    </row>
    <row r="240" spans="1:185" s="140" customFormat="1" ht="17">
      <c r="A240" s="140" t="s">
        <v>162</v>
      </c>
      <c r="B240" s="143" t="s">
        <v>163</v>
      </c>
      <c r="C240" s="140" t="s">
        <v>164</v>
      </c>
      <c r="D240" s="140" t="s">
        <v>165</v>
      </c>
      <c r="E240" s="140">
        <v>2020</v>
      </c>
      <c r="F240" s="140" t="s">
        <v>184</v>
      </c>
      <c r="G240" s="240">
        <v>55882.692307692312</v>
      </c>
      <c r="H240" s="241">
        <f t="shared" ref="H240" si="250">0.0083*G240^(0.9482)</f>
        <v>263.29732596237221</v>
      </c>
      <c r="I240" s="241">
        <f t="shared" si="240"/>
        <v>263.29732596237221</v>
      </c>
      <c r="J240" s="266">
        <v>1731.83587681109</v>
      </c>
      <c r="K240" s="266">
        <v>489.25795789388008</v>
      </c>
      <c r="L240" s="266">
        <v>387.36318015690995</v>
      </c>
      <c r="M240" s="140" t="b">
        <v>1</v>
      </c>
      <c r="N240" s="140">
        <v>1</v>
      </c>
      <c r="O240" s="302" t="s">
        <v>581</v>
      </c>
      <c r="P240" s="140" t="s">
        <v>166</v>
      </c>
      <c r="Q240" s="140" t="s">
        <v>166</v>
      </c>
      <c r="R240" s="140" t="s">
        <v>166</v>
      </c>
      <c r="S240" s="140" t="b">
        <v>1</v>
      </c>
      <c r="T240" s="140" t="b">
        <v>0</v>
      </c>
      <c r="U240" s="140" t="s">
        <v>166</v>
      </c>
      <c r="V240" s="140" t="b">
        <v>0</v>
      </c>
      <c r="W240" s="140" t="b">
        <v>0</v>
      </c>
      <c r="X240" s="140" t="s">
        <v>580</v>
      </c>
      <c r="Y240" s="202" t="s">
        <v>186</v>
      </c>
      <c r="Z240" s="140" t="s">
        <v>184</v>
      </c>
      <c r="AA240" s="274">
        <v>1209</v>
      </c>
      <c r="AB240" s="275" t="s">
        <v>233</v>
      </c>
      <c r="AC240" s="275">
        <v>22</v>
      </c>
      <c r="AD240" s="275">
        <v>1</v>
      </c>
      <c r="AE240" s="275">
        <v>131</v>
      </c>
      <c r="AF240" s="275">
        <v>131</v>
      </c>
      <c r="AG240" s="140">
        <v>196.41</v>
      </c>
      <c r="AH240" s="140">
        <v>217.989</v>
      </c>
      <c r="AI240" s="140" t="s">
        <v>531</v>
      </c>
      <c r="AJ240" s="140" t="s">
        <v>509</v>
      </c>
      <c r="AK240" s="210">
        <v>32.651833000000003</v>
      </c>
      <c r="AL240" s="210">
        <v>158.506</v>
      </c>
      <c r="AM240" s="140">
        <v>28</v>
      </c>
      <c r="AN240" s="140" t="s">
        <v>166</v>
      </c>
      <c r="AO240" s="140">
        <v>-2387</v>
      </c>
      <c r="AP240" s="140">
        <v>-1900</v>
      </c>
      <c r="AQ240" s="140" t="s">
        <v>510</v>
      </c>
      <c r="AR240" s="140" t="s">
        <v>511</v>
      </c>
      <c r="AS240" s="240">
        <v>55.882692307692309</v>
      </c>
      <c r="AT240" s="140" t="s">
        <v>166</v>
      </c>
      <c r="AU240" s="140" t="s">
        <v>166</v>
      </c>
      <c r="AV240" s="140" t="s">
        <v>166</v>
      </c>
      <c r="AW240" s="140" t="s">
        <v>255</v>
      </c>
      <c r="AX240" s="140" t="s">
        <v>501</v>
      </c>
      <c r="AY240" s="140" t="s">
        <v>532</v>
      </c>
      <c r="AZ240" s="140" t="s">
        <v>166</v>
      </c>
      <c r="BA240" s="140" t="s">
        <v>166</v>
      </c>
      <c r="BB240" s="140" t="s">
        <v>166</v>
      </c>
      <c r="BC240" s="140" t="s">
        <v>166</v>
      </c>
      <c r="BD240" s="140" t="s">
        <v>166</v>
      </c>
      <c r="BE240" s="140" t="s">
        <v>166</v>
      </c>
      <c r="BF240" s="140" t="s">
        <v>166</v>
      </c>
      <c r="BG240" s="269" t="s">
        <v>513</v>
      </c>
      <c r="BH240" s="207" t="s">
        <v>236</v>
      </c>
      <c r="BI240" s="140" t="s">
        <v>514</v>
      </c>
      <c r="BJ240" s="140">
        <v>1.0990000000000464</v>
      </c>
      <c r="BK240" s="140" t="s">
        <v>515</v>
      </c>
      <c r="BL240" s="140" t="s">
        <v>516</v>
      </c>
      <c r="BM240" s="140" t="s">
        <v>517</v>
      </c>
      <c r="BN240" s="140" t="s">
        <v>466</v>
      </c>
      <c r="BO240" s="207">
        <v>3</v>
      </c>
      <c r="BP240" s="140">
        <v>0.28000000000000003</v>
      </c>
      <c r="BQ240" s="207">
        <v>14.11</v>
      </c>
      <c r="BR240" s="140" t="s">
        <v>518</v>
      </c>
      <c r="BS240" s="207">
        <v>0.33</v>
      </c>
      <c r="BT240" s="140">
        <v>1</v>
      </c>
      <c r="BU240" s="140" t="s">
        <v>197</v>
      </c>
      <c r="BV240" s="140" t="s">
        <v>166</v>
      </c>
      <c r="BW240" s="140">
        <v>0</v>
      </c>
      <c r="BX240" s="140" t="s">
        <v>197</v>
      </c>
      <c r="BY240" s="140" t="s">
        <v>166</v>
      </c>
      <c r="BZ240" s="140" t="s">
        <v>197</v>
      </c>
      <c r="CA240" s="140" t="s">
        <v>166</v>
      </c>
      <c r="CB240" s="210">
        <f t="shared" si="232"/>
        <v>14.11</v>
      </c>
      <c r="CC240" s="140" t="s">
        <v>196</v>
      </c>
      <c r="CD240" s="140">
        <f t="shared" si="233"/>
        <v>0.33</v>
      </c>
      <c r="CE240" s="140" t="s">
        <v>199</v>
      </c>
      <c r="CF240" s="140" t="s">
        <v>166</v>
      </c>
      <c r="CG240" s="140" t="s">
        <v>474</v>
      </c>
      <c r="CH240" s="140" t="s">
        <v>166</v>
      </c>
      <c r="CI240" s="140" t="s">
        <v>166</v>
      </c>
      <c r="CJ240" s="247">
        <v>39.950185451027544</v>
      </c>
      <c r="CK240" s="140" t="s">
        <v>201</v>
      </c>
      <c r="CL240" s="140">
        <v>2</v>
      </c>
      <c r="CM240" s="140">
        <v>2</v>
      </c>
      <c r="CN240" s="140" t="s">
        <v>166</v>
      </c>
      <c r="CO240" s="140">
        <v>5.17</v>
      </c>
      <c r="CP240" s="140" t="s">
        <v>519</v>
      </c>
      <c r="CQ240" s="270">
        <v>0.15509999999999999</v>
      </c>
      <c r="CR240" s="270">
        <v>0.15509999999999999</v>
      </c>
      <c r="CS240" s="249" t="s">
        <v>202</v>
      </c>
      <c r="CT240" s="140" t="s">
        <v>203</v>
      </c>
      <c r="CU240" s="140">
        <v>2.2000000000000002</v>
      </c>
      <c r="CV240" s="140" t="s">
        <v>204</v>
      </c>
      <c r="CW240" s="140" t="s">
        <v>166</v>
      </c>
      <c r="CX240" s="140" t="s">
        <v>166</v>
      </c>
      <c r="CY240" s="140" t="s">
        <v>166</v>
      </c>
      <c r="CZ240" s="140" t="s">
        <v>166</v>
      </c>
      <c r="DA240" s="209" t="s">
        <v>166</v>
      </c>
      <c r="DB240" s="140" t="s">
        <v>166</v>
      </c>
      <c r="DC240" s="140" t="s">
        <v>166</v>
      </c>
      <c r="DD240" s="140" t="s">
        <v>166</v>
      </c>
      <c r="DE240" s="140" t="s">
        <v>166</v>
      </c>
      <c r="DF240" s="140" t="s">
        <v>520</v>
      </c>
      <c r="DG240" s="250">
        <v>35</v>
      </c>
      <c r="DH240" s="250" t="s">
        <v>201</v>
      </c>
      <c r="DI240" s="140">
        <v>1</v>
      </c>
      <c r="DJ240" s="250" t="s">
        <v>206</v>
      </c>
      <c r="DK240" s="250">
        <v>17</v>
      </c>
      <c r="DL240" s="140" t="s">
        <v>166</v>
      </c>
      <c r="DM240" s="140" t="s">
        <v>166</v>
      </c>
      <c r="DN240" s="250" t="s">
        <v>207</v>
      </c>
      <c r="DO240" s="250">
        <v>38</v>
      </c>
      <c r="DP240" s="250" t="s">
        <v>208</v>
      </c>
      <c r="DQ240" s="250">
        <v>3</v>
      </c>
      <c r="DR240" s="250" t="s">
        <v>209</v>
      </c>
      <c r="DS240" s="140" t="s">
        <v>166</v>
      </c>
      <c r="DT240" s="140" t="s">
        <v>166</v>
      </c>
      <c r="DU240" s="140" t="s">
        <v>166</v>
      </c>
      <c r="DV240" s="140" t="s">
        <v>166</v>
      </c>
      <c r="DW240" s="250">
        <v>432.6</v>
      </c>
      <c r="DX240" s="140" t="s">
        <v>166</v>
      </c>
      <c r="DY240" s="140" t="s">
        <v>166</v>
      </c>
      <c r="DZ240" s="140" t="s">
        <v>210</v>
      </c>
      <c r="EA240" s="140" t="s">
        <v>211</v>
      </c>
      <c r="EB240" s="140" t="s">
        <v>212</v>
      </c>
      <c r="EC240" s="140" t="s">
        <v>166</v>
      </c>
      <c r="ED240" s="140" t="s">
        <v>213</v>
      </c>
      <c r="EE240" s="213" t="s">
        <v>214</v>
      </c>
      <c r="EF240" s="213" t="s">
        <v>214</v>
      </c>
      <c r="EG240" s="250">
        <v>1.0271999999999999</v>
      </c>
      <c r="EH240" s="250" t="s">
        <v>215</v>
      </c>
      <c r="EI240" s="250" t="s">
        <v>215</v>
      </c>
      <c r="EJ240" s="250" t="s">
        <v>216</v>
      </c>
      <c r="EK240" s="250" t="s">
        <v>215</v>
      </c>
      <c r="EL240" s="250" t="s">
        <v>215</v>
      </c>
      <c r="EM240" s="250" t="s">
        <v>217</v>
      </c>
      <c r="EN240" s="251" t="s">
        <v>214</v>
      </c>
      <c r="EO240" s="251" t="s">
        <v>214</v>
      </c>
      <c r="EP240" s="251" t="s">
        <v>214</v>
      </c>
      <c r="EQ240" s="251" t="s">
        <v>214</v>
      </c>
      <c r="ER240" s="250"/>
      <c r="ES240" s="250"/>
      <c r="ET240" s="140" t="s">
        <v>218</v>
      </c>
      <c r="EU240" s="250" t="s">
        <v>219</v>
      </c>
      <c r="EV240" s="250" t="s">
        <v>213</v>
      </c>
      <c r="EW240" s="140" t="s">
        <v>166</v>
      </c>
      <c r="EX240" s="140" t="s">
        <v>166</v>
      </c>
      <c r="EY240" s="140" t="s">
        <v>166</v>
      </c>
      <c r="EZ240" s="140" t="s">
        <v>166</v>
      </c>
      <c r="FA240" s="205">
        <v>6</v>
      </c>
      <c r="FB240" s="140" t="s">
        <v>220</v>
      </c>
      <c r="FC240" s="205">
        <v>1</v>
      </c>
      <c r="FD240" s="205">
        <v>1</v>
      </c>
      <c r="FE240" s="215">
        <v>7.5417164276138902</v>
      </c>
      <c r="FF240" s="140" t="s">
        <v>221</v>
      </c>
      <c r="FG240" s="215">
        <v>5.0372392612129779E-2</v>
      </c>
      <c r="FH240" s="215">
        <v>5.0701948900240268E-2</v>
      </c>
      <c r="FI240" s="266">
        <v>1731.83587681109</v>
      </c>
      <c r="FK240" s="140" t="s">
        <v>166</v>
      </c>
      <c r="FL240" s="217">
        <f t="shared" si="222"/>
        <v>1731.83587681109</v>
      </c>
      <c r="FM240" s="266">
        <v>489.25795789388008</v>
      </c>
      <c r="FN240" s="266">
        <v>387.36318015690995</v>
      </c>
      <c r="FO240" s="140" t="s">
        <v>222</v>
      </c>
      <c r="FP240" s="140" t="s">
        <v>223</v>
      </c>
      <c r="FQ240" s="217" t="s">
        <v>166</v>
      </c>
      <c r="FR240" s="217" t="s">
        <v>166</v>
      </c>
      <c r="FS240" s="217" t="s">
        <v>166</v>
      </c>
      <c r="FT240" s="217" t="s">
        <v>166</v>
      </c>
      <c r="FU240" s="217" t="s">
        <v>166</v>
      </c>
      <c r="FV240" s="217" t="s">
        <v>166</v>
      </c>
      <c r="FW240" s="217" t="s">
        <v>166</v>
      </c>
      <c r="FX240" s="217" t="s">
        <v>166</v>
      </c>
      <c r="FY240" s="217" t="s">
        <v>166</v>
      </c>
      <c r="FZ240" s="217" t="s">
        <v>166</v>
      </c>
      <c r="GA240" s="217" t="s">
        <v>166</v>
      </c>
      <c r="GB240" s="217" t="s">
        <v>166</v>
      </c>
      <c r="GC240" s="202" t="s">
        <v>521</v>
      </c>
    </row>
    <row r="241" spans="1:190" s="140" customFormat="1" ht="17">
      <c r="A241" s="140" t="s">
        <v>162</v>
      </c>
      <c r="B241" s="143" t="s">
        <v>163</v>
      </c>
      <c r="C241" s="140" t="s">
        <v>164</v>
      </c>
      <c r="D241" s="140" t="s">
        <v>165</v>
      </c>
      <c r="E241" s="140">
        <v>2020</v>
      </c>
      <c r="F241" s="140" t="s">
        <v>184</v>
      </c>
      <c r="G241" s="240">
        <v>55836.458333333343</v>
      </c>
      <c r="H241" s="241">
        <f t="shared" ref="H241" si="251">0.0083*G241^(0.9482)</f>
        <v>263.0907691063486</v>
      </c>
      <c r="I241" s="241">
        <f t="shared" si="240"/>
        <v>263.0907691063486</v>
      </c>
      <c r="J241" s="266">
        <v>1932.70403330318</v>
      </c>
      <c r="K241" s="266">
        <v>540.28386496844996</v>
      </c>
      <c r="L241" s="266">
        <v>395.26018828891006</v>
      </c>
      <c r="M241" s="140" t="b">
        <v>1</v>
      </c>
      <c r="N241" s="140">
        <v>1</v>
      </c>
      <c r="O241" s="302" t="s">
        <v>581</v>
      </c>
      <c r="P241" s="140" t="s">
        <v>166</v>
      </c>
      <c r="Q241" s="140" t="s">
        <v>166</v>
      </c>
      <c r="R241" s="140" t="s">
        <v>166</v>
      </c>
      <c r="S241" s="140" t="b">
        <v>1</v>
      </c>
      <c r="T241" s="140" t="b">
        <v>0</v>
      </c>
      <c r="U241" s="140" t="s">
        <v>166</v>
      </c>
      <c r="V241" s="140" t="b">
        <v>0</v>
      </c>
      <c r="W241" s="140" t="b">
        <v>0</v>
      </c>
      <c r="X241" s="140" t="s">
        <v>580</v>
      </c>
      <c r="Y241" s="202" t="s">
        <v>186</v>
      </c>
      <c r="Z241" s="140" t="s">
        <v>184</v>
      </c>
      <c r="AA241" s="274">
        <v>1209</v>
      </c>
      <c r="AB241" s="275" t="s">
        <v>233</v>
      </c>
      <c r="AC241" s="275">
        <v>22</v>
      </c>
      <c r="AD241" s="275">
        <v>1</v>
      </c>
      <c r="AE241" s="275">
        <v>123</v>
      </c>
      <c r="AF241" s="275">
        <v>123</v>
      </c>
      <c r="AG241" s="140">
        <v>196.33</v>
      </c>
      <c r="AH241" s="140">
        <v>217.904</v>
      </c>
      <c r="AI241" s="140" t="s">
        <v>531</v>
      </c>
      <c r="AJ241" s="140" t="s">
        <v>509</v>
      </c>
      <c r="AK241" s="210">
        <v>32.651833000000003</v>
      </c>
      <c r="AL241" s="210">
        <v>158.506</v>
      </c>
      <c r="AM241" s="140">
        <v>28</v>
      </c>
      <c r="AN241" s="140" t="s">
        <v>166</v>
      </c>
      <c r="AO241" s="140">
        <v>-2387</v>
      </c>
      <c r="AP241" s="140">
        <v>-1900</v>
      </c>
      <c r="AQ241" s="140" t="s">
        <v>510</v>
      </c>
      <c r="AR241" s="140" t="s">
        <v>511</v>
      </c>
      <c r="AS241" s="240">
        <v>55.83645833333334</v>
      </c>
      <c r="AT241" s="140" t="s">
        <v>166</v>
      </c>
      <c r="AU241" s="140" t="s">
        <v>166</v>
      </c>
      <c r="AV241" s="140" t="s">
        <v>166</v>
      </c>
      <c r="AW241" s="140" t="s">
        <v>255</v>
      </c>
      <c r="AX241" s="140" t="s">
        <v>501</v>
      </c>
      <c r="AY241" s="140" t="s">
        <v>532</v>
      </c>
      <c r="AZ241" s="140" t="s">
        <v>166</v>
      </c>
      <c r="BA241" s="140" t="s">
        <v>166</v>
      </c>
      <c r="BB241" s="140" t="s">
        <v>166</v>
      </c>
      <c r="BC241" s="140" t="s">
        <v>166</v>
      </c>
      <c r="BD241" s="140" t="s">
        <v>166</v>
      </c>
      <c r="BE241" s="140" t="s">
        <v>166</v>
      </c>
      <c r="BF241" s="140" t="s">
        <v>166</v>
      </c>
      <c r="BG241" s="269" t="s">
        <v>513</v>
      </c>
      <c r="BH241" s="207" t="s">
        <v>236</v>
      </c>
      <c r="BI241" s="140" t="s">
        <v>514</v>
      </c>
      <c r="BJ241" s="140">
        <v>1.7339999999999236</v>
      </c>
      <c r="BK241" s="140" t="s">
        <v>515</v>
      </c>
      <c r="BL241" s="140" t="s">
        <v>516</v>
      </c>
      <c r="BM241" s="140" t="s">
        <v>517</v>
      </c>
      <c r="BN241" s="140" t="s">
        <v>466</v>
      </c>
      <c r="BO241" s="207">
        <v>4</v>
      </c>
      <c r="BP241" s="140">
        <v>0.25</v>
      </c>
      <c r="BQ241" s="207">
        <v>13.94</v>
      </c>
      <c r="BR241" s="140" t="s">
        <v>518</v>
      </c>
      <c r="BS241" s="207">
        <v>0.28999999999999998</v>
      </c>
      <c r="BT241" s="140">
        <v>1</v>
      </c>
      <c r="BU241" s="140" t="s">
        <v>197</v>
      </c>
      <c r="BV241" s="140" t="s">
        <v>166</v>
      </c>
      <c r="BW241" s="140">
        <v>0</v>
      </c>
      <c r="BX241" s="140" t="s">
        <v>197</v>
      </c>
      <c r="BY241" s="140" t="s">
        <v>166</v>
      </c>
      <c r="BZ241" s="140" t="s">
        <v>197</v>
      </c>
      <c r="CA241" s="140" t="s">
        <v>166</v>
      </c>
      <c r="CB241" s="210">
        <f t="shared" si="232"/>
        <v>13.94</v>
      </c>
      <c r="CC241" s="140" t="s">
        <v>196</v>
      </c>
      <c r="CD241" s="140">
        <f t="shared" si="233"/>
        <v>0.28999999999999998</v>
      </c>
      <c r="CE241" s="140" t="s">
        <v>199</v>
      </c>
      <c r="CF241" s="140" t="s">
        <v>166</v>
      </c>
      <c r="CG241" s="140" t="s">
        <v>474</v>
      </c>
      <c r="CH241" s="140" t="s">
        <v>166</v>
      </c>
      <c r="CI241" s="140" t="s">
        <v>166</v>
      </c>
      <c r="CJ241" s="247">
        <v>39.445479706665928</v>
      </c>
      <c r="CK241" s="140" t="s">
        <v>201</v>
      </c>
      <c r="CL241" s="140">
        <v>2</v>
      </c>
      <c r="CM241" s="140">
        <v>2</v>
      </c>
      <c r="CN241" s="140" t="s">
        <v>166</v>
      </c>
      <c r="CO241" s="140">
        <v>5.0250000000000004</v>
      </c>
      <c r="CP241" s="140" t="s">
        <v>519</v>
      </c>
      <c r="CQ241" s="270">
        <v>0.15075</v>
      </c>
      <c r="CR241" s="270">
        <v>0.15075</v>
      </c>
      <c r="CS241" s="249" t="s">
        <v>202</v>
      </c>
      <c r="CT241" s="140" t="s">
        <v>203</v>
      </c>
      <c r="CU241" s="140">
        <v>2.2000000000000002</v>
      </c>
      <c r="CV241" s="140" t="s">
        <v>204</v>
      </c>
      <c r="CW241" s="140" t="s">
        <v>166</v>
      </c>
      <c r="CX241" s="140" t="s">
        <v>166</v>
      </c>
      <c r="CY241" s="140" t="s">
        <v>166</v>
      </c>
      <c r="CZ241" s="140" t="s">
        <v>166</v>
      </c>
      <c r="DA241" s="209" t="s">
        <v>166</v>
      </c>
      <c r="DB241" s="140" t="s">
        <v>166</v>
      </c>
      <c r="DC241" s="140" t="s">
        <v>166</v>
      </c>
      <c r="DD241" s="140" t="s">
        <v>166</v>
      </c>
      <c r="DE241" s="140" t="s">
        <v>166</v>
      </c>
      <c r="DF241" s="140" t="s">
        <v>520</v>
      </c>
      <c r="DG241" s="250">
        <v>35</v>
      </c>
      <c r="DH241" s="250" t="s">
        <v>201</v>
      </c>
      <c r="DI241" s="140">
        <v>1</v>
      </c>
      <c r="DJ241" s="250" t="s">
        <v>206</v>
      </c>
      <c r="DK241" s="250">
        <v>17</v>
      </c>
      <c r="DL241" s="140" t="s">
        <v>166</v>
      </c>
      <c r="DM241" s="140" t="s">
        <v>166</v>
      </c>
      <c r="DN241" s="250" t="s">
        <v>207</v>
      </c>
      <c r="DO241" s="250">
        <v>38</v>
      </c>
      <c r="DP241" s="250" t="s">
        <v>208</v>
      </c>
      <c r="DQ241" s="250">
        <v>3</v>
      </c>
      <c r="DR241" s="250" t="s">
        <v>209</v>
      </c>
      <c r="DS241" s="140" t="s">
        <v>166</v>
      </c>
      <c r="DT241" s="140" t="s">
        <v>166</v>
      </c>
      <c r="DU241" s="140" t="s">
        <v>166</v>
      </c>
      <c r="DV241" s="140" t="s">
        <v>166</v>
      </c>
      <c r="DW241" s="250">
        <v>432.6</v>
      </c>
      <c r="DX241" s="140" t="s">
        <v>166</v>
      </c>
      <c r="DY241" s="140" t="s">
        <v>166</v>
      </c>
      <c r="DZ241" s="140" t="s">
        <v>210</v>
      </c>
      <c r="EA241" s="140" t="s">
        <v>211</v>
      </c>
      <c r="EB241" s="140" t="s">
        <v>212</v>
      </c>
      <c r="EC241" s="140" t="s">
        <v>166</v>
      </c>
      <c r="ED241" s="140" t="s">
        <v>213</v>
      </c>
      <c r="EE241" s="213" t="s">
        <v>214</v>
      </c>
      <c r="EF241" s="213" t="s">
        <v>214</v>
      </c>
      <c r="EG241" s="250">
        <v>1.0271999999999999</v>
      </c>
      <c r="EH241" s="250" t="s">
        <v>215</v>
      </c>
      <c r="EI241" s="250" t="s">
        <v>215</v>
      </c>
      <c r="EJ241" s="250" t="s">
        <v>216</v>
      </c>
      <c r="EK241" s="250" t="s">
        <v>215</v>
      </c>
      <c r="EL241" s="250" t="s">
        <v>215</v>
      </c>
      <c r="EM241" s="250" t="s">
        <v>217</v>
      </c>
      <c r="EN241" s="251" t="s">
        <v>214</v>
      </c>
      <c r="EO241" s="251" t="s">
        <v>214</v>
      </c>
      <c r="EP241" s="251" t="s">
        <v>214</v>
      </c>
      <c r="EQ241" s="251" t="s">
        <v>214</v>
      </c>
      <c r="ER241" s="250"/>
      <c r="ES241" s="250"/>
      <c r="ET241" s="140" t="s">
        <v>218</v>
      </c>
      <c r="EU241" s="250" t="s">
        <v>219</v>
      </c>
      <c r="EV241" s="250" t="s">
        <v>213</v>
      </c>
      <c r="EW241" s="140" t="s">
        <v>166</v>
      </c>
      <c r="EX241" s="140" t="s">
        <v>166</v>
      </c>
      <c r="EY241" s="140" t="s">
        <v>166</v>
      </c>
      <c r="EZ241" s="140" t="s">
        <v>166</v>
      </c>
      <c r="FA241" s="205">
        <v>6</v>
      </c>
      <c r="FB241" s="140" t="s">
        <v>220</v>
      </c>
      <c r="FC241" s="205">
        <v>1</v>
      </c>
      <c r="FD241" s="205">
        <v>1</v>
      </c>
      <c r="FE241" s="215">
        <v>7.52079964647392</v>
      </c>
      <c r="FF241" s="140" t="s">
        <v>221</v>
      </c>
      <c r="FG241" s="215">
        <v>4.7266281753779893E-2</v>
      </c>
      <c r="FH241" s="215">
        <v>5.0417360588119742E-2</v>
      </c>
      <c r="FI241" s="266">
        <v>1932.70403330318</v>
      </c>
      <c r="FK241" s="140" t="s">
        <v>166</v>
      </c>
      <c r="FL241" s="217">
        <f t="shared" si="222"/>
        <v>1932.70403330318</v>
      </c>
      <c r="FM241" s="266">
        <v>540.28386496844996</v>
      </c>
      <c r="FN241" s="266">
        <v>395.26018828891006</v>
      </c>
      <c r="FO241" s="140" t="s">
        <v>222</v>
      </c>
      <c r="FP241" s="140" t="s">
        <v>223</v>
      </c>
      <c r="FQ241" s="217" t="s">
        <v>166</v>
      </c>
      <c r="FR241" s="217" t="s">
        <v>166</v>
      </c>
      <c r="FS241" s="217" t="s">
        <v>166</v>
      </c>
      <c r="FT241" s="217" t="s">
        <v>166</v>
      </c>
      <c r="FU241" s="217" t="s">
        <v>166</v>
      </c>
      <c r="FV241" s="217" t="s">
        <v>166</v>
      </c>
      <c r="FW241" s="217" t="s">
        <v>166</v>
      </c>
      <c r="FX241" s="217" t="s">
        <v>166</v>
      </c>
      <c r="FY241" s="217" t="s">
        <v>166</v>
      </c>
      <c r="FZ241" s="217" t="s">
        <v>166</v>
      </c>
      <c r="GA241" s="217" t="s">
        <v>166</v>
      </c>
      <c r="GB241" s="217" t="s">
        <v>166</v>
      </c>
      <c r="GC241" s="202" t="s">
        <v>521</v>
      </c>
    </row>
    <row r="242" spans="1:190" s="140" customFormat="1" ht="17">
      <c r="A242" s="140" t="s">
        <v>162</v>
      </c>
      <c r="B242" s="143" t="s">
        <v>163</v>
      </c>
      <c r="C242" s="140" t="s">
        <v>164</v>
      </c>
      <c r="D242" s="140" t="s">
        <v>165</v>
      </c>
      <c r="E242" s="140">
        <v>2020</v>
      </c>
      <c r="F242" s="140" t="s">
        <v>184</v>
      </c>
      <c r="G242" s="240">
        <v>55797.5</v>
      </c>
      <c r="H242" s="241">
        <f t="shared" ref="H242" si="252">0.0083*G242^(0.9482)</f>
        <v>262.91671033356056</v>
      </c>
      <c r="I242" s="241">
        <f t="shared" si="240"/>
        <v>262.91671033356056</v>
      </c>
      <c r="J242" s="266">
        <v>2037.3836024364798</v>
      </c>
      <c r="K242" s="266">
        <v>597.96441780671034</v>
      </c>
      <c r="L242" s="266">
        <v>437.02842816203975</v>
      </c>
      <c r="M242" s="140" t="b">
        <v>1</v>
      </c>
      <c r="N242" s="140">
        <v>1</v>
      </c>
      <c r="O242" s="302" t="s">
        <v>581</v>
      </c>
      <c r="P242" s="140" t="s">
        <v>166</v>
      </c>
      <c r="Q242" s="140" t="s">
        <v>166</v>
      </c>
      <c r="R242" s="140" t="s">
        <v>166</v>
      </c>
      <c r="S242" s="140" t="b">
        <v>1</v>
      </c>
      <c r="T242" s="140" t="b">
        <v>0</v>
      </c>
      <c r="U242" s="140" t="s">
        <v>166</v>
      </c>
      <c r="V242" s="140" t="b">
        <v>0</v>
      </c>
      <c r="W242" s="140" t="b">
        <v>0</v>
      </c>
      <c r="X242" s="140" t="s">
        <v>580</v>
      </c>
      <c r="Y242" s="202" t="s">
        <v>186</v>
      </c>
      <c r="Z242" s="140" t="s">
        <v>184</v>
      </c>
      <c r="AA242" s="274">
        <v>1209</v>
      </c>
      <c r="AB242" s="275" t="s">
        <v>233</v>
      </c>
      <c r="AC242" s="275">
        <v>22</v>
      </c>
      <c r="AD242" s="275">
        <v>1</v>
      </c>
      <c r="AE242" s="275">
        <v>108</v>
      </c>
      <c r="AF242" s="275">
        <v>108</v>
      </c>
      <c r="AG242" s="268">
        <v>196.18</v>
      </c>
      <c r="AH242" s="140">
        <v>217.744</v>
      </c>
      <c r="AI242" s="140" t="s">
        <v>531</v>
      </c>
      <c r="AJ242" s="140" t="s">
        <v>509</v>
      </c>
      <c r="AK242" s="210">
        <v>32.651833000000003</v>
      </c>
      <c r="AL242" s="210">
        <v>158.506</v>
      </c>
      <c r="AM242" s="140">
        <v>28</v>
      </c>
      <c r="AN242" s="140" t="s">
        <v>166</v>
      </c>
      <c r="AO242" s="140">
        <v>-2387</v>
      </c>
      <c r="AP242" s="140">
        <v>-1900</v>
      </c>
      <c r="AQ242" s="140" t="s">
        <v>510</v>
      </c>
      <c r="AR242" s="140" t="s">
        <v>511</v>
      </c>
      <c r="AS242" s="240">
        <v>55.797499999999999</v>
      </c>
      <c r="AT242" s="140" t="s">
        <v>166</v>
      </c>
      <c r="AU242" s="140" t="s">
        <v>166</v>
      </c>
      <c r="AV242" s="140" t="s">
        <v>166</v>
      </c>
      <c r="AW242" s="140" t="s">
        <v>255</v>
      </c>
      <c r="AX242" s="140" t="s">
        <v>501</v>
      </c>
      <c r="AY242" s="140" t="s">
        <v>532</v>
      </c>
      <c r="AZ242" s="140" t="s">
        <v>166</v>
      </c>
      <c r="BA242" s="140" t="s">
        <v>166</v>
      </c>
      <c r="BB242" s="140" t="s">
        <v>166</v>
      </c>
      <c r="BC242" s="140" t="s">
        <v>166</v>
      </c>
      <c r="BD242" s="140" t="s">
        <v>166</v>
      </c>
      <c r="BE242" s="140" t="s">
        <v>166</v>
      </c>
      <c r="BF242" s="140" t="s">
        <v>166</v>
      </c>
      <c r="BG242" s="269" t="s">
        <v>513</v>
      </c>
      <c r="BH242" s="207" t="s">
        <v>236</v>
      </c>
      <c r="BI242" s="140" t="s">
        <v>514</v>
      </c>
      <c r="BJ242" s="140">
        <v>1.7189999999999941</v>
      </c>
      <c r="BK242" s="140" t="s">
        <v>515</v>
      </c>
      <c r="BL242" s="140" t="s">
        <v>516</v>
      </c>
      <c r="BM242" s="140" t="s">
        <v>517</v>
      </c>
      <c r="BN242" s="140" t="s">
        <v>466</v>
      </c>
      <c r="BO242" s="207">
        <v>9</v>
      </c>
      <c r="BP242" s="277">
        <v>0.3</v>
      </c>
      <c r="BQ242" s="207">
        <v>13.85</v>
      </c>
      <c r="BR242" s="140" t="s">
        <v>518</v>
      </c>
      <c r="BS242" s="209">
        <v>0.3</v>
      </c>
      <c r="BT242" s="140">
        <v>1</v>
      </c>
      <c r="BU242" s="140" t="s">
        <v>197</v>
      </c>
      <c r="BV242" s="140" t="s">
        <v>166</v>
      </c>
      <c r="BW242" s="140">
        <v>0</v>
      </c>
      <c r="BX242" s="140" t="s">
        <v>197</v>
      </c>
      <c r="BY242" s="140" t="s">
        <v>166</v>
      </c>
      <c r="BZ242" s="140" t="s">
        <v>197</v>
      </c>
      <c r="CA242" s="140" t="s">
        <v>166</v>
      </c>
      <c r="CB242" s="210">
        <f t="shared" si="232"/>
        <v>13.85</v>
      </c>
      <c r="CC242" s="140" t="s">
        <v>196</v>
      </c>
      <c r="CD242" s="140">
        <f t="shared" si="233"/>
        <v>0.3</v>
      </c>
      <c r="CE242" s="140" t="s">
        <v>199</v>
      </c>
      <c r="CF242" s="140" t="s">
        <v>166</v>
      </c>
      <c r="CG242" s="140" t="s">
        <v>474</v>
      </c>
      <c r="CH242" s="140" t="s">
        <v>166</v>
      </c>
      <c r="CI242" s="140" t="s">
        <v>166</v>
      </c>
      <c r="CJ242" s="247">
        <v>38.558656425107223</v>
      </c>
      <c r="CK242" s="140" t="s">
        <v>201</v>
      </c>
      <c r="CL242" s="140">
        <v>2</v>
      </c>
      <c r="CM242" s="140">
        <v>2</v>
      </c>
      <c r="CN242" s="140" t="s">
        <v>166</v>
      </c>
      <c r="CO242" s="140">
        <v>4.78</v>
      </c>
      <c r="CP242" s="140" t="s">
        <v>519</v>
      </c>
      <c r="CQ242" s="270">
        <v>0.1434</v>
      </c>
      <c r="CR242" s="270">
        <v>0.1434</v>
      </c>
      <c r="CS242" s="249" t="s">
        <v>202</v>
      </c>
      <c r="CT242" s="140" t="s">
        <v>203</v>
      </c>
      <c r="CU242" s="140">
        <v>2.2000000000000002</v>
      </c>
      <c r="CV242" s="140" t="s">
        <v>204</v>
      </c>
      <c r="CW242" s="140" t="s">
        <v>166</v>
      </c>
      <c r="CX242" s="140" t="s">
        <v>166</v>
      </c>
      <c r="CY242" s="140" t="s">
        <v>166</v>
      </c>
      <c r="CZ242" s="140" t="s">
        <v>166</v>
      </c>
      <c r="DA242" s="209" t="s">
        <v>166</v>
      </c>
      <c r="DB242" s="140" t="s">
        <v>166</v>
      </c>
      <c r="DC242" s="140" t="s">
        <v>166</v>
      </c>
      <c r="DD242" s="140" t="s">
        <v>166</v>
      </c>
      <c r="DE242" s="140" t="s">
        <v>166</v>
      </c>
      <c r="DF242" s="140" t="s">
        <v>520</v>
      </c>
      <c r="DG242" s="250">
        <v>35</v>
      </c>
      <c r="DH242" s="250" t="s">
        <v>201</v>
      </c>
      <c r="DI242" s="140">
        <v>1</v>
      </c>
      <c r="DJ242" s="250" t="s">
        <v>206</v>
      </c>
      <c r="DK242" s="250">
        <v>17</v>
      </c>
      <c r="DL242" s="140" t="s">
        <v>166</v>
      </c>
      <c r="DM242" s="140" t="s">
        <v>166</v>
      </c>
      <c r="DN242" s="250" t="s">
        <v>207</v>
      </c>
      <c r="DO242" s="250">
        <v>38</v>
      </c>
      <c r="DP242" s="250" t="s">
        <v>208</v>
      </c>
      <c r="DQ242" s="250">
        <v>3</v>
      </c>
      <c r="DR242" s="250" t="s">
        <v>209</v>
      </c>
      <c r="DS242" s="140" t="s">
        <v>166</v>
      </c>
      <c r="DT242" s="140" t="s">
        <v>166</v>
      </c>
      <c r="DU242" s="140" t="s">
        <v>166</v>
      </c>
      <c r="DV242" s="140" t="s">
        <v>166</v>
      </c>
      <c r="DW242" s="250">
        <v>432.6</v>
      </c>
      <c r="DX242" s="140" t="s">
        <v>166</v>
      </c>
      <c r="DY242" s="140" t="s">
        <v>166</v>
      </c>
      <c r="DZ242" s="140" t="s">
        <v>210</v>
      </c>
      <c r="EA242" s="140" t="s">
        <v>211</v>
      </c>
      <c r="EB242" s="140" t="s">
        <v>212</v>
      </c>
      <c r="EC242" s="140" t="s">
        <v>166</v>
      </c>
      <c r="ED242" s="140" t="s">
        <v>213</v>
      </c>
      <c r="EE242" s="213" t="s">
        <v>214</v>
      </c>
      <c r="EF242" s="213" t="s">
        <v>214</v>
      </c>
      <c r="EG242" s="250">
        <v>1.0271999999999999</v>
      </c>
      <c r="EH242" s="250" t="s">
        <v>215</v>
      </c>
      <c r="EI242" s="250" t="s">
        <v>215</v>
      </c>
      <c r="EJ242" s="250" t="s">
        <v>216</v>
      </c>
      <c r="EK242" s="250" t="s">
        <v>215</v>
      </c>
      <c r="EL242" s="250" t="s">
        <v>215</v>
      </c>
      <c r="EM242" s="250" t="s">
        <v>217</v>
      </c>
      <c r="EN242" s="251" t="s">
        <v>214</v>
      </c>
      <c r="EO242" s="251" t="s">
        <v>214</v>
      </c>
      <c r="EP242" s="251" t="s">
        <v>214</v>
      </c>
      <c r="EQ242" s="251" t="s">
        <v>214</v>
      </c>
      <c r="ER242" s="250"/>
      <c r="ES242" s="250"/>
      <c r="ET242" s="140" t="s">
        <v>218</v>
      </c>
      <c r="EU242" s="250" t="s">
        <v>219</v>
      </c>
      <c r="EV242" s="250" t="s">
        <v>213</v>
      </c>
      <c r="EW242" s="140" t="s">
        <v>166</v>
      </c>
      <c r="EX242" s="140" t="s">
        <v>166</v>
      </c>
      <c r="EY242" s="140" t="s">
        <v>166</v>
      </c>
      <c r="EZ242" s="140" t="s">
        <v>166</v>
      </c>
      <c r="FA242" s="205">
        <v>6</v>
      </c>
      <c r="FB242" s="140" t="s">
        <v>220</v>
      </c>
      <c r="FC242" s="205">
        <v>1</v>
      </c>
      <c r="FD242" s="205">
        <v>1</v>
      </c>
      <c r="FE242" s="215">
        <v>7.5160017196435103</v>
      </c>
      <c r="FF242" s="140" t="s">
        <v>221</v>
      </c>
      <c r="FG242" s="215">
        <v>4.6287763162669471E-2</v>
      </c>
      <c r="FH242" s="215">
        <v>5.341798224158012E-2</v>
      </c>
      <c r="FI242" s="266">
        <v>2037.3836024364798</v>
      </c>
      <c r="FK242" s="140" t="s">
        <v>166</v>
      </c>
      <c r="FL242" s="217">
        <f t="shared" si="222"/>
        <v>2037.3836024364798</v>
      </c>
      <c r="FM242" s="266">
        <v>597.96441780671034</v>
      </c>
      <c r="FN242" s="266">
        <v>437.02842816203975</v>
      </c>
      <c r="FO242" s="140" t="s">
        <v>222</v>
      </c>
      <c r="FP242" s="140" t="s">
        <v>223</v>
      </c>
      <c r="FQ242" s="217" t="s">
        <v>166</v>
      </c>
      <c r="FR242" s="217" t="s">
        <v>166</v>
      </c>
      <c r="FS242" s="217" t="s">
        <v>166</v>
      </c>
      <c r="FT242" s="217" t="s">
        <v>166</v>
      </c>
      <c r="FU242" s="217" t="s">
        <v>166</v>
      </c>
      <c r="FV242" s="217" t="s">
        <v>166</v>
      </c>
      <c r="FW242" s="217" t="s">
        <v>166</v>
      </c>
      <c r="FX242" s="217" t="s">
        <v>166</v>
      </c>
      <c r="FY242" s="217" t="s">
        <v>166</v>
      </c>
      <c r="FZ242" s="217" t="s">
        <v>166</v>
      </c>
      <c r="GA242" s="217" t="s">
        <v>166</v>
      </c>
      <c r="GB242" s="217" t="s">
        <v>166</v>
      </c>
      <c r="GC242" s="202" t="s">
        <v>521</v>
      </c>
    </row>
    <row r="243" spans="1:190" s="140" customFormat="1" ht="18" thickBot="1">
      <c r="A243" s="140" t="s">
        <v>162</v>
      </c>
      <c r="B243" s="143" t="s">
        <v>163</v>
      </c>
      <c r="C243" s="140" t="s">
        <v>164</v>
      </c>
      <c r="D243" s="140" t="s">
        <v>165</v>
      </c>
      <c r="E243" s="140">
        <v>2020</v>
      </c>
      <c r="F243" s="140" t="s">
        <v>184</v>
      </c>
      <c r="G243" s="240">
        <v>55683.837209302328</v>
      </c>
      <c r="H243" s="241">
        <f t="shared" ref="H243" si="253">0.0083*G243^(0.9482)</f>
        <v>262.40884959058712</v>
      </c>
      <c r="I243" s="241">
        <f t="shared" si="240"/>
        <v>262.40884959058712</v>
      </c>
      <c r="J243" s="266">
        <v>1068.5009432220002</v>
      </c>
      <c r="K243" s="266">
        <v>213.5972381613899</v>
      </c>
      <c r="L243" s="266">
        <v>178.59718773675115</v>
      </c>
      <c r="M243" s="140" t="b">
        <v>1</v>
      </c>
      <c r="N243" s="140">
        <v>1</v>
      </c>
      <c r="O243" s="302" t="s">
        <v>581</v>
      </c>
      <c r="P243" s="140" t="s">
        <v>166</v>
      </c>
      <c r="Q243" s="140" t="s">
        <v>166</v>
      </c>
      <c r="R243" s="140" t="s">
        <v>166</v>
      </c>
      <c r="S243" s="140" t="b">
        <v>1</v>
      </c>
      <c r="T243" s="140" t="b">
        <v>0</v>
      </c>
      <c r="U243" s="140" t="s">
        <v>166</v>
      </c>
      <c r="V243" s="140" t="b">
        <v>0</v>
      </c>
      <c r="W243" s="140" t="b">
        <v>0</v>
      </c>
      <c r="X243" s="140" t="s">
        <v>580</v>
      </c>
      <c r="Y243" s="220" t="s">
        <v>186</v>
      </c>
      <c r="Z243" s="221" t="s">
        <v>184</v>
      </c>
      <c r="AA243" s="278">
        <v>1209</v>
      </c>
      <c r="AB243" s="279" t="s">
        <v>233</v>
      </c>
      <c r="AC243" s="279">
        <v>22</v>
      </c>
      <c r="AD243" s="279">
        <v>1</v>
      </c>
      <c r="AE243" s="279">
        <v>52</v>
      </c>
      <c r="AF243" s="279">
        <v>52</v>
      </c>
      <c r="AG243" s="221">
        <v>195.62</v>
      </c>
      <c r="AH243" s="221">
        <v>217.13399999999999</v>
      </c>
      <c r="AI243" s="221" t="s">
        <v>531</v>
      </c>
      <c r="AJ243" s="221" t="s">
        <v>509</v>
      </c>
      <c r="AK243" s="230">
        <v>32.651833000000003</v>
      </c>
      <c r="AL243" s="230">
        <v>158.506</v>
      </c>
      <c r="AM243" s="221">
        <v>28</v>
      </c>
      <c r="AN243" s="221" t="s">
        <v>166</v>
      </c>
      <c r="AO243" s="221">
        <v>-2387</v>
      </c>
      <c r="AP243" s="221">
        <v>-1900</v>
      </c>
      <c r="AQ243" s="221" t="s">
        <v>510</v>
      </c>
      <c r="AR243" s="221" t="s">
        <v>511</v>
      </c>
      <c r="AS243" s="257">
        <v>55.683837209302325</v>
      </c>
      <c r="AT243" s="221" t="s">
        <v>166</v>
      </c>
      <c r="AU243" s="221" t="s">
        <v>166</v>
      </c>
      <c r="AV243" s="221" t="s">
        <v>166</v>
      </c>
      <c r="AW243" s="221" t="s">
        <v>255</v>
      </c>
      <c r="AX243" s="221" t="s">
        <v>501</v>
      </c>
      <c r="AY243" s="221" t="s">
        <v>532</v>
      </c>
      <c r="AZ243" s="221" t="s">
        <v>166</v>
      </c>
      <c r="BA243" s="221" t="s">
        <v>166</v>
      </c>
      <c r="BB243" s="221" t="s">
        <v>166</v>
      </c>
      <c r="BC243" s="221" t="s">
        <v>166</v>
      </c>
      <c r="BD243" s="221" t="s">
        <v>166</v>
      </c>
      <c r="BE243" s="221" t="s">
        <v>166</v>
      </c>
      <c r="BF243" s="221" t="s">
        <v>166</v>
      </c>
      <c r="BG243" s="280" t="s">
        <v>513</v>
      </c>
      <c r="BH243" s="227" t="s">
        <v>236</v>
      </c>
      <c r="BI243" s="221" t="s">
        <v>514</v>
      </c>
      <c r="BJ243" s="221">
        <v>2.3379999999999654</v>
      </c>
      <c r="BK243" s="221" t="s">
        <v>515</v>
      </c>
      <c r="BL243" s="221" t="s">
        <v>516</v>
      </c>
      <c r="BM243" s="221" t="s">
        <v>517</v>
      </c>
      <c r="BN243" s="221" t="s">
        <v>466</v>
      </c>
      <c r="BO243" s="227">
        <v>7</v>
      </c>
      <c r="BP243" s="281">
        <v>0.15</v>
      </c>
      <c r="BQ243" s="227">
        <v>14.61</v>
      </c>
      <c r="BR243" s="221" t="s">
        <v>518</v>
      </c>
      <c r="BS243" s="227">
        <v>0.15</v>
      </c>
      <c r="BT243" s="221">
        <v>1</v>
      </c>
      <c r="BU243" s="221" t="s">
        <v>197</v>
      </c>
      <c r="BV243" s="221" t="s">
        <v>166</v>
      </c>
      <c r="BW243" s="221">
        <v>0</v>
      </c>
      <c r="BX243" s="221" t="s">
        <v>197</v>
      </c>
      <c r="BY243" s="221" t="s">
        <v>166</v>
      </c>
      <c r="BZ243" s="221" t="s">
        <v>197</v>
      </c>
      <c r="CA243" s="221" t="s">
        <v>166</v>
      </c>
      <c r="CB243" s="230">
        <f t="shared" si="232"/>
        <v>14.61</v>
      </c>
      <c r="CC243" s="221" t="s">
        <v>196</v>
      </c>
      <c r="CD243" s="221">
        <f t="shared" si="233"/>
        <v>0.15</v>
      </c>
      <c r="CE243" s="221" t="s">
        <v>199</v>
      </c>
      <c r="CF243" s="221" t="s">
        <v>166</v>
      </c>
      <c r="CG243" s="221" t="s">
        <v>474</v>
      </c>
      <c r="CH243" s="221" t="s">
        <v>166</v>
      </c>
      <c r="CI243" s="221" t="s">
        <v>166</v>
      </c>
      <c r="CJ243" s="260">
        <v>32.82499739747022</v>
      </c>
      <c r="CK243" s="221" t="s">
        <v>201</v>
      </c>
      <c r="CL243" s="221">
        <v>2</v>
      </c>
      <c r="CM243" s="221">
        <v>2</v>
      </c>
      <c r="CN243" s="221" t="s">
        <v>166</v>
      </c>
      <c r="CO243" s="221">
        <v>3.46</v>
      </c>
      <c r="CP243" s="221" t="s">
        <v>519</v>
      </c>
      <c r="CQ243" s="282">
        <v>0.10379999999999999</v>
      </c>
      <c r="CR243" s="282">
        <v>0.10379999999999999</v>
      </c>
      <c r="CS243" s="262" t="s">
        <v>202</v>
      </c>
      <c r="CT243" s="221" t="s">
        <v>203</v>
      </c>
      <c r="CU243" s="221">
        <v>2.2000000000000002</v>
      </c>
      <c r="CV243" s="221" t="s">
        <v>204</v>
      </c>
      <c r="CW243" s="221" t="s">
        <v>166</v>
      </c>
      <c r="CX243" s="221" t="s">
        <v>166</v>
      </c>
      <c r="CY243" s="221" t="s">
        <v>166</v>
      </c>
      <c r="CZ243" s="221" t="s">
        <v>166</v>
      </c>
      <c r="DA243" s="229" t="s">
        <v>166</v>
      </c>
      <c r="DB243" s="221" t="s">
        <v>166</v>
      </c>
      <c r="DC243" s="221" t="s">
        <v>166</v>
      </c>
      <c r="DD243" s="221" t="s">
        <v>166</v>
      </c>
      <c r="DE243" s="221" t="s">
        <v>166</v>
      </c>
      <c r="DF243" s="221" t="s">
        <v>520</v>
      </c>
      <c r="DG243" s="263">
        <v>35</v>
      </c>
      <c r="DH243" s="263" t="s">
        <v>201</v>
      </c>
      <c r="DI243" s="221">
        <v>1</v>
      </c>
      <c r="DJ243" s="263" t="s">
        <v>206</v>
      </c>
      <c r="DK243" s="263">
        <v>17</v>
      </c>
      <c r="DL243" s="221" t="s">
        <v>166</v>
      </c>
      <c r="DM243" s="221" t="s">
        <v>166</v>
      </c>
      <c r="DN243" s="263" t="s">
        <v>207</v>
      </c>
      <c r="DO243" s="263">
        <v>38</v>
      </c>
      <c r="DP243" s="263" t="s">
        <v>208</v>
      </c>
      <c r="DQ243" s="263">
        <v>3</v>
      </c>
      <c r="DR243" s="263" t="s">
        <v>209</v>
      </c>
      <c r="DS243" s="221" t="s">
        <v>166</v>
      </c>
      <c r="DT243" s="221" t="s">
        <v>166</v>
      </c>
      <c r="DU243" s="221" t="s">
        <v>166</v>
      </c>
      <c r="DV243" s="221" t="s">
        <v>166</v>
      </c>
      <c r="DW243" s="263">
        <v>432.6</v>
      </c>
      <c r="DX243" s="221" t="s">
        <v>166</v>
      </c>
      <c r="DY243" s="221" t="s">
        <v>166</v>
      </c>
      <c r="DZ243" s="221" t="s">
        <v>210</v>
      </c>
      <c r="EA243" s="221" t="s">
        <v>211</v>
      </c>
      <c r="EB243" s="221" t="s">
        <v>212</v>
      </c>
      <c r="EC243" s="221" t="s">
        <v>166</v>
      </c>
      <c r="ED243" s="221" t="s">
        <v>213</v>
      </c>
      <c r="EE243" s="233" t="s">
        <v>214</v>
      </c>
      <c r="EF243" s="233" t="s">
        <v>214</v>
      </c>
      <c r="EG243" s="263">
        <v>1.0271999999999999</v>
      </c>
      <c r="EH243" s="263" t="s">
        <v>215</v>
      </c>
      <c r="EI243" s="263" t="s">
        <v>215</v>
      </c>
      <c r="EJ243" s="263" t="s">
        <v>216</v>
      </c>
      <c r="EK243" s="263" t="s">
        <v>215</v>
      </c>
      <c r="EL243" s="263" t="s">
        <v>215</v>
      </c>
      <c r="EM243" s="263" t="s">
        <v>217</v>
      </c>
      <c r="EN243" s="264" t="s">
        <v>214</v>
      </c>
      <c r="EO243" s="264" t="s">
        <v>214</v>
      </c>
      <c r="EP243" s="264" t="s">
        <v>214</v>
      </c>
      <c r="EQ243" s="264" t="s">
        <v>214</v>
      </c>
      <c r="ER243" s="263"/>
      <c r="ES243" s="263"/>
      <c r="ET243" s="221" t="s">
        <v>218</v>
      </c>
      <c r="EU243" s="263" t="s">
        <v>219</v>
      </c>
      <c r="EV243" s="263" t="s">
        <v>213</v>
      </c>
      <c r="EW243" s="221" t="s">
        <v>166</v>
      </c>
      <c r="EX243" s="221" t="s">
        <v>166</v>
      </c>
      <c r="EY243" s="221" t="s">
        <v>166</v>
      </c>
      <c r="EZ243" s="221" t="s">
        <v>166</v>
      </c>
      <c r="FA243" s="224">
        <v>6</v>
      </c>
      <c r="FB243" s="221" t="s">
        <v>220</v>
      </c>
      <c r="FC243" s="224">
        <v>1</v>
      </c>
      <c r="FD243" s="224">
        <v>1</v>
      </c>
      <c r="FE243" s="235">
        <v>7.6969984929348101</v>
      </c>
      <c r="FF243" s="221" t="s">
        <v>221</v>
      </c>
      <c r="FG243" s="235">
        <v>2.8997145772489574E-2</v>
      </c>
      <c r="FH243" s="235">
        <v>2.9885657397350052E-2</v>
      </c>
      <c r="FI243" s="283">
        <v>1068.5009432220002</v>
      </c>
      <c r="FJ243" s="221"/>
      <c r="FK243" s="221" t="s">
        <v>166</v>
      </c>
      <c r="FL243" s="238">
        <f t="shared" si="222"/>
        <v>1068.5009432220002</v>
      </c>
      <c r="FM243" s="283">
        <v>213.5972381613899</v>
      </c>
      <c r="FN243" s="283">
        <v>178.59718773675115</v>
      </c>
      <c r="FO243" s="221" t="s">
        <v>222</v>
      </c>
      <c r="FP243" s="221" t="s">
        <v>223</v>
      </c>
      <c r="FQ243" s="238" t="s">
        <v>166</v>
      </c>
      <c r="FR243" s="238" t="s">
        <v>166</v>
      </c>
      <c r="FS243" s="238" t="s">
        <v>166</v>
      </c>
      <c r="FT243" s="238" t="s">
        <v>166</v>
      </c>
      <c r="FU243" s="238" t="s">
        <v>166</v>
      </c>
      <c r="FV243" s="238" t="s">
        <v>166</v>
      </c>
      <c r="FW243" s="238" t="s">
        <v>166</v>
      </c>
      <c r="FX243" s="238" t="s">
        <v>166</v>
      </c>
      <c r="FY243" s="238" t="s">
        <v>166</v>
      </c>
      <c r="FZ243" s="238" t="s">
        <v>166</v>
      </c>
      <c r="GA243" s="238" t="s">
        <v>166</v>
      </c>
      <c r="GB243" s="238" t="s">
        <v>166</v>
      </c>
      <c r="GC243" s="220" t="s">
        <v>521</v>
      </c>
      <c r="GD243" s="221"/>
      <c r="GE243" s="221"/>
      <c r="GF243" s="221"/>
      <c r="GG243" s="221"/>
      <c r="GH243" s="221"/>
    </row>
    <row r="244" spans="1:190" s="140" customFormat="1" ht="17">
      <c r="A244" s="140" t="s">
        <v>162</v>
      </c>
      <c r="B244" s="143" t="s">
        <v>163</v>
      </c>
      <c r="C244" s="140" t="s">
        <v>164</v>
      </c>
      <c r="D244" s="140" t="s">
        <v>165</v>
      </c>
      <c r="E244" s="140">
        <v>2020</v>
      </c>
      <c r="F244" s="140" t="s">
        <v>184</v>
      </c>
      <c r="G244" s="240">
        <v>39807.929992675781</v>
      </c>
      <c r="H244" s="140">
        <v>1</v>
      </c>
      <c r="I244" s="140">
        <v>1</v>
      </c>
      <c r="J244" s="241">
        <v>1072.4612883721002</v>
      </c>
      <c r="K244" s="266">
        <v>233.06603687080974</v>
      </c>
      <c r="L244" s="266">
        <v>181.03818815669922</v>
      </c>
      <c r="M244" s="140" t="b">
        <v>1</v>
      </c>
      <c r="N244" s="140">
        <v>1</v>
      </c>
      <c r="O244" s="302" t="s">
        <v>581</v>
      </c>
      <c r="P244" s="140" t="s">
        <v>166</v>
      </c>
      <c r="Q244" s="140" t="s">
        <v>166</v>
      </c>
      <c r="R244" s="140" t="s">
        <v>166</v>
      </c>
      <c r="S244" s="140" t="b">
        <v>1</v>
      </c>
      <c r="T244" s="140" t="b">
        <v>0</v>
      </c>
      <c r="U244" s="140" t="s">
        <v>166</v>
      </c>
      <c r="V244" s="140" t="b">
        <v>0</v>
      </c>
      <c r="W244" s="140" t="b">
        <v>0</v>
      </c>
      <c r="X244" s="140" t="s">
        <v>166</v>
      </c>
      <c r="Y244" s="202" t="s">
        <v>186</v>
      </c>
      <c r="Z244" s="140" t="s">
        <v>184</v>
      </c>
      <c r="AA244" s="284">
        <v>1260</v>
      </c>
      <c r="AB244" s="140" t="s">
        <v>187</v>
      </c>
      <c r="AC244" s="140">
        <v>6</v>
      </c>
      <c r="AD244" s="140">
        <v>1</v>
      </c>
      <c r="AE244" s="140">
        <v>7</v>
      </c>
      <c r="AF244" s="140">
        <v>8.5</v>
      </c>
      <c r="AG244" s="285">
        <v>38.277500000000003</v>
      </c>
      <c r="AH244" s="140">
        <v>38.270000000000003</v>
      </c>
      <c r="AI244" s="140" t="s">
        <v>533</v>
      </c>
      <c r="AJ244" s="140" t="s">
        <v>534</v>
      </c>
      <c r="AK244" s="286">
        <v>9.2656670000000005</v>
      </c>
      <c r="AL244" s="286">
        <v>-54.544032999999999</v>
      </c>
      <c r="AM244" s="286">
        <v>0.8</v>
      </c>
      <c r="AN244" s="287" t="s">
        <v>166</v>
      </c>
      <c r="AO244" s="287">
        <v>-2549</v>
      </c>
      <c r="AP244" s="287">
        <v>-2850</v>
      </c>
      <c r="AQ244" s="140" t="s">
        <v>535</v>
      </c>
      <c r="AR244" s="140" t="s">
        <v>511</v>
      </c>
      <c r="AS244" s="240">
        <v>39.807929992675781</v>
      </c>
      <c r="AT244" s="140" t="s">
        <v>536</v>
      </c>
      <c r="AU244" s="140">
        <v>1</v>
      </c>
      <c r="AV244" s="140">
        <v>1</v>
      </c>
      <c r="AW244" s="140" t="s">
        <v>255</v>
      </c>
      <c r="AX244" s="140" t="s">
        <v>537</v>
      </c>
      <c r="AY244" s="247" t="s">
        <v>538</v>
      </c>
      <c r="AZ244" s="140">
        <v>39.816597656250003</v>
      </c>
      <c r="BA244" s="140" t="s">
        <v>166</v>
      </c>
      <c r="BB244" s="140" t="s">
        <v>166</v>
      </c>
      <c r="BC244" s="140" t="s">
        <v>166</v>
      </c>
      <c r="BD244" s="140" t="s">
        <v>255</v>
      </c>
      <c r="BE244" s="140" t="s">
        <v>539</v>
      </c>
      <c r="BF244" s="140" t="s">
        <v>540</v>
      </c>
      <c r="BG244" s="245" t="s">
        <v>541</v>
      </c>
      <c r="BH244" s="140" t="s">
        <v>192</v>
      </c>
      <c r="BI244" s="288" t="s">
        <v>542</v>
      </c>
      <c r="BJ244" s="289" t="s">
        <v>543</v>
      </c>
      <c r="BK244" s="140" t="s">
        <v>544</v>
      </c>
      <c r="BL244" s="140" t="s">
        <v>194</v>
      </c>
      <c r="BM244" s="140" t="s">
        <v>195</v>
      </c>
      <c r="BN244" s="140" t="s">
        <v>545</v>
      </c>
      <c r="BO244" s="140">
        <v>2</v>
      </c>
      <c r="BP244" s="270">
        <v>0.24097437922295306</v>
      </c>
      <c r="BQ244" s="290">
        <v>14.788</v>
      </c>
      <c r="BR244" s="140" t="s">
        <v>546</v>
      </c>
      <c r="BS244" s="140">
        <v>0.1154649719567319</v>
      </c>
      <c r="BT244" s="140">
        <v>1</v>
      </c>
      <c r="BU244" s="140" t="s">
        <v>197</v>
      </c>
      <c r="BV244" s="140" t="s">
        <v>166</v>
      </c>
      <c r="BW244" s="140">
        <v>0</v>
      </c>
      <c r="BX244" s="140" t="s">
        <v>197</v>
      </c>
      <c r="BY244" s="140" t="s">
        <v>166</v>
      </c>
      <c r="BZ244" s="140" t="s">
        <v>197</v>
      </c>
      <c r="CA244" s="140" t="s">
        <v>166</v>
      </c>
      <c r="CB244" s="210">
        <f t="shared" si="232"/>
        <v>14.788</v>
      </c>
      <c r="CC244" s="140" t="s">
        <v>196</v>
      </c>
      <c r="CD244" s="140">
        <f t="shared" si="233"/>
        <v>0.1154649719567319</v>
      </c>
      <c r="CE244" s="140" t="s">
        <v>199</v>
      </c>
      <c r="CF244" s="140" t="s">
        <v>166</v>
      </c>
      <c r="CG244" s="140" t="s">
        <v>474</v>
      </c>
      <c r="CH244" s="140" t="s">
        <v>166</v>
      </c>
      <c r="CI244" s="140" t="s">
        <v>166</v>
      </c>
      <c r="CJ244" s="210">
        <v>34.714523338347107</v>
      </c>
      <c r="CK244" s="140" t="s">
        <v>201</v>
      </c>
      <c r="CL244" s="140">
        <v>2</v>
      </c>
      <c r="CM244" s="140">
        <v>2</v>
      </c>
      <c r="CN244" s="140" t="s">
        <v>166</v>
      </c>
      <c r="CO244" s="290">
        <v>3.8488323985577302</v>
      </c>
      <c r="CP244" s="140" t="s">
        <v>546</v>
      </c>
      <c r="CQ244" s="140">
        <v>0.1154649719567319</v>
      </c>
      <c r="CR244" s="140">
        <v>0.1154649719567319</v>
      </c>
      <c r="CS244" s="291" t="s">
        <v>547</v>
      </c>
      <c r="CT244" s="250" t="s">
        <v>203</v>
      </c>
      <c r="CU244" s="250">
        <v>2.2000000000000002</v>
      </c>
      <c r="CV244" s="140" t="s">
        <v>204</v>
      </c>
      <c r="CW244" s="250" t="s">
        <v>166</v>
      </c>
      <c r="CX244" s="250" t="s">
        <v>166</v>
      </c>
      <c r="CY244" s="250" t="s">
        <v>166</v>
      </c>
      <c r="CZ244" s="250" t="s">
        <v>166</v>
      </c>
      <c r="DA244" s="292" t="s">
        <v>166</v>
      </c>
      <c r="DB244" s="250" t="s">
        <v>166</v>
      </c>
      <c r="DC244" s="250" t="s">
        <v>166</v>
      </c>
      <c r="DD244" s="250" t="s">
        <v>166</v>
      </c>
      <c r="DE244" s="250" t="s">
        <v>166</v>
      </c>
      <c r="DF244" s="250" t="s">
        <v>166</v>
      </c>
      <c r="DG244" s="250">
        <v>35</v>
      </c>
      <c r="DH244" s="250" t="s">
        <v>201</v>
      </c>
      <c r="DI244" s="250">
        <v>1</v>
      </c>
      <c r="DJ244" s="250" t="s">
        <v>206</v>
      </c>
      <c r="DK244" s="250">
        <v>17</v>
      </c>
      <c r="DL244" s="140" t="s">
        <v>166</v>
      </c>
      <c r="DM244" s="140" t="s">
        <v>166</v>
      </c>
      <c r="DN244" s="250" t="s">
        <v>207</v>
      </c>
      <c r="DO244" s="250">
        <v>38</v>
      </c>
      <c r="DP244" s="250" t="s">
        <v>208</v>
      </c>
      <c r="DQ244" s="250">
        <v>3</v>
      </c>
      <c r="DR244" s="250" t="s">
        <v>209</v>
      </c>
      <c r="DS244" s="140" t="s">
        <v>166</v>
      </c>
      <c r="DT244" s="140" t="s">
        <v>166</v>
      </c>
      <c r="DU244" s="140" t="s">
        <v>166</v>
      </c>
      <c r="DV244" s="140" t="s">
        <v>166</v>
      </c>
      <c r="DW244" s="250">
        <v>432.6</v>
      </c>
      <c r="DX244" s="140" t="s">
        <v>166</v>
      </c>
      <c r="DY244" s="140" t="s">
        <v>166</v>
      </c>
      <c r="DZ244" s="140" t="s">
        <v>210</v>
      </c>
      <c r="EA244" s="140" t="s">
        <v>211</v>
      </c>
      <c r="EB244" s="140" t="s">
        <v>212</v>
      </c>
      <c r="EC244" s="140" t="s">
        <v>166</v>
      </c>
      <c r="ED244" s="140" t="s">
        <v>213</v>
      </c>
      <c r="EE244" s="213" t="s">
        <v>214</v>
      </c>
      <c r="EF244" s="213" t="s">
        <v>214</v>
      </c>
      <c r="EG244" s="250">
        <v>1.0271999999999999</v>
      </c>
      <c r="EH244" s="250" t="s">
        <v>215</v>
      </c>
      <c r="EI244" s="250" t="s">
        <v>215</v>
      </c>
      <c r="EJ244" s="250" t="s">
        <v>216</v>
      </c>
      <c r="EK244" s="250" t="s">
        <v>215</v>
      </c>
      <c r="EL244" s="250" t="s">
        <v>215</v>
      </c>
      <c r="EM244" s="250" t="s">
        <v>217</v>
      </c>
      <c r="EN244" s="251" t="s">
        <v>214</v>
      </c>
      <c r="EO244" s="251" t="s">
        <v>214</v>
      </c>
      <c r="EP244" s="251" t="s">
        <v>214</v>
      </c>
      <c r="EQ244" s="251" t="s">
        <v>214</v>
      </c>
      <c r="ER244" s="250"/>
      <c r="ES244" s="250"/>
      <c r="ET244" s="140" t="s">
        <v>218</v>
      </c>
      <c r="EU244" s="250" t="s">
        <v>219</v>
      </c>
      <c r="EV244" s="250" t="s">
        <v>213</v>
      </c>
      <c r="EW244" s="140" t="s">
        <v>166</v>
      </c>
      <c r="EX244" s="140" t="s">
        <v>166</v>
      </c>
      <c r="EY244" s="140" t="s">
        <v>166</v>
      </c>
      <c r="EZ244" s="140" t="s">
        <v>166</v>
      </c>
      <c r="FA244" s="205">
        <v>6.5</v>
      </c>
      <c r="FB244" s="140" t="s">
        <v>220</v>
      </c>
      <c r="FC244" s="205">
        <v>1</v>
      </c>
      <c r="FD244" s="205">
        <v>1</v>
      </c>
      <c r="FE244" s="215">
        <v>7.6987552868576499</v>
      </c>
      <c r="FF244" s="140" t="s">
        <v>221</v>
      </c>
      <c r="FG244" s="215">
        <v>3.4502174517240469E-2</v>
      </c>
      <c r="FH244" s="215">
        <v>3.4191696238069724E-2</v>
      </c>
      <c r="FI244" s="140">
        <v>1072.4612883721002</v>
      </c>
      <c r="FK244" s="140" t="s">
        <v>166</v>
      </c>
      <c r="FL244" s="217">
        <f t="shared" si="222"/>
        <v>1072.4612883721002</v>
      </c>
      <c r="FM244" s="266">
        <v>233.06603687080974</v>
      </c>
      <c r="FN244" s="266">
        <v>181.03818815669922</v>
      </c>
      <c r="FO244" s="140" t="s">
        <v>222</v>
      </c>
      <c r="FP244" s="140" t="s">
        <v>223</v>
      </c>
      <c r="FQ244" s="217" t="s">
        <v>166</v>
      </c>
      <c r="FR244" s="217" t="s">
        <v>166</v>
      </c>
      <c r="FS244" s="217" t="s">
        <v>166</v>
      </c>
      <c r="FT244" s="217" t="s">
        <v>166</v>
      </c>
      <c r="FU244" s="217" t="s">
        <v>166</v>
      </c>
      <c r="FV244" s="217" t="s">
        <v>166</v>
      </c>
      <c r="FW244" s="217" t="s">
        <v>166</v>
      </c>
      <c r="FX244" s="217" t="s">
        <v>166</v>
      </c>
      <c r="FY244" s="217" t="s">
        <v>166</v>
      </c>
      <c r="FZ244" s="217" t="s">
        <v>166</v>
      </c>
      <c r="GA244" s="217" t="s">
        <v>166</v>
      </c>
      <c r="GB244" s="217" t="s">
        <v>166</v>
      </c>
      <c r="GC244" s="202" t="s">
        <v>548</v>
      </c>
    </row>
    <row r="245" spans="1:190" s="140" customFormat="1" ht="17">
      <c r="A245" s="140" t="s">
        <v>162</v>
      </c>
      <c r="B245" s="143" t="s">
        <v>163</v>
      </c>
      <c r="C245" s="140" t="s">
        <v>164</v>
      </c>
      <c r="D245" s="140" t="s">
        <v>165</v>
      </c>
      <c r="E245" s="140">
        <v>2020</v>
      </c>
      <c r="F245" s="140" t="s">
        <v>184</v>
      </c>
      <c r="G245" s="240">
        <v>39910.953521728516</v>
      </c>
      <c r="H245" s="140">
        <v>1</v>
      </c>
      <c r="I245" s="140">
        <v>1</v>
      </c>
      <c r="J245" s="241">
        <v>886.84871938971003</v>
      </c>
      <c r="K245" s="266">
        <v>175.42693851391994</v>
      </c>
      <c r="L245" s="266">
        <v>136.05009171782001</v>
      </c>
      <c r="M245" s="140" t="b">
        <v>1</v>
      </c>
      <c r="N245" s="140">
        <v>1</v>
      </c>
      <c r="O245" s="302" t="s">
        <v>581</v>
      </c>
      <c r="P245" s="140" t="s">
        <v>166</v>
      </c>
      <c r="Q245" s="140" t="s">
        <v>166</v>
      </c>
      <c r="R245" s="140" t="s">
        <v>166</v>
      </c>
      <c r="S245" s="140" t="b">
        <v>1</v>
      </c>
      <c r="T245" s="140" t="b">
        <v>0</v>
      </c>
      <c r="U245" s="140" t="s">
        <v>166</v>
      </c>
      <c r="V245" s="140" t="b">
        <v>0</v>
      </c>
      <c r="W245" s="140" t="b">
        <v>0</v>
      </c>
      <c r="X245" s="140" t="s">
        <v>166</v>
      </c>
      <c r="Y245" s="202" t="s">
        <v>186</v>
      </c>
      <c r="Z245" s="140" t="s">
        <v>184</v>
      </c>
      <c r="AA245" s="284">
        <v>1260</v>
      </c>
      <c r="AB245" s="140" t="s">
        <v>187</v>
      </c>
      <c r="AC245" s="140">
        <v>6</v>
      </c>
      <c r="AD245" s="140">
        <v>2</v>
      </c>
      <c r="AE245" s="241">
        <v>77</v>
      </c>
      <c r="AF245" s="140">
        <v>78.5</v>
      </c>
      <c r="AG245" s="285">
        <v>40.477499999999999</v>
      </c>
      <c r="AH245" s="140">
        <v>40.477499999999999</v>
      </c>
      <c r="AI245" s="140" t="s">
        <v>533</v>
      </c>
      <c r="AJ245" s="140" t="s">
        <v>534</v>
      </c>
      <c r="AK245" s="286">
        <v>9.2656670000000005</v>
      </c>
      <c r="AL245" s="286">
        <v>-54.544032999999999</v>
      </c>
      <c r="AM245" s="286">
        <v>0.8</v>
      </c>
      <c r="AN245" s="287" t="s">
        <v>166</v>
      </c>
      <c r="AO245" s="287">
        <v>-2549</v>
      </c>
      <c r="AP245" s="287">
        <v>-2850</v>
      </c>
      <c r="AQ245" s="140" t="s">
        <v>535</v>
      </c>
      <c r="AR245" s="140" t="s">
        <v>511</v>
      </c>
      <c r="AS245" s="240">
        <v>39.910953521728516</v>
      </c>
      <c r="AT245" s="140" t="s">
        <v>536</v>
      </c>
      <c r="AU245" s="140">
        <v>1</v>
      </c>
      <c r="AV245" s="140">
        <v>1</v>
      </c>
      <c r="AW245" s="140" t="s">
        <v>255</v>
      </c>
      <c r="AX245" s="140" t="s">
        <v>537</v>
      </c>
      <c r="AY245" s="247" t="s">
        <v>538</v>
      </c>
      <c r="AZ245" s="140">
        <v>39.915953125000001</v>
      </c>
      <c r="BA245" s="140" t="s">
        <v>166</v>
      </c>
      <c r="BB245" s="140" t="s">
        <v>166</v>
      </c>
      <c r="BC245" s="140" t="s">
        <v>166</v>
      </c>
      <c r="BD245" s="140" t="s">
        <v>255</v>
      </c>
      <c r="BE245" s="140" t="s">
        <v>539</v>
      </c>
      <c r="BF245" s="140" t="s">
        <v>540</v>
      </c>
      <c r="BG245" s="245" t="s">
        <v>541</v>
      </c>
      <c r="BH245" s="140" t="s">
        <v>192</v>
      </c>
      <c r="BI245" s="277">
        <v>369</v>
      </c>
      <c r="BJ245" s="293">
        <v>3.9780000000000002</v>
      </c>
      <c r="BK245" s="140" t="s">
        <v>544</v>
      </c>
      <c r="BL245" s="140" t="s">
        <v>194</v>
      </c>
      <c r="BM245" s="140" t="s">
        <v>195</v>
      </c>
      <c r="BN245" s="140" t="s">
        <v>549</v>
      </c>
      <c r="BO245" s="140">
        <v>2</v>
      </c>
      <c r="BP245" s="270">
        <v>2.8635900266495536E-2</v>
      </c>
      <c r="BQ245" s="294">
        <v>15.0816826879439</v>
      </c>
      <c r="BR245" s="140" t="s">
        <v>546</v>
      </c>
      <c r="BS245" s="140">
        <v>0.10754131522822619</v>
      </c>
      <c r="BT245" s="140">
        <v>1</v>
      </c>
      <c r="BU245" s="140" t="s">
        <v>197</v>
      </c>
      <c r="BV245" s="140" t="s">
        <v>166</v>
      </c>
      <c r="BW245" s="140">
        <v>0</v>
      </c>
      <c r="BX245" s="140" t="s">
        <v>197</v>
      </c>
      <c r="BY245" s="140" t="s">
        <v>166</v>
      </c>
      <c r="BZ245" s="140" t="s">
        <v>197</v>
      </c>
      <c r="CA245" s="140" t="s">
        <v>166</v>
      </c>
      <c r="CB245" s="210">
        <f t="shared" si="232"/>
        <v>15.0816826879439</v>
      </c>
      <c r="CC245" s="140" t="s">
        <v>196</v>
      </c>
      <c r="CD245" s="140">
        <f t="shared" si="233"/>
        <v>0.10754131522822619</v>
      </c>
      <c r="CE245" s="140" t="s">
        <v>199</v>
      </c>
      <c r="CF245" s="140" t="s">
        <v>166</v>
      </c>
      <c r="CG245" s="140" t="s">
        <v>474</v>
      </c>
      <c r="CH245" s="140" t="s">
        <v>166</v>
      </c>
      <c r="CI245" s="140" t="s">
        <v>166</v>
      </c>
      <c r="CJ245" s="210">
        <v>33.453219856936975</v>
      </c>
      <c r="CK245" s="140" t="s">
        <v>201</v>
      </c>
      <c r="CL245" s="140">
        <v>2</v>
      </c>
      <c r="CM245" s="140">
        <v>2</v>
      </c>
      <c r="CN245" s="140" t="s">
        <v>166</v>
      </c>
      <c r="CO245" s="294">
        <v>3.5847105076075398</v>
      </c>
      <c r="CP245" s="140" t="s">
        <v>546</v>
      </c>
      <c r="CQ245" s="140">
        <v>0.10754131522822619</v>
      </c>
      <c r="CR245" s="140">
        <v>0.10754131522822619</v>
      </c>
      <c r="CS245" s="291" t="s">
        <v>547</v>
      </c>
      <c r="CT245" s="250" t="s">
        <v>203</v>
      </c>
      <c r="CU245" s="250">
        <v>2.2000000000000002</v>
      </c>
      <c r="CV245" s="140" t="s">
        <v>204</v>
      </c>
      <c r="CW245" s="250" t="s">
        <v>166</v>
      </c>
      <c r="CX245" s="250" t="s">
        <v>166</v>
      </c>
      <c r="CY245" s="250" t="s">
        <v>166</v>
      </c>
      <c r="CZ245" s="250" t="s">
        <v>166</v>
      </c>
      <c r="DA245" s="292" t="s">
        <v>166</v>
      </c>
      <c r="DB245" s="250" t="s">
        <v>166</v>
      </c>
      <c r="DC245" s="250" t="s">
        <v>166</v>
      </c>
      <c r="DD245" s="250" t="s">
        <v>166</v>
      </c>
      <c r="DE245" s="250" t="s">
        <v>166</v>
      </c>
      <c r="DF245" s="250" t="s">
        <v>166</v>
      </c>
      <c r="DG245" s="250">
        <v>35</v>
      </c>
      <c r="DH245" s="250" t="s">
        <v>201</v>
      </c>
      <c r="DI245" s="250">
        <v>1</v>
      </c>
      <c r="DJ245" s="250" t="s">
        <v>206</v>
      </c>
      <c r="DK245" s="250">
        <v>17</v>
      </c>
      <c r="DL245" s="140" t="s">
        <v>166</v>
      </c>
      <c r="DM245" s="140" t="s">
        <v>166</v>
      </c>
      <c r="DN245" s="250" t="s">
        <v>207</v>
      </c>
      <c r="DO245" s="250">
        <v>38</v>
      </c>
      <c r="DP245" s="250" t="s">
        <v>208</v>
      </c>
      <c r="DQ245" s="250">
        <v>3</v>
      </c>
      <c r="DR245" s="250" t="s">
        <v>209</v>
      </c>
      <c r="DS245" s="140" t="s">
        <v>166</v>
      </c>
      <c r="DT245" s="140" t="s">
        <v>166</v>
      </c>
      <c r="DU245" s="140" t="s">
        <v>166</v>
      </c>
      <c r="DV245" s="140" t="s">
        <v>166</v>
      </c>
      <c r="DW245" s="250">
        <v>432.6</v>
      </c>
      <c r="DX245" s="140" t="s">
        <v>166</v>
      </c>
      <c r="DY245" s="140" t="s">
        <v>166</v>
      </c>
      <c r="DZ245" s="140" t="s">
        <v>210</v>
      </c>
      <c r="EA245" s="140" t="s">
        <v>211</v>
      </c>
      <c r="EB245" s="140" t="s">
        <v>212</v>
      </c>
      <c r="EC245" s="140" t="s">
        <v>166</v>
      </c>
      <c r="ED245" s="140" t="s">
        <v>213</v>
      </c>
      <c r="EE245" s="213" t="s">
        <v>214</v>
      </c>
      <c r="EF245" s="213" t="s">
        <v>214</v>
      </c>
      <c r="EG245" s="250">
        <v>1.0271999999999999</v>
      </c>
      <c r="EH245" s="250" t="s">
        <v>215</v>
      </c>
      <c r="EI245" s="250" t="s">
        <v>215</v>
      </c>
      <c r="EJ245" s="250" t="s">
        <v>216</v>
      </c>
      <c r="EK245" s="250" t="s">
        <v>215</v>
      </c>
      <c r="EL245" s="250" t="s">
        <v>215</v>
      </c>
      <c r="EM245" s="250" t="s">
        <v>217</v>
      </c>
      <c r="EN245" s="251" t="s">
        <v>214</v>
      </c>
      <c r="EO245" s="251" t="s">
        <v>214</v>
      </c>
      <c r="EP245" s="251" t="s">
        <v>214</v>
      </c>
      <c r="EQ245" s="251" t="s">
        <v>214</v>
      </c>
      <c r="ER245" s="250"/>
      <c r="ES245" s="250"/>
      <c r="ET245" s="140" t="s">
        <v>218</v>
      </c>
      <c r="EU245" s="250" t="s">
        <v>219</v>
      </c>
      <c r="EV245" s="250" t="s">
        <v>213</v>
      </c>
      <c r="EW245" s="140" t="s">
        <v>166</v>
      </c>
      <c r="EX245" s="140" t="s">
        <v>166</v>
      </c>
      <c r="EY245" s="140" t="s">
        <v>166</v>
      </c>
      <c r="EZ245" s="140" t="s">
        <v>166</v>
      </c>
      <c r="FA245" s="205">
        <v>6.5</v>
      </c>
      <c r="FB245" s="140" t="s">
        <v>220</v>
      </c>
      <c r="FC245" s="205">
        <v>1</v>
      </c>
      <c r="FD245" s="205">
        <v>1</v>
      </c>
      <c r="FE245" s="215">
        <v>7.7503551899280803</v>
      </c>
      <c r="FF245" s="140" t="s">
        <v>221</v>
      </c>
      <c r="FG245" s="215">
        <v>3.3534713947999784E-2</v>
      </c>
      <c r="FH245" s="215">
        <v>3.3259526701650444E-2</v>
      </c>
      <c r="FI245" s="140">
        <v>886.84871938971003</v>
      </c>
      <c r="FK245" s="140" t="s">
        <v>166</v>
      </c>
      <c r="FL245" s="217">
        <f t="shared" si="222"/>
        <v>886.84871938971003</v>
      </c>
      <c r="FM245" s="266">
        <v>175.42693851391994</v>
      </c>
      <c r="FN245" s="266">
        <v>136.05009171782001</v>
      </c>
      <c r="FO245" s="140" t="s">
        <v>222</v>
      </c>
      <c r="FP245" s="140" t="s">
        <v>223</v>
      </c>
      <c r="FQ245" s="217" t="s">
        <v>166</v>
      </c>
      <c r="FR245" s="217" t="s">
        <v>166</v>
      </c>
      <c r="FS245" s="217" t="s">
        <v>166</v>
      </c>
      <c r="FT245" s="217" t="s">
        <v>166</v>
      </c>
      <c r="FU245" s="217" t="s">
        <v>166</v>
      </c>
      <c r="FV245" s="217" t="s">
        <v>166</v>
      </c>
      <c r="FW245" s="217" t="s">
        <v>166</v>
      </c>
      <c r="FX245" s="217" t="s">
        <v>166</v>
      </c>
      <c r="FY245" s="217" t="s">
        <v>166</v>
      </c>
      <c r="FZ245" s="217" t="s">
        <v>166</v>
      </c>
      <c r="GA245" s="217" t="s">
        <v>166</v>
      </c>
      <c r="GB245" s="217" t="s">
        <v>166</v>
      </c>
      <c r="GC245" s="202" t="s">
        <v>548</v>
      </c>
    </row>
    <row r="246" spans="1:190" s="140" customFormat="1" ht="17">
      <c r="A246" s="140" t="s">
        <v>162</v>
      </c>
      <c r="B246" s="143" t="s">
        <v>163</v>
      </c>
      <c r="C246" s="140" t="s">
        <v>164</v>
      </c>
      <c r="D246" s="140" t="s">
        <v>165</v>
      </c>
      <c r="E246" s="140">
        <v>2020</v>
      </c>
      <c r="F246" s="140" t="s">
        <v>184</v>
      </c>
      <c r="G246" s="240">
        <v>39982.666015625</v>
      </c>
      <c r="H246" s="140">
        <v>1</v>
      </c>
      <c r="I246" s="140">
        <v>1</v>
      </c>
      <c r="J246" s="241">
        <v>866.11306356412899</v>
      </c>
      <c r="K246" s="266">
        <v>163.34331930210112</v>
      </c>
      <c r="L246" s="266">
        <v>145.84332353198192</v>
      </c>
      <c r="M246" s="140" t="b">
        <v>1</v>
      </c>
      <c r="N246" s="140">
        <v>1</v>
      </c>
      <c r="O246" s="302" t="s">
        <v>581</v>
      </c>
      <c r="P246" s="140" t="s">
        <v>166</v>
      </c>
      <c r="Q246" s="140" t="s">
        <v>166</v>
      </c>
      <c r="R246" s="140" t="s">
        <v>166</v>
      </c>
      <c r="S246" s="140" t="b">
        <v>1</v>
      </c>
      <c r="T246" s="140" t="b">
        <v>0</v>
      </c>
      <c r="U246" s="140" t="s">
        <v>166</v>
      </c>
      <c r="V246" s="140" t="b">
        <v>0</v>
      </c>
      <c r="W246" s="140" t="b">
        <v>0</v>
      </c>
      <c r="X246" s="140" t="s">
        <v>166</v>
      </c>
      <c r="Y246" s="202" t="s">
        <v>186</v>
      </c>
      <c r="Z246" s="140" t="s">
        <v>184</v>
      </c>
      <c r="AA246" s="284">
        <v>1260</v>
      </c>
      <c r="AB246" s="140" t="s">
        <v>187</v>
      </c>
      <c r="AC246" s="140">
        <v>6</v>
      </c>
      <c r="AD246" s="140">
        <v>3</v>
      </c>
      <c r="AE246" s="140">
        <v>77</v>
      </c>
      <c r="AF246" s="140">
        <v>78.5</v>
      </c>
      <c r="AG246" s="285">
        <v>41.977499999999999</v>
      </c>
      <c r="AH246" s="140">
        <v>41.977499999999999</v>
      </c>
      <c r="AI246" s="140" t="s">
        <v>533</v>
      </c>
      <c r="AJ246" s="140" t="s">
        <v>534</v>
      </c>
      <c r="AK246" s="286">
        <v>9.2656670000000005</v>
      </c>
      <c r="AL246" s="286">
        <v>-54.544032999999999</v>
      </c>
      <c r="AM246" s="286">
        <v>0.8</v>
      </c>
      <c r="AN246" s="287" t="s">
        <v>166</v>
      </c>
      <c r="AO246" s="287">
        <v>-2549</v>
      </c>
      <c r="AP246" s="287">
        <v>-2850</v>
      </c>
      <c r="AQ246" s="140" t="s">
        <v>535</v>
      </c>
      <c r="AR246" s="140" t="s">
        <v>511</v>
      </c>
      <c r="AS246" s="240">
        <v>39.982666015625</v>
      </c>
      <c r="AT246" s="140" t="s">
        <v>536</v>
      </c>
      <c r="AU246" s="140">
        <v>1</v>
      </c>
      <c r="AV246" s="140">
        <v>1</v>
      </c>
      <c r="AW246" s="140" t="s">
        <v>255</v>
      </c>
      <c r="AX246" s="140" t="s">
        <v>537</v>
      </c>
      <c r="AY246" s="247" t="s">
        <v>538</v>
      </c>
      <c r="AZ246" s="140">
        <v>39.983695312499997</v>
      </c>
      <c r="BA246" s="140" t="s">
        <v>166</v>
      </c>
      <c r="BB246" s="140" t="s">
        <v>166</v>
      </c>
      <c r="BC246" s="140" t="s">
        <v>166</v>
      </c>
      <c r="BD246" s="140" t="s">
        <v>255</v>
      </c>
      <c r="BE246" s="140" t="s">
        <v>539</v>
      </c>
      <c r="BF246" s="140" t="s">
        <v>540</v>
      </c>
      <c r="BG246" s="245" t="s">
        <v>541</v>
      </c>
      <c r="BH246" s="140" t="s">
        <v>192</v>
      </c>
      <c r="BI246" s="277">
        <v>343</v>
      </c>
      <c r="BJ246" s="293">
        <v>3.9119999999999999</v>
      </c>
      <c r="BK246" s="140" t="s">
        <v>544</v>
      </c>
      <c r="BL246" s="140" t="s">
        <v>194</v>
      </c>
      <c r="BM246" s="140" t="s">
        <v>195</v>
      </c>
      <c r="BN246" s="140" t="s">
        <v>550</v>
      </c>
      <c r="BO246" s="140">
        <v>2</v>
      </c>
      <c r="BP246" s="270">
        <v>1.1218428802209244E-2</v>
      </c>
      <c r="BQ246" s="294">
        <v>15.0832091925013</v>
      </c>
      <c r="BR246" s="140" t="s">
        <v>546</v>
      </c>
      <c r="BS246" s="140">
        <v>9.8964671690255995E-2</v>
      </c>
      <c r="BT246" s="140">
        <v>1</v>
      </c>
      <c r="BU246" s="140" t="s">
        <v>197</v>
      </c>
      <c r="BV246" s="140" t="s">
        <v>166</v>
      </c>
      <c r="BW246" s="140">
        <v>0</v>
      </c>
      <c r="BX246" s="140" t="s">
        <v>197</v>
      </c>
      <c r="BY246" s="140" t="s">
        <v>166</v>
      </c>
      <c r="BZ246" s="140" t="s">
        <v>197</v>
      </c>
      <c r="CA246" s="140" t="s">
        <v>166</v>
      </c>
      <c r="CB246" s="210">
        <f t="shared" si="232"/>
        <v>15.0832091925013</v>
      </c>
      <c r="CC246" s="140" t="s">
        <v>196</v>
      </c>
      <c r="CD246" s="140">
        <f t="shared" si="233"/>
        <v>9.8964671690255995E-2</v>
      </c>
      <c r="CE246" s="140" t="s">
        <v>199</v>
      </c>
      <c r="CF246" s="140" t="s">
        <v>166</v>
      </c>
      <c r="CG246" s="140" t="s">
        <v>474</v>
      </c>
      <c r="CH246" s="140" t="s">
        <v>166</v>
      </c>
      <c r="CI246" s="140" t="s">
        <v>166</v>
      </c>
      <c r="CJ246" s="210">
        <v>31.978658672442496</v>
      </c>
      <c r="CK246" s="140" t="s">
        <v>201</v>
      </c>
      <c r="CL246" s="140">
        <v>2</v>
      </c>
      <c r="CM246" s="140">
        <v>2</v>
      </c>
      <c r="CN246" s="140" t="s">
        <v>166</v>
      </c>
      <c r="CO246" s="294">
        <v>3.2988223896752</v>
      </c>
      <c r="CP246" s="140" t="s">
        <v>546</v>
      </c>
      <c r="CQ246" s="140">
        <v>9.8964671690255995E-2</v>
      </c>
      <c r="CR246" s="140">
        <v>9.8964671690255995E-2</v>
      </c>
      <c r="CS246" s="291" t="s">
        <v>547</v>
      </c>
      <c r="CT246" s="250" t="s">
        <v>203</v>
      </c>
      <c r="CU246" s="250">
        <v>2.2000000000000002</v>
      </c>
      <c r="CV246" s="140" t="s">
        <v>204</v>
      </c>
      <c r="CW246" s="250" t="s">
        <v>166</v>
      </c>
      <c r="CX246" s="250" t="s">
        <v>166</v>
      </c>
      <c r="CY246" s="250" t="s">
        <v>166</v>
      </c>
      <c r="CZ246" s="250" t="s">
        <v>166</v>
      </c>
      <c r="DA246" s="292" t="s">
        <v>166</v>
      </c>
      <c r="DB246" s="250" t="s">
        <v>166</v>
      </c>
      <c r="DC246" s="250" t="s">
        <v>166</v>
      </c>
      <c r="DD246" s="250" t="s">
        <v>166</v>
      </c>
      <c r="DE246" s="250" t="s">
        <v>166</v>
      </c>
      <c r="DF246" s="250" t="s">
        <v>166</v>
      </c>
      <c r="DG246" s="250">
        <v>35</v>
      </c>
      <c r="DH246" s="250" t="s">
        <v>201</v>
      </c>
      <c r="DI246" s="250">
        <v>1</v>
      </c>
      <c r="DJ246" s="250" t="s">
        <v>206</v>
      </c>
      <c r="DK246" s="250">
        <v>17</v>
      </c>
      <c r="DL246" s="140" t="s">
        <v>166</v>
      </c>
      <c r="DM246" s="140" t="s">
        <v>166</v>
      </c>
      <c r="DN246" s="250" t="s">
        <v>207</v>
      </c>
      <c r="DO246" s="250">
        <v>38</v>
      </c>
      <c r="DP246" s="250" t="s">
        <v>208</v>
      </c>
      <c r="DQ246" s="250">
        <v>3</v>
      </c>
      <c r="DR246" s="250" t="s">
        <v>209</v>
      </c>
      <c r="DS246" s="140" t="s">
        <v>166</v>
      </c>
      <c r="DT246" s="140" t="s">
        <v>166</v>
      </c>
      <c r="DU246" s="140" t="s">
        <v>166</v>
      </c>
      <c r="DV246" s="140" t="s">
        <v>166</v>
      </c>
      <c r="DW246" s="250">
        <v>432.6</v>
      </c>
      <c r="DX246" s="140" t="s">
        <v>166</v>
      </c>
      <c r="DY246" s="140" t="s">
        <v>166</v>
      </c>
      <c r="DZ246" s="140" t="s">
        <v>210</v>
      </c>
      <c r="EA246" s="140" t="s">
        <v>211</v>
      </c>
      <c r="EB246" s="140" t="s">
        <v>212</v>
      </c>
      <c r="EC246" s="140" t="s">
        <v>166</v>
      </c>
      <c r="ED246" s="140" t="s">
        <v>213</v>
      </c>
      <c r="EE246" s="213" t="s">
        <v>214</v>
      </c>
      <c r="EF246" s="213" t="s">
        <v>214</v>
      </c>
      <c r="EG246" s="250">
        <v>1.0271999999999999</v>
      </c>
      <c r="EH246" s="250" t="s">
        <v>215</v>
      </c>
      <c r="EI246" s="250" t="s">
        <v>215</v>
      </c>
      <c r="EJ246" s="250" t="s">
        <v>216</v>
      </c>
      <c r="EK246" s="250" t="s">
        <v>215</v>
      </c>
      <c r="EL246" s="250" t="s">
        <v>215</v>
      </c>
      <c r="EM246" s="250" t="s">
        <v>217</v>
      </c>
      <c r="EN246" s="251" t="s">
        <v>214</v>
      </c>
      <c r="EO246" s="251" t="s">
        <v>214</v>
      </c>
      <c r="EP246" s="251" t="s">
        <v>214</v>
      </c>
      <c r="EQ246" s="251" t="s">
        <v>214</v>
      </c>
      <c r="ER246" s="250"/>
      <c r="ES246" s="250"/>
      <c r="ET246" s="140" t="s">
        <v>218</v>
      </c>
      <c r="EU246" s="250" t="s">
        <v>219</v>
      </c>
      <c r="EV246" s="250" t="s">
        <v>213</v>
      </c>
      <c r="EW246" s="140" t="s">
        <v>166</v>
      </c>
      <c r="EX246" s="140" t="s">
        <v>166</v>
      </c>
      <c r="EY246" s="140" t="s">
        <v>166</v>
      </c>
      <c r="EZ246" s="140" t="s">
        <v>166</v>
      </c>
      <c r="FA246" s="205">
        <v>6.5</v>
      </c>
      <c r="FB246" s="140" t="s">
        <v>220</v>
      </c>
      <c r="FC246" s="205">
        <v>1</v>
      </c>
      <c r="FD246" s="205">
        <v>1</v>
      </c>
      <c r="FE246" s="215">
        <v>7.76740583974573</v>
      </c>
      <c r="FF246" s="140" t="s">
        <v>221</v>
      </c>
      <c r="FG246" s="215">
        <v>3.237120575925001E-2</v>
      </c>
      <c r="FH246" s="215">
        <v>3.340297601059028E-2</v>
      </c>
      <c r="FI246" s="140">
        <v>866.11306356412899</v>
      </c>
      <c r="FK246" s="140" t="s">
        <v>166</v>
      </c>
      <c r="FL246" s="217">
        <f t="shared" si="222"/>
        <v>866.11306356412899</v>
      </c>
      <c r="FM246" s="266">
        <v>163.34331930210112</v>
      </c>
      <c r="FN246" s="266">
        <v>145.84332353198192</v>
      </c>
      <c r="FO246" s="140" t="s">
        <v>222</v>
      </c>
      <c r="FP246" s="140" t="s">
        <v>223</v>
      </c>
      <c r="FQ246" s="217" t="s">
        <v>166</v>
      </c>
      <c r="FR246" s="217" t="s">
        <v>166</v>
      </c>
      <c r="FS246" s="217" t="s">
        <v>166</v>
      </c>
      <c r="FT246" s="217" t="s">
        <v>166</v>
      </c>
      <c r="FU246" s="217" t="s">
        <v>166</v>
      </c>
      <c r="FV246" s="217" t="s">
        <v>166</v>
      </c>
      <c r="FW246" s="217" t="s">
        <v>166</v>
      </c>
      <c r="FX246" s="217" t="s">
        <v>166</v>
      </c>
      <c r="FY246" s="217" t="s">
        <v>166</v>
      </c>
      <c r="FZ246" s="217" t="s">
        <v>166</v>
      </c>
      <c r="GA246" s="217" t="s">
        <v>166</v>
      </c>
      <c r="GB246" s="217" t="s">
        <v>166</v>
      </c>
      <c r="GC246" s="202" t="s">
        <v>548</v>
      </c>
    </row>
    <row r="247" spans="1:190" s="140" customFormat="1" ht="17">
      <c r="A247" s="140" t="s">
        <v>162</v>
      </c>
      <c r="B247" s="143" t="s">
        <v>163</v>
      </c>
      <c r="C247" s="140" t="s">
        <v>164</v>
      </c>
      <c r="D247" s="140" t="s">
        <v>165</v>
      </c>
      <c r="E247" s="140">
        <v>2020</v>
      </c>
      <c r="F247" s="140" t="s">
        <v>184</v>
      </c>
      <c r="G247" s="240">
        <v>40061.538696289062</v>
      </c>
      <c r="H247" s="140">
        <v>1</v>
      </c>
      <c r="I247" s="140">
        <v>1</v>
      </c>
      <c r="J247" s="241">
        <v>1171.6999534782599</v>
      </c>
      <c r="K247" s="266">
        <v>277.37210143302013</v>
      </c>
      <c r="L247" s="266">
        <v>202.99209309877187</v>
      </c>
      <c r="M247" s="140" t="b">
        <v>1</v>
      </c>
      <c r="N247" s="140">
        <v>1</v>
      </c>
      <c r="O247" s="302" t="s">
        <v>581</v>
      </c>
      <c r="P247" s="140" t="s">
        <v>166</v>
      </c>
      <c r="Q247" s="140" t="s">
        <v>166</v>
      </c>
      <c r="R247" s="140" t="s">
        <v>166</v>
      </c>
      <c r="S247" s="140" t="b">
        <v>1</v>
      </c>
      <c r="T247" s="140" t="b">
        <v>0</v>
      </c>
      <c r="U247" s="140" t="s">
        <v>166</v>
      </c>
      <c r="V247" s="140" t="b">
        <v>0</v>
      </c>
      <c r="W247" s="140" t="b">
        <v>0</v>
      </c>
      <c r="X247" s="140" t="s">
        <v>166</v>
      </c>
      <c r="Y247" s="202" t="s">
        <v>186</v>
      </c>
      <c r="Z247" s="140" t="s">
        <v>184</v>
      </c>
      <c r="AA247" s="284">
        <v>1260</v>
      </c>
      <c r="AB247" s="140" t="s">
        <v>187</v>
      </c>
      <c r="AC247" s="140">
        <v>6</v>
      </c>
      <c r="AD247" s="140">
        <v>4</v>
      </c>
      <c r="AE247" s="140">
        <v>67</v>
      </c>
      <c r="AF247" s="140">
        <v>78.5</v>
      </c>
      <c r="AG247" s="285">
        <v>43.427500000000002</v>
      </c>
      <c r="AH247" s="140">
        <v>43.427500000000002</v>
      </c>
      <c r="AI247" s="140" t="s">
        <v>533</v>
      </c>
      <c r="AJ247" s="140" t="s">
        <v>534</v>
      </c>
      <c r="AK247" s="286">
        <v>9.2656670000000005</v>
      </c>
      <c r="AL247" s="286">
        <v>-54.544032999999999</v>
      </c>
      <c r="AM247" s="286">
        <v>0.8</v>
      </c>
      <c r="AN247" s="287" t="s">
        <v>166</v>
      </c>
      <c r="AO247" s="287">
        <v>-2549</v>
      </c>
      <c r="AP247" s="287">
        <v>-2850</v>
      </c>
      <c r="AQ247" s="140" t="s">
        <v>535</v>
      </c>
      <c r="AR247" s="140" t="s">
        <v>511</v>
      </c>
      <c r="AS247" s="240">
        <v>40.061538696289062</v>
      </c>
      <c r="AT247" s="140" t="s">
        <v>536</v>
      </c>
      <c r="AU247" s="140">
        <v>1</v>
      </c>
      <c r="AV247" s="140">
        <v>1</v>
      </c>
      <c r="AW247" s="140" t="s">
        <v>255</v>
      </c>
      <c r="AX247" s="140" t="s">
        <v>537</v>
      </c>
      <c r="AY247" s="247" t="s">
        <v>538</v>
      </c>
      <c r="AZ247" s="140">
        <v>40.04917578125</v>
      </c>
      <c r="BA247" s="140" t="s">
        <v>166</v>
      </c>
      <c r="BB247" s="140" t="s">
        <v>166</v>
      </c>
      <c r="BC247" s="140" t="s">
        <v>166</v>
      </c>
      <c r="BD247" s="140" t="s">
        <v>255</v>
      </c>
      <c r="BE247" s="140" t="s">
        <v>539</v>
      </c>
      <c r="BF247" s="140" t="s">
        <v>540</v>
      </c>
      <c r="BG247" s="245" t="s">
        <v>541</v>
      </c>
      <c r="BH247" s="140" t="s">
        <v>192</v>
      </c>
      <c r="BI247" s="277">
        <v>184</v>
      </c>
      <c r="BJ247" s="293">
        <v>1.782</v>
      </c>
      <c r="BK247" s="140" t="s">
        <v>544</v>
      </c>
      <c r="BL247" s="140" t="s">
        <v>194</v>
      </c>
      <c r="BM247" s="140" t="s">
        <v>195</v>
      </c>
      <c r="BN247" s="140" t="s">
        <v>551</v>
      </c>
      <c r="BO247" s="140">
        <v>2</v>
      </c>
      <c r="BP247" s="270">
        <v>1.7976348343292869E-2</v>
      </c>
      <c r="BQ247" s="294">
        <v>14.564587436053801</v>
      </c>
      <c r="BR247" s="140" t="s">
        <v>546</v>
      </c>
      <c r="BS247" s="140">
        <v>9.7566981557069096E-2</v>
      </c>
      <c r="BT247" s="140">
        <v>1</v>
      </c>
      <c r="BU247" s="140" t="s">
        <v>197</v>
      </c>
      <c r="BV247" s="140" t="s">
        <v>166</v>
      </c>
      <c r="BW247" s="140">
        <v>0</v>
      </c>
      <c r="BX247" s="140" t="s">
        <v>197</v>
      </c>
      <c r="BY247" s="140" t="s">
        <v>166</v>
      </c>
      <c r="BZ247" s="140" t="s">
        <v>197</v>
      </c>
      <c r="CA247" s="140" t="s">
        <v>166</v>
      </c>
      <c r="CB247" s="210">
        <f t="shared" si="232"/>
        <v>14.564587436053801</v>
      </c>
      <c r="CC247" s="140" t="s">
        <v>196</v>
      </c>
      <c r="CD247" s="140">
        <f t="shared" si="233"/>
        <v>9.7566981557069096E-2</v>
      </c>
      <c r="CE247" s="140" t="s">
        <v>199</v>
      </c>
      <c r="CF247" s="140" t="s">
        <v>166</v>
      </c>
      <c r="CG247" s="140" t="s">
        <v>474</v>
      </c>
      <c r="CH247" s="140" t="s">
        <v>166</v>
      </c>
      <c r="CI247" s="140" t="s">
        <v>166</v>
      </c>
      <c r="CJ247" s="210">
        <v>31.726302516537213</v>
      </c>
      <c r="CK247" s="140" t="s">
        <v>201</v>
      </c>
      <c r="CL247" s="140">
        <v>2</v>
      </c>
      <c r="CM247" s="140">
        <v>2</v>
      </c>
      <c r="CN247" s="140" t="s">
        <v>166</v>
      </c>
      <c r="CO247" s="294">
        <v>3.2522327185689699</v>
      </c>
      <c r="CP247" s="140" t="s">
        <v>546</v>
      </c>
      <c r="CQ247" s="140">
        <v>9.7566981557069096E-2</v>
      </c>
      <c r="CR247" s="140">
        <v>9.7566981557069096E-2</v>
      </c>
      <c r="CS247" s="291" t="s">
        <v>547</v>
      </c>
      <c r="CT247" s="250" t="s">
        <v>203</v>
      </c>
      <c r="CU247" s="250">
        <v>2.2000000000000002</v>
      </c>
      <c r="CV247" s="140" t="s">
        <v>204</v>
      </c>
      <c r="CW247" s="250" t="s">
        <v>166</v>
      </c>
      <c r="CX247" s="250" t="s">
        <v>166</v>
      </c>
      <c r="CY247" s="250" t="s">
        <v>166</v>
      </c>
      <c r="CZ247" s="250" t="s">
        <v>166</v>
      </c>
      <c r="DA247" s="292" t="s">
        <v>166</v>
      </c>
      <c r="DB247" s="250" t="s">
        <v>166</v>
      </c>
      <c r="DC247" s="250" t="s">
        <v>166</v>
      </c>
      <c r="DD247" s="250" t="s">
        <v>166</v>
      </c>
      <c r="DE247" s="250" t="s">
        <v>166</v>
      </c>
      <c r="DF247" s="250" t="s">
        <v>166</v>
      </c>
      <c r="DG247" s="250">
        <v>35</v>
      </c>
      <c r="DH247" s="250" t="s">
        <v>201</v>
      </c>
      <c r="DI247" s="250">
        <v>1</v>
      </c>
      <c r="DJ247" s="250" t="s">
        <v>206</v>
      </c>
      <c r="DK247" s="250">
        <v>17</v>
      </c>
      <c r="DL247" s="140" t="s">
        <v>166</v>
      </c>
      <c r="DM247" s="140" t="s">
        <v>166</v>
      </c>
      <c r="DN247" s="250" t="s">
        <v>207</v>
      </c>
      <c r="DO247" s="250">
        <v>38</v>
      </c>
      <c r="DP247" s="250" t="s">
        <v>208</v>
      </c>
      <c r="DQ247" s="250">
        <v>3</v>
      </c>
      <c r="DR247" s="250" t="s">
        <v>209</v>
      </c>
      <c r="DS247" s="140" t="s">
        <v>166</v>
      </c>
      <c r="DT247" s="140" t="s">
        <v>166</v>
      </c>
      <c r="DU247" s="140" t="s">
        <v>166</v>
      </c>
      <c r="DV247" s="140" t="s">
        <v>166</v>
      </c>
      <c r="DW247" s="250">
        <v>432.6</v>
      </c>
      <c r="DX247" s="140" t="s">
        <v>166</v>
      </c>
      <c r="DY247" s="140" t="s">
        <v>166</v>
      </c>
      <c r="DZ247" s="140" t="s">
        <v>210</v>
      </c>
      <c r="EA247" s="140" t="s">
        <v>211</v>
      </c>
      <c r="EB247" s="140" t="s">
        <v>212</v>
      </c>
      <c r="EC247" s="140" t="s">
        <v>166</v>
      </c>
      <c r="ED247" s="140" t="s">
        <v>213</v>
      </c>
      <c r="EE247" s="213" t="s">
        <v>214</v>
      </c>
      <c r="EF247" s="213" t="s">
        <v>214</v>
      </c>
      <c r="EG247" s="250">
        <v>1.0271999999999999</v>
      </c>
      <c r="EH247" s="250" t="s">
        <v>215</v>
      </c>
      <c r="EI247" s="250" t="s">
        <v>215</v>
      </c>
      <c r="EJ247" s="250" t="s">
        <v>216</v>
      </c>
      <c r="EK247" s="250" t="s">
        <v>215</v>
      </c>
      <c r="EL247" s="250" t="s">
        <v>215</v>
      </c>
      <c r="EM247" s="250" t="s">
        <v>217</v>
      </c>
      <c r="EN247" s="251" t="s">
        <v>214</v>
      </c>
      <c r="EO247" s="251" t="s">
        <v>214</v>
      </c>
      <c r="EP247" s="251" t="s">
        <v>214</v>
      </c>
      <c r="EQ247" s="251" t="s">
        <v>214</v>
      </c>
      <c r="ER247" s="250"/>
      <c r="ES247" s="250"/>
      <c r="ET247" s="140" t="s">
        <v>218</v>
      </c>
      <c r="EU247" s="250" t="s">
        <v>219</v>
      </c>
      <c r="EV247" s="250" t="s">
        <v>213</v>
      </c>
      <c r="EW247" s="140" t="s">
        <v>166</v>
      </c>
      <c r="EX247" s="140" t="s">
        <v>166</v>
      </c>
      <c r="EY247" s="140" t="s">
        <v>166</v>
      </c>
      <c r="EZ247" s="140" t="s">
        <v>166</v>
      </c>
      <c r="FA247" s="205">
        <v>6.5</v>
      </c>
      <c r="FB247" s="140" t="s">
        <v>220</v>
      </c>
      <c r="FC247" s="205">
        <v>1</v>
      </c>
      <c r="FD247" s="205">
        <v>1</v>
      </c>
      <c r="FE247" s="215">
        <v>7.7024001906488699</v>
      </c>
      <c r="FF247" s="140" t="s">
        <v>221</v>
      </c>
      <c r="FG247" s="215">
        <v>3.6622485498329915E-2</v>
      </c>
      <c r="FH247" s="215">
        <v>4.0720822603890205E-2</v>
      </c>
      <c r="FI247" s="140">
        <v>1171.6999534782599</v>
      </c>
      <c r="FK247" s="140" t="s">
        <v>166</v>
      </c>
      <c r="FL247" s="217">
        <f t="shared" si="222"/>
        <v>1171.6999534782599</v>
      </c>
      <c r="FM247" s="266">
        <v>277.37210143302013</v>
      </c>
      <c r="FN247" s="266">
        <v>202.99209309877187</v>
      </c>
      <c r="FO247" s="140" t="s">
        <v>222</v>
      </c>
      <c r="FP247" s="140" t="s">
        <v>223</v>
      </c>
      <c r="FQ247" s="217" t="s">
        <v>166</v>
      </c>
      <c r="FR247" s="217" t="s">
        <v>166</v>
      </c>
      <c r="FS247" s="217" t="s">
        <v>166</v>
      </c>
      <c r="FT247" s="217" t="s">
        <v>166</v>
      </c>
      <c r="FU247" s="217" t="s">
        <v>166</v>
      </c>
      <c r="FV247" s="217" t="s">
        <v>166</v>
      </c>
      <c r="FW247" s="217" t="s">
        <v>166</v>
      </c>
      <c r="FX247" s="217" t="s">
        <v>166</v>
      </c>
      <c r="FY247" s="217" t="s">
        <v>166</v>
      </c>
      <c r="FZ247" s="217" t="s">
        <v>166</v>
      </c>
      <c r="GA247" s="217" t="s">
        <v>166</v>
      </c>
      <c r="GB247" s="217" t="s">
        <v>166</v>
      </c>
      <c r="GC247" s="202" t="s">
        <v>548</v>
      </c>
    </row>
    <row r="248" spans="1:190" s="140" customFormat="1" ht="17">
      <c r="A248" s="140" t="s">
        <v>162</v>
      </c>
      <c r="B248" s="143" t="s">
        <v>163</v>
      </c>
      <c r="C248" s="140" t="s">
        <v>164</v>
      </c>
      <c r="D248" s="140" t="s">
        <v>165</v>
      </c>
      <c r="E248" s="140">
        <v>2020</v>
      </c>
      <c r="F248" s="140" t="s">
        <v>184</v>
      </c>
      <c r="G248" s="240">
        <v>40110.877990722656</v>
      </c>
      <c r="H248" s="140">
        <v>1</v>
      </c>
      <c r="I248" s="140">
        <v>1</v>
      </c>
      <c r="J248" s="241">
        <v>1196.8143879239001</v>
      </c>
      <c r="K248" s="266">
        <v>222.72336887845995</v>
      </c>
      <c r="L248" s="266">
        <v>199.63578505561418</v>
      </c>
      <c r="M248" s="140" t="b">
        <v>1</v>
      </c>
      <c r="N248" s="140">
        <v>1</v>
      </c>
      <c r="O248" s="302" t="s">
        <v>581</v>
      </c>
      <c r="P248" s="140" t="s">
        <v>166</v>
      </c>
      <c r="Q248" s="140" t="s">
        <v>166</v>
      </c>
      <c r="R248" s="140" t="s">
        <v>166</v>
      </c>
      <c r="S248" s="140" t="b">
        <v>1</v>
      </c>
      <c r="T248" s="140" t="b">
        <v>0</v>
      </c>
      <c r="U248" s="140" t="s">
        <v>166</v>
      </c>
      <c r="V248" s="140" t="b">
        <v>0</v>
      </c>
      <c r="W248" s="140" t="b">
        <v>0</v>
      </c>
      <c r="X248" s="140" t="s">
        <v>166</v>
      </c>
      <c r="Y248" s="202" t="s">
        <v>186</v>
      </c>
      <c r="Z248" s="140" t="s">
        <v>184</v>
      </c>
      <c r="AA248" s="284">
        <v>1260</v>
      </c>
      <c r="AB248" s="140" t="s">
        <v>187</v>
      </c>
      <c r="AC248" s="140">
        <v>6</v>
      </c>
      <c r="AD248" s="140">
        <v>5</v>
      </c>
      <c r="AE248" s="140">
        <v>7</v>
      </c>
      <c r="AF248" s="140">
        <v>8.5</v>
      </c>
      <c r="AG248" s="285">
        <v>44.277500000000003</v>
      </c>
      <c r="AH248" s="140">
        <v>44.277500000000003</v>
      </c>
      <c r="AI248" s="140" t="s">
        <v>533</v>
      </c>
      <c r="AJ248" s="140" t="s">
        <v>534</v>
      </c>
      <c r="AK248" s="286">
        <v>9.2656670000000005</v>
      </c>
      <c r="AL248" s="286">
        <v>-54.544032999999999</v>
      </c>
      <c r="AM248" s="286">
        <v>0.8</v>
      </c>
      <c r="AN248" s="287" t="s">
        <v>166</v>
      </c>
      <c r="AO248" s="287">
        <v>-2549</v>
      </c>
      <c r="AP248" s="287">
        <v>-2850</v>
      </c>
      <c r="AQ248" s="140" t="s">
        <v>535</v>
      </c>
      <c r="AR248" s="140" t="s">
        <v>511</v>
      </c>
      <c r="AS248" s="240">
        <v>40.110877990722656</v>
      </c>
      <c r="AT248" s="140" t="s">
        <v>536</v>
      </c>
      <c r="AU248" s="140">
        <v>1</v>
      </c>
      <c r="AV248" s="140">
        <v>1</v>
      </c>
      <c r="AW248" s="140" t="s">
        <v>255</v>
      </c>
      <c r="AX248" s="140" t="s">
        <v>537</v>
      </c>
      <c r="AY248" s="247" t="s">
        <v>538</v>
      </c>
      <c r="AZ248" s="140">
        <v>40.087566406249998</v>
      </c>
      <c r="BA248" s="140" t="s">
        <v>166</v>
      </c>
      <c r="BB248" s="140" t="s">
        <v>166</v>
      </c>
      <c r="BC248" s="140" t="s">
        <v>166</v>
      </c>
      <c r="BD248" s="140" t="s">
        <v>255</v>
      </c>
      <c r="BE248" s="140" t="s">
        <v>539</v>
      </c>
      <c r="BF248" s="140" t="s">
        <v>540</v>
      </c>
      <c r="BG248" s="245" t="s">
        <v>541</v>
      </c>
      <c r="BH248" s="140" t="s">
        <v>192</v>
      </c>
      <c r="BI248" s="277">
        <v>308</v>
      </c>
      <c r="BJ248" s="293">
        <v>3.6960000000000002</v>
      </c>
      <c r="BK248" s="140" t="s">
        <v>544</v>
      </c>
      <c r="BL248" s="140" t="s">
        <v>194</v>
      </c>
      <c r="BM248" s="140" t="s">
        <v>195</v>
      </c>
      <c r="BN248" s="140" t="s">
        <v>552</v>
      </c>
      <c r="BO248" s="140">
        <v>2</v>
      </c>
      <c r="BP248" s="270">
        <v>0.13977055823046489</v>
      </c>
      <c r="BQ248" s="294">
        <v>14.6850925764235</v>
      </c>
      <c r="BR248" s="140" t="s">
        <v>546</v>
      </c>
      <c r="BS248" s="140">
        <v>0.12786162236855819</v>
      </c>
      <c r="BT248" s="140">
        <v>1</v>
      </c>
      <c r="BU248" s="140" t="s">
        <v>197</v>
      </c>
      <c r="BV248" s="140" t="s">
        <v>166</v>
      </c>
      <c r="BW248" s="140">
        <v>0</v>
      </c>
      <c r="BX248" s="140" t="s">
        <v>197</v>
      </c>
      <c r="BY248" s="140" t="s">
        <v>166</v>
      </c>
      <c r="BZ248" s="140" t="s">
        <v>197</v>
      </c>
      <c r="CA248" s="140" t="s">
        <v>166</v>
      </c>
      <c r="CB248" s="210">
        <f t="shared" si="232"/>
        <v>14.6850925764235</v>
      </c>
      <c r="CC248" s="140" t="s">
        <v>196</v>
      </c>
      <c r="CD248" s="140">
        <f t="shared" si="233"/>
        <v>0.12786162236855819</v>
      </c>
      <c r="CE248" s="140" t="s">
        <v>199</v>
      </c>
      <c r="CF248" s="140" t="s">
        <v>166</v>
      </c>
      <c r="CG248" s="140" t="s">
        <v>474</v>
      </c>
      <c r="CH248" s="140" t="s">
        <v>166</v>
      </c>
      <c r="CI248" s="140" t="s">
        <v>166</v>
      </c>
      <c r="CJ248" s="210">
        <v>36.523858960859009</v>
      </c>
      <c r="CK248" s="140" t="s">
        <v>201</v>
      </c>
      <c r="CL248" s="140">
        <v>2</v>
      </c>
      <c r="CM248" s="140">
        <v>2</v>
      </c>
      <c r="CN248" s="140" t="s">
        <v>166</v>
      </c>
      <c r="CO248" s="294">
        <v>4.2620540789519401</v>
      </c>
      <c r="CP248" s="140" t="s">
        <v>546</v>
      </c>
      <c r="CQ248" s="140">
        <v>0.12786162236855819</v>
      </c>
      <c r="CR248" s="140">
        <v>0.12786162236855819</v>
      </c>
      <c r="CS248" s="291" t="s">
        <v>547</v>
      </c>
      <c r="CT248" s="250" t="s">
        <v>203</v>
      </c>
      <c r="CU248" s="250">
        <v>2.2000000000000002</v>
      </c>
      <c r="CV248" s="140" t="s">
        <v>204</v>
      </c>
      <c r="CW248" s="250" t="s">
        <v>166</v>
      </c>
      <c r="CX248" s="250" t="s">
        <v>166</v>
      </c>
      <c r="CY248" s="250" t="s">
        <v>166</v>
      </c>
      <c r="CZ248" s="250" t="s">
        <v>166</v>
      </c>
      <c r="DA248" s="292" t="s">
        <v>166</v>
      </c>
      <c r="DB248" s="250" t="s">
        <v>166</v>
      </c>
      <c r="DC248" s="250" t="s">
        <v>166</v>
      </c>
      <c r="DD248" s="250" t="s">
        <v>166</v>
      </c>
      <c r="DE248" s="250" t="s">
        <v>166</v>
      </c>
      <c r="DF248" s="250" t="s">
        <v>166</v>
      </c>
      <c r="DG248" s="250">
        <v>35</v>
      </c>
      <c r="DH248" s="250" t="s">
        <v>201</v>
      </c>
      <c r="DI248" s="250">
        <v>1</v>
      </c>
      <c r="DJ248" s="250" t="s">
        <v>206</v>
      </c>
      <c r="DK248" s="250">
        <v>17</v>
      </c>
      <c r="DL248" s="140" t="s">
        <v>166</v>
      </c>
      <c r="DM248" s="140" t="s">
        <v>166</v>
      </c>
      <c r="DN248" s="250" t="s">
        <v>207</v>
      </c>
      <c r="DO248" s="250">
        <v>38</v>
      </c>
      <c r="DP248" s="250" t="s">
        <v>208</v>
      </c>
      <c r="DQ248" s="250">
        <v>3</v>
      </c>
      <c r="DR248" s="250" t="s">
        <v>209</v>
      </c>
      <c r="DS248" s="140" t="s">
        <v>166</v>
      </c>
      <c r="DT248" s="140" t="s">
        <v>166</v>
      </c>
      <c r="DU248" s="140" t="s">
        <v>166</v>
      </c>
      <c r="DV248" s="140" t="s">
        <v>166</v>
      </c>
      <c r="DW248" s="250">
        <v>432.6</v>
      </c>
      <c r="DX248" s="140" t="s">
        <v>166</v>
      </c>
      <c r="DY248" s="140" t="s">
        <v>166</v>
      </c>
      <c r="DZ248" s="140" t="s">
        <v>210</v>
      </c>
      <c r="EA248" s="140" t="s">
        <v>211</v>
      </c>
      <c r="EB248" s="140" t="s">
        <v>212</v>
      </c>
      <c r="EC248" s="140" t="s">
        <v>166</v>
      </c>
      <c r="ED248" s="140" t="s">
        <v>213</v>
      </c>
      <c r="EE248" s="213" t="s">
        <v>214</v>
      </c>
      <c r="EF248" s="213" t="s">
        <v>214</v>
      </c>
      <c r="EG248" s="250">
        <v>1.0271999999999999</v>
      </c>
      <c r="EH248" s="250" t="s">
        <v>215</v>
      </c>
      <c r="EI248" s="250" t="s">
        <v>215</v>
      </c>
      <c r="EJ248" s="250" t="s">
        <v>216</v>
      </c>
      <c r="EK248" s="250" t="s">
        <v>215</v>
      </c>
      <c r="EL248" s="250" t="s">
        <v>215</v>
      </c>
      <c r="EM248" s="250" t="s">
        <v>217</v>
      </c>
      <c r="EN248" s="251" t="s">
        <v>214</v>
      </c>
      <c r="EO248" s="251" t="s">
        <v>214</v>
      </c>
      <c r="EP248" s="251" t="s">
        <v>214</v>
      </c>
      <c r="EQ248" s="251" t="s">
        <v>214</v>
      </c>
      <c r="ER248" s="250"/>
      <c r="ES248" s="250"/>
      <c r="ET248" s="140" t="s">
        <v>218</v>
      </c>
      <c r="EU248" s="250" t="s">
        <v>219</v>
      </c>
      <c r="EV248" s="250" t="s">
        <v>213</v>
      </c>
      <c r="EW248" s="140" t="s">
        <v>166</v>
      </c>
      <c r="EX248" s="140" t="s">
        <v>166</v>
      </c>
      <c r="EY248" s="140" t="s">
        <v>166</v>
      </c>
      <c r="EZ248" s="140" t="s">
        <v>166</v>
      </c>
      <c r="FA248" s="205">
        <v>6.5</v>
      </c>
      <c r="FB248" s="140" t="s">
        <v>220</v>
      </c>
      <c r="FC248" s="205">
        <v>1</v>
      </c>
      <c r="FD248" s="205">
        <v>1</v>
      </c>
      <c r="FE248" s="215">
        <v>7.6649129302627701</v>
      </c>
      <c r="FF248" s="140" t="s">
        <v>221</v>
      </c>
      <c r="FG248" s="215">
        <v>3.0758313513449487E-2</v>
      </c>
      <c r="FH248" s="215">
        <v>3.5605510493819992E-2</v>
      </c>
      <c r="FI248" s="140">
        <v>1196.8143879239001</v>
      </c>
      <c r="FK248" s="140" t="s">
        <v>166</v>
      </c>
      <c r="FL248" s="217">
        <f t="shared" si="222"/>
        <v>1196.8143879239001</v>
      </c>
      <c r="FM248" s="266">
        <v>222.72336887845995</v>
      </c>
      <c r="FN248" s="266">
        <v>199.63578505561418</v>
      </c>
      <c r="FO248" s="140" t="s">
        <v>222</v>
      </c>
      <c r="FP248" s="140" t="s">
        <v>223</v>
      </c>
      <c r="FQ248" s="217" t="s">
        <v>166</v>
      </c>
      <c r="FR248" s="217" t="s">
        <v>166</v>
      </c>
      <c r="FS248" s="217" t="s">
        <v>166</v>
      </c>
      <c r="FT248" s="217" t="s">
        <v>166</v>
      </c>
      <c r="FU248" s="217" t="s">
        <v>166</v>
      </c>
      <c r="FV248" s="217" t="s">
        <v>166</v>
      </c>
      <c r="FW248" s="217" t="s">
        <v>166</v>
      </c>
      <c r="FX248" s="217" t="s">
        <v>166</v>
      </c>
      <c r="FY248" s="217" t="s">
        <v>166</v>
      </c>
      <c r="FZ248" s="217" t="s">
        <v>166</v>
      </c>
      <c r="GA248" s="217" t="s">
        <v>166</v>
      </c>
      <c r="GB248" s="217" t="s">
        <v>166</v>
      </c>
      <c r="GC248" s="202" t="s">
        <v>548</v>
      </c>
    </row>
    <row r="249" spans="1:190" s="140" customFormat="1" ht="17">
      <c r="A249" s="140" t="s">
        <v>162</v>
      </c>
      <c r="B249" s="143" t="s">
        <v>163</v>
      </c>
      <c r="C249" s="140" t="s">
        <v>164</v>
      </c>
      <c r="D249" s="140" t="s">
        <v>165</v>
      </c>
      <c r="E249" s="140">
        <v>2020</v>
      </c>
      <c r="F249" s="140" t="s">
        <v>184</v>
      </c>
      <c r="G249" s="240">
        <v>40250.213623046875</v>
      </c>
      <c r="H249" s="140">
        <v>1</v>
      </c>
      <c r="I249" s="140">
        <v>1</v>
      </c>
      <c r="J249" s="241">
        <v>955.94343218027802</v>
      </c>
      <c r="K249" s="266">
        <v>177.78787763762216</v>
      </c>
      <c r="L249" s="266">
        <v>162.73097842373704</v>
      </c>
      <c r="M249" s="140" t="b">
        <v>1</v>
      </c>
      <c r="N249" s="140">
        <v>1</v>
      </c>
      <c r="O249" s="302" t="s">
        <v>581</v>
      </c>
      <c r="P249" s="140" t="s">
        <v>166</v>
      </c>
      <c r="Q249" s="140" t="s">
        <v>166</v>
      </c>
      <c r="R249" s="140" t="s">
        <v>166</v>
      </c>
      <c r="S249" s="140" t="b">
        <v>1</v>
      </c>
      <c r="T249" s="140" t="b">
        <v>0</v>
      </c>
      <c r="U249" s="140" t="s">
        <v>166</v>
      </c>
      <c r="V249" s="140" t="b">
        <v>0</v>
      </c>
      <c r="W249" s="140" t="b">
        <v>0</v>
      </c>
      <c r="X249" s="140" t="s">
        <v>166</v>
      </c>
      <c r="Y249" s="202" t="s">
        <v>186</v>
      </c>
      <c r="Z249" s="140" t="s">
        <v>184</v>
      </c>
      <c r="AA249" s="284">
        <v>1260</v>
      </c>
      <c r="AB249" s="140" t="s">
        <v>233</v>
      </c>
      <c r="AC249" s="140">
        <v>1</v>
      </c>
      <c r="AD249" s="140">
        <v>5</v>
      </c>
      <c r="AE249" s="140">
        <v>87</v>
      </c>
      <c r="AF249" s="140">
        <v>88.5</v>
      </c>
      <c r="AG249" s="285">
        <v>47.077500000000001</v>
      </c>
      <c r="AH249" s="140">
        <v>47.077500000000001</v>
      </c>
      <c r="AI249" s="140" t="s">
        <v>533</v>
      </c>
      <c r="AJ249" s="140" t="s">
        <v>534</v>
      </c>
      <c r="AK249" s="286">
        <v>9.2656670000000005</v>
      </c>
      <c r="AL249" s="286">
        <v>-54.544032999999999</v>
      </c>
      <c r="AM249" s="286">
        <v>0.8</v>
      </c>
      <c r="AN249" s="287" t="s">
        <v>166</v>
      </c>
      <c r="AO249" s="287">
        <v>-2549</v>
      </c>
      <c r="AP249" s="287">
        <v>-2850</v>
      </c>
      <c r="AQ249" s="140" t="s">
        <v>535</v>
      </c>
      <c r="AR249" s="140" t="s">
        <v>511</v>
      </c>
      <c r="AS249" s="240">
        <v>40.250213623046875</v>
      </c>
      <c r="AT249" s="140" t="s">
        <v>536</v>
      </c>
      <c r="AU249" s="140">
        <v>1</v>
      </c>
      <c r="AV249" s="140">
        <v>1</v>
      </c>
      <c r="AW249" s="140" t="s">
        <v>255</v>
      </c>
      <c r="AX249" s="140" t="s">
        <v>537</v>
      </c>
      <c r="AY249" s="247" t="s">
        <v>538</v>
      </c>
      <c r="AZ249" s="140">
        <v>40.23960546875</v>
      </c>
      <c r="BA249" s="140" t="s">
        <v>166</v>
      </c>
      <c r="BB249" s="140" t="s">
        <v>166</v>
      </c>
      <c r="BC249" s="140" t="s">
        <v>166</v>
      </c>
      <c r="BD249" s="140" t="s">
        <v>255</v>
      </c>
      <c r="BE249" s="140" t="s">
        <v>539</v>
      </c>
      <c r="BF249" s="140" t="s">
        <v>540</v>
      </c>
      <c r="BG249" s="245" t="s">
        <v>541</v>
      </c>
      <c r="BH249" s="140" t="s">
        <v>192</v>
      </c>
      <c r="BI249" s="277">
        <v>282</v>
      </c>
      <c r="BJ249" s="293">
        <v>4.548</v>
      </c>
      <c r="BK249" s="140" t="s">
        <v>544</v>
      </c>
      <c r="BL249" s="140" t="s">
        <v>194</v>
      </c>
      <c r="BM249" s="140" t="s">
        <v>195</v>
      </c>
      <c r="BN249" s="140" t="s">
        <v>553</v>
      </c>
      <c r="BO249" s="140">
        <v>2</v>
      </c>
      <c r="BP249" s="270">
        <v>6.7540019185246422E-2</v>
      </c>
      <c r="BQ249" s="294">
        <v>14.987611163078199</v>
      </c>
      <c r="BR249" s="140" t="s">
        <v>546</v>
      </c>
      <c r="BS249" s="140">
        <v>0.11086222177876169</v>
      </c>
      <c r="BT249" s="140">
        <v>1</v>
      </c>
      <c r="BU249" s="140" t="s">
        <v>197</v>
      </c>
      <c r="BV249" s="140" t="s">
        <v>166</v>
      </c>
      <c r="BW249" s="140">
        <v>0</v>
      </c>
      <c r="BX249" s="140" t="s">
        <v>197</v>
      </c>
      <c r="BY249" s="140" t="s">
        <v>166</v>
      </c>
      <c r="BZ249" s="140" t="s">
        <v>197</v>
      </c>
      <c r="CA249" s="140" t="s">
        <v>166</v>
      </c>
      <c r="CB249" s="210">
        <f t="shared" si="232"/>
        <v>14.987611163078199</v>
      </c>
      <c r="CC249" s="140" t="s">
        <v>196</v>
      </c>
      <c r="CD249" s="140">
        <f t="shared" si="233"/>
        <v>0.11086222177876169</v>
      </c>
      <c r="CE249" s="140" t="s">
        <v>199</v>
      </c>
      <c r="CF249" s="140" t="s">
        <v>166</v>
      </c>
      <c r="CG249" s="140" t="s">
        <v>474</v>
      </c>
      <c r="CH249" s="140" t="s">
        <v>166</v>
      </c>
      <c r="CI249" s="140" t="s">
        <v>166</v>
      </c>
      <c r="CJ249" s="210">
        <v>33.992803343841032</v>
      </c>
      <c r="CK249" s="140" t="s">
        <v>201</v>
      </c>
      <c r="CL249" s="140">
        <v>2</v>
      </c>
      <c r="CM249" s="140">
        <v>2</v>
      </c>
      <c r="CN249" s="140" t="s">
        <v>166</v>
      </c>
      <c r="CO249" s="294">
        <v>3.6954073926253899</v>
      </c>
      <c r="CP249" s="140" t="s">
        <v>546</v>
      </c>
      <c r="CQ249" s="140">
        <v>0.11086222177876169</v>
      </c>
      <c r="CR249" s="140">
        <v>0.11086222177876169</v>
      </c>
      <c r="CS249" s="291" t="s">
        <v>547</v>
      </c>
      <c r="CT249" s="250" t="s">
        <v>203</v>
      </c>
      <c r="CU249" s="250">
        <v>2.2000000000000002</v>
      </c>
      <c r="CV249" s="140" t="s">
        <v>204</v>
      </c>
      <c r="CW249" s="250" t="s">
        <v>166</v>
      </c>
      <c r="CX249" s="250" t="s">
        <v>166</v>
      </c>
      <c r="CY249" s="250" t="s">
        <v>166</v>
      </c>
      <c r="CZ249" s="250" t="s">
        <v>166</v>
      </c>
      <c r="DA249" s="292" t="s">
        <v>166</v>
      </c>
      <c r="DB249" s="250" t="s">
        <v>166</v>
      </c>
      <c r="DC249" s="250" t="s">
        <v>166</v>
      </c>
      <c r="DD249" s="250" t="s">
        <v>166</v>
      </c>
      <c r="DE249" s="250" t="s">
        <v>166</v>
      </c>
      <c r="DF249" s="250" t="s">
        <v>166</v>
      </c>
      <c r="DG249" s="250">
        <v>35</v>
      </c>
      <c r="DH249" s="250" t="s">
        <v>201</v>
      </c>
      <c r="DI249" s="250">
        <v>1</v>
      </c>
      <c r="DJ249" s="250" t="s">
        <v>206</v>
      </c>
      <c r="DK249" s="250">
        <v>17</v>
      </c>
      <c r="DL249" s="140" t="s">
        <v>166</v>
      </c>
      <c r="DM249" s="140" t="s">
        <v>166</v>
      </c>
      <c r="DN249" s="250" t="s">
        <v>207</v>
      </c>
      <c r="DO249" s="250">
        <v>38</v>
      </c>
      <c r="DP249" s="250" t="s">
        <v>208</v>
      </c>
      <c r="DQ249" s="250">
        <v>3</v>
      </c>
      <c r="DR249" s="250" t="s">
        <v>209</v>
      </c>
      <c r="DS249" s="140" t="s">
        <v>166</v>
      </c>
      <c r="DT249" s="140" t="s">
        <v>166</v>
      </c>
      <c r="DU249" s="140" t="s">
        <v>166</v>
      </c>
      <c r="DV249" s="140" t="s">
        <v>166</v>
      </c>
      <c r="DW249" s="250">
        <v>432.6</v>
      </c>
      <c r="DX249" s="140" t="s">
        <v>166</v>
      </c>
      <c r="DY249" s="140" t="s">
        <v>166</v>
      </c>
      <c r="DZ249" s="140" t="s">
        <v>210</v>
      </c>
      <c r="EA249" s="140" t="s">
        <v>211</v>
      </c>
      <c r="EB249" s="140" t="s">
        <v>212</v>
      </c>
      <c r="EC249" s="140" t="s">
        <v>166</v>
      </c>
      <c r="ED249" s="140" t="s">
        <v>213</v>
      </c>
      <c r="EE249" s="213" t="s">
        <v>214</v>
      </c>
      <c r="EF249" s="213" t="s">
        <v>214</v>
      </c>
      <c r="EG249" s="250">
        <v>1.0271999999999999</v>
      </c>
      <c r="EH249" s="250" t="s">
        <v>215</v>
      </c>
      <c r="EI249" s="250" t="s">
        <v>215</v>
      </c>
      <c r="EJ249" s="250" t="s">
        <v>216</v>
      </c>
      <c r="EK249" s="250" t="s">
        <v>215</v>
      </c>
      <c r="EL249" s="250" t="s">
        <v>215</v>
      </c>
      <c r="EM249" s="250" t="s">
        <v>217</v>
      </c>
      <c r="EN249" s="251" t="s">
        <v>214</v>
      </c>
      <c r="EO249" s="251" t="s">
        <v>214</v>
      </c>
      <c r="EP249" s="251" t="s">
        <v>214</v>
      </c>
      <c r="EQ249" s="251" t="s">
        <v>214</v>
      </c>
      <c r="ER249" s="250"/>
      <c r="ES249" s="250"/>
      <c r="ET249" s="140" t="s">
        <v>218</v>
      </c>
      <c r="EU249" s="250" t="s">
        <v>219</v>
      </c>
      <c r="EV249" s="250" t="s">
        <v>213</v>
      </c>
      <c r="EW249" s="140" t="s">
        <v>166</v>
      </c>
      <c r="EX249" s="140" t="s">
        <v>166</v>
      </c>
      <c r="EY249" s="140" t="s">
        <v>166</v>
      </c>
      <c r="EZ249" s="140" t="s">
        <v>166</v>
      </c>
      <c r="FA249" s="205">
        <v>6.5</v>
      </c>
      <c r="FB249" s="140" t="s">
        <v>220</v>
      </c>
      <c r="FC249" s="205">
        <v>1</v>
      </c>
      <c r="FD249" s="205">
        <v>1</v>
      </c>
      <c r="FE249" s="215">
        <v>7.7309451438764301</v>
      </c>
      <c r="FF249" s="140" t="s">
        <v>221</v>
      </c>
      <c r="FG249" s="215">
        <v>3.285843497171026E-2</v>
      </c>
      <c r="FH249" s="215">
        <v>3.2662751039850058E-2</v>
      </c>
      <c r="FI249" s="140">
        <v>955.94343218027802</v>
      </c>
      <c r="FK249" s="140" t="s">
        <v>166</v>
      </c>
      <c r="FL249" s="217">
        <f t="shared" si="222"/>
        <v>955.94343218027802</v>
      </c>
      <c r="FM249" s="266">
        <v>177.78787763762216</v>
      </c>
      <c r="FN249" s="266">
        <v>162.73097842373704</v>
      </c>
      <c r="FO249" s="140" t="s">
        <v>222</v>
      </c>
      <c r="FP249" s="140" t="s">
        <v>223</v>
      </c>
      <c r="FQ249" s="217" t="s">
        <v>166</v>
      </c>
      <c r="FR249" s="217" t="s">
        <v>166</v>
      </c>
      <c r="FS249" s="217" t="s">
        <v>166</v>
      </c>
      <c r="FT249" s="217" t="s">
        <v>166</v>
      </c>
      <c r="FU249" s="217" t="s">
        <v>166</v>
      </c>
      <c r="FV249" s="217" t="s">
        <v>166</v>
      </c>
      <c r="FW249" s="217" t="s">
        <v>166</v>
      </c>
      <c r="FX249" s="217" t="s">
        <v>166</v>
      </c>
      <c r="FY249" s="217" t="s">
        <v>166</v>
      </c>
      <c r="FZ249" s="217" t="s">
        <v>166</v>
      </c>
      <c r="GA249" s="217" t="s">
        <v>166</v>
      </c>
      <c r="GB249" s="217" t="s">
        <v>166</v>
      </c>
      <c r="GC249" s="202" t="s">
        <v>548</v>
      </c>
    </row>
    <row r="250" spans="1:190" s="140" customFormat="1" ht="17">
      <c r="A250" s="140" t="s">
        <v>162</v>
      </c>
      <c r="B250" s="143" t="s">
        <v>163</v>
      </c>
      <c r="C250" s="140" t="s">
        <v>164</v>
      </c>
      <c r="D250" s="140" t="s">
        <v>165</v>
      </c>
      <c r="E250" s="140">
        <v>2020</v>
      </c>
      <c r="F250" s="140" t="s">
        <v>184</v>
      </c>
      <c r="G250" s="240">
        <v>40394.073486328125</v>
      </c>
      <c r="H250" s="140">
        <v>1</v>
      </c>
      <c r="I250" s="140">
        <v>1</v>
      </c>
      <c r="J250" s="241">
        <v>935.00168523826994</v>
      </c>
      <c r="K250" s="266">
        <v>193.38061518882989</v>
      </c>
      <c r="L250" s="266">
        <v>148.79476625599295</v>
      </c>
      <c r="M250" s="140" t="b">
        <v>1</v>
      </c>
      <c r="N250" s="140">
        <v>1</v>
      </c>
      <c r="O250" s="302" t="s">
        <v>581</v>
      </c>
      <c r="P250" s="140" t="s">
        <v>166</v>
      </c>
      <c r="Q250" s="140" t="s">
        <v>166</v>
      </c>
      <c r="R250" s="140" t="s">
        <v>166</v>
      </c>
      <c r="S250" s="140" t="b">
        <v>1</v>
      </c>
      <c r="T250" s="140" t="b">
        <v>0</v>
      </c>
      <c r="U250" s="140" t="s">
        <v>166</v>
      </c>
      <c r="V250" s="140" t="b">
        <v>0</v>
      </c>
      <c r="W250" s="140" t="b">
        <v>0</v>
      </c>
      <c r="X250" s="140" t="s">
        <v>166</v>
      </c>
      <c r="Y250" s="202" t="s">
        <v>186</v>
      </c>
      <c r="Z250" s="140" t="s">
        <v>184</v>
      </c>
      <c r="AA250" s="284">
        <v>1260</v>
      </c>
      <c r="AB250" s="140" t="s">
        <v>187</v>
      </c>
      <c r="AC250" s="140">
        <v>7</v>
      </c>
      <c r="AD250" s="140">
        <v>1</v>
      </c>
      <c r="AE250" s="140">
        <v>127</v>
      </c>
      <c r="AF250" s="140">
        <v>128.5</v>
      </c>
      <c r="AG250" s="285">
        <v>48.777500000000003</v>
      </c>
      <c r="AH250" s="140">
        <v>49.277500000000003</v>
      </c>
      <c r="AI250" s="140" t="s">
        <v>533</v>
      </c>
      <c r="AJ250" s="140" t="s">
        <v>534</v>
      </c>
      <c r="AK250" s="286">
        <v>9.2656670000000005</v>
      </c>
      <c r="AL250" s="286">
        <v>-54.544032999999999</v>
      </c>
      <c r="AM250" s="286">
        <v>0.8</v>
      </c>
      <c r="AN250" s="287" t="s">
        <v>166</v>
      </c>
      <c r="AO250" s="287">
        <v>-2549</v>
      </c>
      <c r="AP250" s="287">
        <v>-2850</v>
      </c>
      <c r="AQ250" s="140" t="s">
        <v>535</v>
      </c>
      <c r="AR250" s="140" t="s">
        <v>511</v>
      </c>
      <c r="AS250" s="240">
        <v>40.394073486328125</v>
      </c>
      <c r="AT250" s="140" t="s">
        <v>536</v>
      </c>
      <c r="AU250" s="140">
        <v>1</v>
      </c>
      <c r="AV250" s="140">
        <v>1</v>
      </c>
      <c r="AW250" s="140" t="s">
        <v>255</v>
      </c>
      <c r="AX250" s="140" t="s">
        <v>537</v>
      </c>
      <c r="AY250" s="247" t="s">
        <v>538</v>
      </c>
      <c r="AZ250" s="140">
        <v>40.36436328125</v>
      </c>
      <c r="BA250" s="140" t="s">
        <v>166</v>
      </c>
      <c r="BB250" s="140" t="s">
        <v>166</v>
      </c>
      <c r="BC250" s="140" t="s">
        <v>166</v>
      </c>
      <c r="BD250" s="140" t="s">
        <v>255</v>
      </c>
      <c r="BE250" s="140" t="s">
        <v>539</v>
      </c>
      <c r="BF250" s="140" t="s">
        <v>540</v>
      </c>
      <c r="BG250" s="245" t="s">
        <v>541</v>
      </c>
      <c r="BH250" s="140" t="s">
        <v>192</v>
      </c>
      <c r="BI250" s="277">
        <v>239</v>
      </c>
      <c r="BJ250" s="293">
        <v>2.6560000000000001</v>
      </c>
      <c r="BK250" s="140" t="s">
        <v>544</v>
      </c>
      <c r="BL250" s="140" t="s">
        <v>194</v>
      </c>
      <c r="BM250" s="140" t="s">
        <v>195</v>
      </c>
      <c r="BN250" s="140" t="s">
        <v>554</v>
      </c>
      <c r="BO250" s="140">
        <v>2</v>
      </c>
      <c r="BP250" s="270">
        <v>0.12676279350029063</v>
      </c>
      <c r="BQ250" s="294">
        <v>15.076082614402701</v>
      </c>
      <c r="BR250" s="140" t="s">
        <v>546</v>
      </c>
      <c r="BS250" s="140">
        <v>0.1241166128187243</v>
      </c>
      <c r="BT250" s="140">
        <v>1</v>
      </c>
      <c r="BU250" s="140" t="s">
        <v>197</v>
      </c>
      <c r="BV250" s="140" t="s">
        <v>166</v>
      </c>
      <c r="BW250" s="140">
        <v>0</v>
      </c>
      <c r="BX250" s="140" t="s">
        <v>197</v>
      </c>
      <c r="BY250" s="140" t="s">
        <v>166</v>
      </c>
      <c r="BZ250" s="140" t="s">
        <v>197</v>
      </c>
      <c r="CA250" s="140" t="s">
        <v>166</v>
      </c>
      <c r="CB250" s="210">
        <f t="shared" si="232"/>
        <v>15.076082614402701</v>
      </c>
      <c r="CC250" s="140" t="s">
        <v>196</v>
      </c>
      <c r="CD250" s="140">
        <f t="shared" si="233"/>
        <v>0.1241166128187243</v>
      </c>
      <c r="CE250" s="140" t="s">
        <v>199</v>
      </c>
      <c r="CF250" s="140" t="s">
        <v>166</v>
      </c>
      <c r="CG250" s="140" t="s">
        <v>474</v>
      </c>
      <c r="CH250" s="140" t="s">
        <v>166</v>
      </c>
      <c r="CI250" s="140" t="s">
        <v>166</v>
      </c>
      <c r="CJ250" s="210">
        <v>35.996446884860298</v>
      </c>
      <c r="CK250" s="140" t="s">
        <v>201</v>
      </c>
      <c r="CL250" s="140">
        <v>2</v>
      </c>
      <c r="CM250" s="140">
        <v>2</v>
      </c>
      <c r="CN250" s="140" t="s">
        <v>166</v>
      </c>
      <c r="CO250" s="294">
        <v>4.13722042729081</v>
      </c>
      <c r="CP250" s="140" t="s">
        <v>546</v>
      </c>
      <c r="CQ250" s="140">
        <v>0.1241166128187243</v>
      </c>
      <c r="CR250" s="140">
        <v>0.1241166128187243</v>
      </c>
      <c r="CS250" s="291" t="s">
        <v>547</v>
      </c>
      <c r="CT250" s="250" t="s">
        <v>203</v>
      </c>
      <c r="CU250" s="250">
        <v>2.2000000000000002</v>
      </c>
      <c r="CV250" s="140" t="s">
        <v>204</v>
      </c>
      <c r="CW250" s="250" t="s">
        <v>166</v>
      </c>
      <c r="CX250" s="250" t="s">
        <v>166</v>
      </c>
      <c r="CY250" s="250" t="s">
        <v>166</v>
      </c>
      <c r="CZ250" s="250" t="s">
        <v>166</v>
      </c>
      <c r="DA250" s="292" t="s">
        <v>166</v>
      </c>
      <c r="DB250" s="250" t="s">
        <v>166</v>
      </c>
      <c r="DC250" s="250" t="s">
        <v>166</v>
      </c>
      <c r="DD250" s="250" t="s">
        <v>166</v>
      </c>
      <c r="DE250" s="250" t="s">
        <v>166</v>
      </c>
      <c r="DF250" s="250" t="s">
        <v>166</v>
      </c>
      <c r="DG250" s="250">
        <v>35</v>
      </c>
      <c r="DH250" s="250" t="s">
        <v>201</v>
      </c>
      <c r="DI250" s="250">
        <v>1</v>
      </c>
      <c r="DJ250" s="250" t="s">
        <v>206</v>
      </c>
      <c r="DK250" s="250">
        <v>17</v>
      </c>
      <c r="DL250" s="140" t="s">
        <v>166</v>
      </c>
      <c r="DM250" s="140" t="s">
        <v>166</v>
      </c>
      <c r="DN250" s="250" t="s">
        <v>207</v>
      </c>
      <c r="DO250" s="250">
        <v>38</v>
      </c>
      <c r="DP250" s="250" t="s">
        <v>208</v>
      </c>
      <c r="DQ250" s="250">
        <v>3</v>
      </c>
      <c r="DR250" s="250" t="s">
        <v>209</v>
      </c>
      <c r="DS250" s="140" t="s">
        <v>166</v>
      </c>
      <c r="DT250" s="140" t="s">
        <v>166</v>
      </c>
      <c r="DU250" s="140" t="s">
        <v>166</v>
      </c>
      <c r="DV250" s="140" t="s">
        <v>166</v>
      </c>
      <c r="DW250" s="250">
        <v>432.6</v>
      </c>
      <c r="DX250" s="140" t="s">
        <v>166</v>
      </c>
      <c r="DY250" s="140" t="s">
        <v>166</v>
      </c>
      <c r="DZ250" s="140" t="s">
        <v>210</v>
      </c>
      <c r="EA250" s="140" t="s">
        <v>211</v>
      </c>
      <c r="EB250" s="140" t="s">
        <v>212</v>
      </c>
      <c r="EC250" s="140" t="s">
        <v>166</v>
      </c>
      <c r="ED250" s="140" t="s">
        <v>213</v>
      </c>
      <c r="EE250" s="213" t="s">
        <v>214</v>
      </c>
      <c r="EF250" s="213" t="s">
        <v>214</v>
      </c>
      <c r="EG250" s="250">
        <v>1.0271999999999999</v>
      </c>
      <c r="EH250" s="250" t="s">
        <v>215</v>
      </c>
      <c r="EI250" s="250" t="s">
        <v>215</v>
      </c>
      <c r="EJ250" s="250" t="s">
        <v>216</v>
      </c>
      <c r="EK250" s="250" t="s">
        <v>215</v>
      </c>
      <c r="EL250" s="250" t="s">
        <v>215</v>
      </c>
      <c r="EM250" s="250" t="s">
        <v>217</v>
      </c>
      <c r="EN250" s="251" t="s">
        <v>214</v>
      </c>
      <c r="EO250" s="251" t="s">
        <v>214</v>
      </c>
      <c r="EP250" s="251" t="s">
        <v>214</v>
      </c>
      <c r="EQ250" s="251" t="s">
        <v>214</v>
      </c>
      <c r="ER250" s="250"/>
      <c r="ES250" s="250"/>
      <c r="ET250" s="140" t="s">
        <v>218</v>
      </c>
      <c r="EU250" s="250" t="s">
        <v>219</v>
      </c>
      <c r="EV250" s="250" t="s">
        <v>213</v>
      </c>
      <c r="EW250" s="140" t="s">
        <v>166</v>
      </c>
      <c r="EX250" s="140" t="s">
        <v>166</v>
      </c>
      <c r="EY250" s="140" t="s">
        <v>166</v>
      </c>
      <c r="EZ250" s="140" t="s">
        <v>166</v>
      </c>
      <c r="FA250" s="205">
        <v>6.5</v>
      </c>
      <c r="FB250" s="140" t="s">
        <v>220</v>
      </c>
      <c r="FC250" s="205">
        <v>1</v>
      </c>
      <c r="FD250" s="205">
        <v>1</v>
      </c>
      <c r="FE250" s="215">
        <v>7.7209559387531002</v>
      </c>
      <c r="FF250" s="140" t="s">
        <v>221</v>
      </c>
      <c r="FG250" s="215">
        <v>3.5423110351509912E-2</v>
      </c>
      <c r="FH250" s="215">
        <v>3.4775207539039954E-2</v>
      </c>
      <c r="FI250" s="140">
        <v>935.00168523826994</v>
      </c>
      <c r="FK250" s="140" t="s">
        <v>166</v>
      </c>
      <c r="FL250" s="217">
        <f t="shared" si="222"/>
        <v>935.00168523826994</v>
      </c>
      <c r="FM250" s="266">
        <v>193.38061518882989</v>
      </c>
      <c r="FN250" s="266">
        <v>148.79476625599295</v>
      </c>
      <c r="FO250" s="140" t="s">
        <v>222</v>
      </c>
      <c r="FP250" s="140" t="s">
        <v>223</v>
      </c>
      <c r="FQ250" s="217" t="s">
        <v>166</v>
      </c>
      <c r="FR250" s="217" t="s">
        <v>166</v>
      </c>
      <c r="FS250" s="217" t="s">
        <v>166</v>
      </c>
      <c r="FT250" s="217" t="s">
        <v>166</v>
      </c>
      <c r="FU250" s="217" t="s">
        <v>166</v>
      </c>
      <c r="FV250" s="217" t="s">
        <v>166</v>
      </c>
      <c r="FW250" s="217" t="s">
        <v>166</v>
      </c>
      <c r="FX250" s="217" t="s">
        <v>166</v>
      </c>
      <c r="FY250" s="217" t="s">
        <v>166</v>
      </c>
      <c r="FZ250" s="217" t="s">
        <v>166</v>
      </c>
      <c r="GA250" s="217" t="s">
        <v>166</v>
      </c>
      <c r="GB250" s="217" t="s">
        <v>166</v>
      </c>
      <c r="GC250" s="202" t="s">
        <v>548</v>
      </c>
    </row>
    <row r="251" spans="1:190" s="140" customFormat="1" ht="17">
      <c r="A251" s="140" t="s">
        <v>162</v>
      </c>
      <c r="B251" s="143" t="s">
        <v>163</v>
      </c>
      <c r="C251" s="140" t="s">
        <v>164</v>
      </c>
      <c r="D251" s="140" t="s">
        <v>165</v>
      </c>
      <c r="E251" s="140">
        <v>2020</v>
      </c>
      <c r="F251" s="140" t="s">
        <v>184</v>
      </c>
      <c r="G251" s="240">
        <v>40517.196655273438</v>
      </c>
      <c r="H251" s="140">
        <v>1</v>
      </c>
      <c r="I251" s="140">
        <v>1</v>
      </c>
      <c r="J251" s="241">
        <v>937.44745374749209</v>
      </c>
      <c r="K251" s="266">
        <v>184.3957241298981</v>
      </c>
      <c r="L251" s="266">
        <v>156.92762585571018</v>
      </c>
      <c r="M251" s="140" t="b">
        <v>1</v>
      </c>
      <c r="N251" s="140">
        <v>1</v>
      </c>
      <c r="O251" s="302" t="s">
        <v>581</v>
      </c>
      <c r="P251" s="140" t="s">
        <v>166</v>
      </c>
      <c r="Q251" s="140" t="s">
        <v>166</v>
      </c>
      <c r="R251" s="140" t="s">
        <v>166</v>
      </c>
      <c r="S251" s="140" t="b">
        <v>1</v>
      </c>
      <c r="T251" s="140" t="b">
        <v>0</v>
      </c>
      <c r="U251" s="140" t="s">
        <v>166</v>
      </c>
      <c r="V251" s="140" t="b">
        <v>0</v>
      </c>
      <c r="W251" s="140" t="b">
        <v>0</v>
      </c>
      <c r="X251" s="140" t="s">
        <v>166</v>
      </c>
      <c r="Y251" s="202" t="s">
        <v>186</v>
      </c>
      <c r="Z251" s="140" t="s">
        <v>184</v>
      </c>
      <c r="AA251" s="284">
        <v>1260</v>
      </c>
      <c r="AB251" s="140" t="s">
        <v>187</v>
      </c>
      <c r="AC251" s="140">
        <v>7</v>
      </c>
      <c r="AD251" s="140">
        <v>3</v>
      </c>
      <c r="AE251" s="140">
        <v>57</v>
      </c>
      <c r="AF251" s="140">
        <v>58.5</v>
      </c>
      <c r="AG251" s="285">
        <v>51.077500000000001</v>
      </c>
      <c r="AH251" s="140">
        <v>51.577500000000001</v>
      </c>
      <c r="AI251" s="140" t="s">
        <v>533</v>
      </c>
      <c r="AJ251" s="140" t="s">
        <v>534</v>
      </c>
      <c r="AK251" s="286">
        <v>9.2656670000000005</v>
      </c>
      <c r="AL251" s="286">
        <v>-54.544032999999999</v>
      </c>
      <c r="AM251" s="286">
        <v>0.8</v>
      </c>
      <c r="AN251" s="287" t="s">
        <v>166</v>
      </c>
      <c r="AO251" s="287">
        <v>-2549</v>
      </c>
      <c r="AP251" s="287">
        <v>-2850</v>
      </c>
      <c r="AQ251" s="140" t="s">
        <v>535</v>
      </c>
      <c r="AR251" s="140" t="s">
        <v>511</v>
      </c>
      <c r="AS251" s="240">
        <v>40.517196655273438</v>
      </c>
      <c r="AT251" s="140" t="s">
        <v>536</v>
      </c>
      <c r="AU251" s="140">
        <v>1</v>
      </c>
      <c r="AV251" s="140">
        <v>1</v>
      </c>
      <c r="AW251" s="140" t="s">
        <v>255</v>
      </c>
      <c r="AX251" s="140" t="s">
        <v>537</v>
      </c>
      <c r="AY251" s="247" t="s">
        <v>538</v>
      </c>
      <c r="AZ251" s="140">
        <v>40.484824218749999</v>
      </c>
      <c r="BA251" s="140" t="s">
        <v>166</v>
      </c>
      <c r="BB251" s="140" t="s">
        <v>166</v>
      </c>
      <c r="BC251" s="140" t="s">
        <v>166</v>
      </c>
      <c r="BD251" s="140" t="s">
        <v>255</v>
      </c>
      <c r="BE251" s="140" t="s">
        <v>539</v>
      </c>
      <c r="BF251" s="140" t="s">
        <v>540</v>
      </c>
      <c r="BG251" s="245" t="s">
        <v>541</v>
      </c>
      <c r="BH251" s="140" t="s">
        <v>192</v>
      </c>
      <c r="BI251" s="277">
        <v>311</v>
      </c>
      <c r="BJ251" s="293">
        <v>4.2889999999999997</v>
      </c>
      <c r="BK251" s="140" t="s">
        <v>544</v>
      </c>
      <c r="BL251" s="140" t="s">
        <v>194</v>
      </c>
      <c r="BM251" s="140" t="s">
        <v>195</v>
      </c>
      <c r="BN251" s="140" t="s">
        <v>555</v>
      </c>
      <c r="BO251" s="140">
        <v>2</v>
      </c>
      <c r="BP251" s="270">
        <v>5.077347405562093E-2</v>
      </c>
      <c r="BQ251" s="294">
        <v>15.033190335811099</v>
      </c>
      <c r="BR251" s="140" t="s">
        <v>546</v>
      </c>
      <c r="BS251" s="140">
        <v>0.1139984937789237</v>
      </c>
      <c r="BT251" s="140">
        <v>1</v>
      </c>
      <c r="BU251" s="140" t="s">
        <v>197</v>
      </c>
      <c r="BV251" s="140" t="s">
        <v>166</v>
      </c>
      <c r="BW251" s="140">
        <v>0</v>
      </c>
      <c r="BX251" s="140" t="s">
        <v>197</v>
      </c>
      <c r="BY251" s="140" t="s">
        <v>166</v>
      </c>
      <c r="BZ251" s="140" t="s">
        <v>197</v>
      </c>
      <c r="CA251" s="140" t="s">
        <v>166</v>
      </c>
      <c r="CB251" s="210">
        <f t="shared" si="232"/>
        <v>15.033190335811099</v>
      </c>
      <c r="CC251" s="140" t="s">
        <v>196</v>
      </c>
      <c r="CD251" s="140">
        <f t="shared" si="233"/>
        <v>0.1139984937789237</v>
      </c>
      <c r="CE251" s="140" t="s">
        <v>199</v>
      </c>
      <c r="CF251" s="140" t="s">
        <v>166</v>
      </c>
      <c r="CG251" s="140" t="s">
        <v>474</v>
      </c>
      <c r="CH251" s="140" t="s">
        <v>166</v>
      </c>
      <c r="CI251" s="140" t="s">
        <v>166</v>
      </c>
      <c r="CJ251" s="210">
        <v>34.487747825222691</v>
      </c>
      <c r="CK251" s="140" t="s">
        <v>201</v>
      </c>
      <c r="CL251" s="140">
        <v>2</v>
      </c>
      <c r="CM251" s="140">
        <v>2</v>
      </c>
      <c r="CN251" s="140" t="s">
        <v>166</v>
      </c>
      <c r="CO251" s="294">
        <v>3.7999497926307901</v>
      </c>
      <c r="CP251" s="140" t="s">
        <v>546</v>
      </c>
      <c r="CQ251" s="140">
        <v>0.1139984937789237</v>
      </c>
      <c r="CR251" s="140">
        <v>0.1139984937789237</v>
      </c>
      <c r="CS251" s="291" t="s">
        <v>547</v>
      </c>
      <c r="CT251" s="250" t="s">
        <v>203</v>
      </c>
      <c r="CU251" s="250">
        <v>2.2000000000000002</v>
      </c>
      <c r="CV251" s="140" t="s">
        <v>204</v>
      </c>
      <c r="CW251" s="250" t="s">
        <v>166</v>
      </c>
      <c r="CX251" s="250" t="s">
        <v>166</v>
      </c>
      <c r="CY251" s="250" t="s">
        <v>166</v>
      </c>
      <c r="CZ251" s="250" t="s">
        <v>166</v>
      </c>
      <c r="DA251" s="292" t="s">
        <v>166</v>
      </c>
      <c r="DB251" s="250" t="s">
        <v>166</v>
      </c>
      <c r="DC251" s="250" t="s">
        <v>166</v>
      </c>
      <c r="DD251" s="250" t="s">
        <v>166</v>
      </c>
      <c r="DE251" s="250" t="s">
        <v>166</v>
      </c>
      <c r="DF251" s="250" t="s">
        <v>166</v>
      </c>
      <c r="DG251" s="250">
        <v>35</v>
      </c>
      <c r="DH251" s="250" t="s">
        <v>201</v>
      </c>
      <c r="DI251" s="250">
        <v>1</v>
      </c>
      <c r="DJ251" s="250" t="s">
        <v>206</v>
      </c>
      <c r="DK251" s="250">
        <v>17</v>
      </c>
      <c r="DL251" s="140" t="s">
        <v>166</v>
      </c>
      <c r="DM251" s="140" t="s">
        <v>166</v>
      </c>
      <c r="DN251" s="250" t="s">
        <v>207</v>
      </c>
      <c r="DO251" s="250">
        <v>38</v>
      </c>
      <c r="DP251" s="250" t="s">
        <v>208</v>
      </c>
      <c r="DQ251" s="250">
        <v>3</v>
      </c>
      <c r="DR251" s="250" t="s">
        <v>209</v>
      </c>
      <c r="DS251" s="140" t="s">
        <v>166</v>
      </c>
      <c r="DT251" s="140" t="s">
        <v>166</v>
      </c>
      <c r="DU251" s="140" t="s">
        <v>166</v>
      </c>
      <c r="DV251" s="140" t="s">
        <v>166</v>
      </c>
      <c r="DW251" s="250">
        <v>432.6</v>
      </c>
      <c r="DX251" s="140" t="s">
        <v>166</v>
      </c>
      <c r="DY251" s="140" t="s">
        <v>166</v>
      </c>
      <c r="DZ251" s="140" t="s">
        <v>210</v>
      </c>
      <c r="EA251" s="140" t="s">
        <v>211</v>
      </c>
      <c r="EB251" s="140" t="s">
        <v>212</v>
      </c>
      <c r="EC251" s="140" t="s">
        <v>166</v>
      </c>
      <c r="ED251" s="140" t="s">
        <v>213</v>
      </c>
      <c r="EE251" s="213" t="s">
        <v>214</v>
      </c>
      <c r="EF251" s="213" t="s">
        <v>214</v>
      </c>
      <c r="EG251" s="250">
        <v>1.0271999999999999</v>
      </c>
      <c r="EH251" s="250" t="s">
        <v>215</v>
      </c>
      <c r="EI251" s="250" t="s">
        <v>215</v>
      </c>
      <c r="EJ251" s="250" t="s">
        <v>216</v>
      </c>
      <c r="EK251" s="250" t="s">
        <v>215</v>
      </c>
      <c r="EL251" s="250" t="s">
        <v>215</v>
      </c>
      <c r="EM251" s="250" t="s">
        <v>217</v>
      </c>
      <c r="EN251" s="251" t="s">
        <v>214</v>
      </c>
      <c r="EO251" s="251" t="s">
        <v>214</v>
      </c>
      <c r="EP251" s="251" t="s">
        <v>214</v>
      </c>
      <c r="EQ251" s="251" t="s">
        <v>214</v>
      </c>
      <c r="ER251" s="250"/>
      <c r="ES251" s="250"/>
      <c r="ET251" s="140" t="s">
        <v>218</v>
      </c>
      <c r="EU251" s="250" t="s">
        <v>219</v>
      </c>
      <c r="EV251" s="250" t="s">
        <v>213</v>
      </c>
      <c r="EW251" s="140" t="s">
        <v>166</v>
      </c>
      <c r="EX251" s="140" t="s">
        <v>166</v>
      </c>
      <c r="EY251" s="140" t="s">
        <v>166</v>
      </c>
      <c r="EZ251" s="140" t="s">
        <v>166</v>
      </c>
      <c r="FA251" s="205">
        <v>6.5</v>
      </c>
      <c r="FB251" s="140" t="s">
        <v>220</v>
      </c>
      <c r="FC251" s="205">
        <v>1</v>
      </c>
      <c r="FD251" s="205">
        <v>1</v>
      </c>
      <c r="FE251" s="215">
        <v>7.7319941841951101</v>
      </c>
      <c r="FF251" s="140" t="s">
        <v>221</v>
      </c>
      <c r="FG251" s="215">
        <v>3.2494496981789744E-2</v>
      </c>
      <c r="FH251" s="215">
        <v>3.3020529022230072E-2</v>
      </c>
      <c r="FI251" s="140">
        <v>937.44745374749209</v>
      </c>
      <c r="FK251" s="140" t="s">
        <v>166</v>
      </c>
      <c r="FL251" s="217">
        <f t="shared" si="222"/>
        <v>937.44745374749209</v>
      </c>
      <c r="FM251" s="266">
        <v>184.3957241298981</v>
      </c>
      <c r="FN251" s="266">
        <v>156.92762585571018</v>
      </c>
      <c r="FO251" s="140" t="s">
        <v>222</v>
      </c>
      <c r="FP251" s="140" t="s">
        <v>223</v>
      </c>
      <c r="FQ251" s="217" t="s">
        <v>166</v>
      </c>
      <c r="FR251" s="217" t="s">
        <v>166</v>
      </c>
      <c r="FS251" s="217" t="s">
        <v>166</v>
      </c>
      <c r="FT251" s="217" t="s">
        <v>166</v>
      </c>
      <c r="FU251" s="217" t="s">
        <v>166</v>
      </c>
      <c r="FV251" s="217" t="s">
        <v>166</v>
      </c>
      <c r="FW251" s="217" t="s">
        <v>166</v>
      </c>
      <c r="FX251" s="217" t="s">
        <v>166</v>
      </c>
      <c r="FY251" s="217" t="s">
        <v>166</v>
      </c>
      <c r="FZ251" s="217" t="s">
        <v>166</v>
      </c>
      <c r="GA251" s="217" t="s">
        <v>166</v>
      </c>
      <c r="GB251" s="217" t="s">
        <v>166</v>
      </c>
      <c r="GC251" s="202" t="s">
        <v>548</v>
      </c>
    </row>
    <row r="252" spans="1:190" s="140" customFormat="1" ht="17">
      <c r="A252" s="140" t="s">
        <v>162</v>
      </c>
      <c r="B252" s="143" t="s">
        <v>163</v>
      </c>
      <c r="C252" s="140" t="s">
        <v>164</v>
      </c>
      <c r="D252" s="140" t="s">
        <v>165</v>
      </c>
      <c r="E252" s="140">
        <v>2020</v>
      </c>
      <c r="F252" s="140" t="s">
        <v>184</v>
      </c>
      <c r="G252" s="240">
        <v>40648.937225341797</v>
      </c>
      <c r="H252" s="140">
        <v>1</v>
      </c>
      <c r="I252" s="140">
        <v>1</v>
      </c>
      <c r="J252" s="241">
        <v>894.24307741106702</v>
      </c>
      <c r="K252" s="266">
        <v>186.00090935225296</v>
      </c>
      <c r="L252" s="266">
        <v>148.56323211100801</v>
      </c>
      <c r="M252" s="140" t="b">
        <v>1</v>
      </c>
      <c r="N252" s="140">
        <v>1</v>
      </c>
      <c r="O252" s="302" t="s">
        <v>581</v>
      </c>
      <c r="P252" s="140" t="s">
        <v>166</v>
      </c>
      <c r="Q252" s="140" t="s">
        <v>166</v>
      </c>
      <c r="R252" s="140" t="s">
        <v>166</v>
      </c>
      <c r="S252" s="140" t="b">
        <v>1</v>
      </c>
      <c r="T252" s="140" t="b">
        <v>0</v>
      </c>
      <c r="U252" s="140" t="s">
        <v>166</v>
      </c>
      <c r="V252" s="140" t="b">
        <v>0</v>
      </c>
      <c r="W252" s="140" t="b">
        <v>0</v>
      </c>
      <c r="X252" s="140" t="s">
        <v>166</v>
      </c>
      <c r="Y252" s="202" t="s">
        <v>186</v>
      </c>
      <c r="Z252" s="140" t="s">
        <v>184</v>
      </c>
      <c r="AA252" s="284">
        <v>1260</v>
      </c>
      <c r="AB252" s="140" t="s">
        <v>187</v>
      </c>
      <c r="AC252" s="140">
        <v>7</v>
      </c>
      <c r="AD252" s="140">
        <v>4</v>
      </c>
      <c r="AE252" s="140">
        <v>37</v>
      </c>
      <c r="AF252" s="140">
        <v>38.5</v>
      </c>
      <c r="AG252" s="285">
        <v>52.377499999999998</v>
      </c>
      <c r="AH252" s="140">
        <v>52.877499999999998</v>
      </c>
      <c r="AI252" s="140" t="s">
        <v>533</v>
      </c>
      <c r="AJ252" s="140" t="s">
        <v>534</v>
      </c>
      <c r="AK252" s="286">
        <v>9.2656670000000005</v>
      </c>
      <c r="AL252" s="286">
        <v>-54.544032999999999</v>
      </c>
      <c r="AM252" s="286">
        <v>0.8</v>
      </c>
      <c r="AN252" s="287" t="s">
        <v>166</v>
      </c>
      <c r="AO252" s="287">
        <v>-2549</v>
      </c>
      <c r="AP252" s="287">
        <v>-2850</v>
      </c>
      <c r="AQ252" s="140" t="s">
        <v>535</v>
      </c>
      <c r="AR252" s="140" t="s">
        <v>511</v>
      </c>
      <c r="AS252" s="240">
        <v>40.648937225341797</v>
      </c>
      <c r="AT252" s="140" t="s">
        <v>536</v>
      </c>
      <c r="AU252" s="140">
        <v>1</v>
      </c>
      <c r="AV252" s="140">
        <v>1</v>
      </c>
      <c r="AW252" s="140" t="s">
        <v>255</v>
      </c>
      <c r="AX252" s="140" t="s">
        <v>537</v>
      </c>
      <c r="AY252" s="247" t="s">
        <v>538</v>
      </c>
      <c r="AZ252" s="140">
        <v>40.555140625</v>
      </c>
      <c r="BA252" s="140" t="s">
        <v>166</v>
      </c>
      <c r="BB252" s="140" t="s">
        <v>166</v>
      </c>
      <c r="BC252" s="140" t="s">
        <v>166</v>
      </c>
      <c r="BD252" s="140" t="s">
        <v>255</v>
      </c>
      <c r="BE252" s="140" t="s">
        <v>539</v>
      </c>
      <c r="BF252" s="140" t="s">
        <v>540</v>
      </c>
      <c r="BG252" s="245" t="s">
        <v>541</v>
      </c>
      <c r="BH252" s="140" t="s">
        <v>192</v>
      </c>
      <c r="BI252" s="277">
        <v>208</v>
      </c>
      <c r="BJ252" s="293">
        <v>2.4929999999999999</v>
      </c>
      <c r="BK252" s="140" t="s">
        <v>544</v>
      </c>
      <c r="BL252" s="140" t="s">
        <v>194</v>
      </c>
      <c r="BM252" s="140" t="s">
        <v>195</v>
      </c>
      <c r="BN252" s="140" t="s">
        <v>556</v>
      </c>
      <c r="BO252" s="140">
        <v>2</v>
      </c>
      <c r="BP252" s="270">
        <v>0.36365173896322561</v>
      </c>
      <c r="BQ252" s="294">
        <v>15.0891171811212</v>
      </c>
      <c r="BR252" s="140" t="s">
        <v>546</v>
      </c>
      <c r="BS252" s="140">
        <v>0.11222838504297449</v>
      </c>
      <c r="BT252" s="140">
        <v>1</v>
      </c>
      <c r="BU252" s="140" t="s">
        <v>197</v>
      </c>
      <c r="BV252" s="140" t="s">
        <v>166</v>
      </c>
      <c r="BW252" s="140">
        <v>0</v>
      </c>
      <c r="BX252" s="140" t="s">
        <v>197</v>
      </c>
      <c r="BY252" s="140" t="s">
        <v>166</v>
      </c>
      <c r="BZ252" s="140" t="s">
        <v>197</v>
      </c>
      <c r="CA252" s="140" t="s">
        <v>166</v>
      </c>
      <c r="CB252" s="210">
        <f t="shared" si="232"/>
        <v>15.0891171811212</v>
      </c>
      <c r="CC252" s="140" t="s">
        <v>196</v>
      </c>
      <c r="CD252" s="140">
        <f t="shared" si="233"/>
        <v>0.11222838504297449</v>
      </c>
      <c r="CE252" s="140" t="s">
        <v>199</v>
      </c>
      <c r="CF252" s="140" t="s">
        <v>166</v>
      </c>
      <c r="CG252" s="140" t="s">
        <v>474</v>
      </c>
      <c r="CH252" s="140" t="s">
        <v>166</v>
      </c>
      <c r="CI252" s="140" t="s">
        <v>166</v>
      </c>
      <c r="CJ252" s="210">
        <v>34.21010094732442</v>
      </c>
      <c r="CK252" s="140" t="s">
        <v>201</v>
      </c>
      <c r="CL252" s="140">
        <v>2</v>
      </c>
      <c r="CM252" s="140">
        <v>2</v>
      </c>
      <c r="CN252" s="140" t="s">
        <v>166</v>
      </c>
      <c r="CO252" s="294">
        <v>3.7409461680991498</v>
      </c>
      <c r="CP252" s="140" t="s">
        <v>546</v>
      </c>
      <c r="CQ252" s="140">
        <v>0.11222838504297449</v>
      </c>
      <c r="CR252" s="140">
        <v>0.11222838504297449</v>
      </c>
      <c r="CS252" s="291" t="s">
        <v>547</v>
      </c>
      <c r="CT252" s="250" t="s">
        <v>203</v>
      </c>
      <c r="CU252" s="250">
        <v>2.2000000000000002</v>
      </c>
      <c r="CV252" s="140" t="s">
        <v>204</v>
      </c>
      <c r="CW252" s="250" t="s">
        <v>166</v>
      </c>
      <c r="CX252" s="250" t="s">
        <v>166</v>
      </c>
      <c r="CY252" s="250" t="s">
        <v>166</v>
      </c>
      <c r="CZ252" s="250" t="s">
        <v>166</v>
      </c>
      <c r="DA252" s="292" t="s">
        <v>166</v>
      </c>
      <c r="DB252" s="250" t="s">
        <v>166</v>
      </c>
      <c r="DC252" s="250" t="s">
        <v>166</v>
      </c>
      <c r="DD252" s="250" t="s">
        <v>166</v>
      </c>
      <c r="DE252" s="250" t="s">
        <v>166</v>
      </c>
      <c r="DF252" s="250" t="s">
        <v>166</v>
      </c>
      <c r="DG252" s="250">
        <v>35</v>
      </c>
      <c r="DH252" s="250" t="s">
        <v>201</v>
      </c>
      <c r="DI252" s="250">
        <v>1</v>
      </c>
      <c r="DJ252" s="250" t="s">
        <v>206</v>
      </c>
      <c r="DK252" s="250">
        <v>17</v>
      </c>
      <c r="DL252" s="140" t="s">
        <v>166</v>
      </c>
      <c r="DM252" s="140" t="s">
        <v>166</v>
      </c>
      <c r="DN252" s="250" t="s">
        <v>207</v>
      </c>
      <c r="DO252" s="250">
        <v>38</v>
      </c>
      <c r="DP252" s="250" t="s">
        <v>208</v>
      </c>
      <c r="DQ252" s="250">
        <v>3</v>
      </c>
      <c r="DR252" s="250" t="s">
        <v>209</v>
      </c>
      <c r="DS252" s="140" t="s">
        <v>166</v>
      </c>
      <c r="DT252" s="140" t="s">
        <v>166</v>
      </c>
      <c r="DU252" s="140" t="s">
        <v>166</v>
      </c>
      <c r="DV252" s="140" t="s">
        <v>166</v>
      </c>
      <c r="DW252" s="250">
        <v>432.6</v>
      </c>
      <c r="DX252" s="140" t="s">
        <v>166</v>
      </c>
      <c r="DY252" s="140" t="s">
        <v>166</v>
      </c>
      <c r="DZ252" s="140" t="s">
        <v>210</v>
      </c>
      <c r="EA252" s="140" t="s">
        <v>211</v>
      </c>
      <c r="EB252" s="140" t="s">
        <v>212</v>
      </c>
      <c r="EC252" s="140" t="s">
        <v>166</v>
      </c>
      <c r="ED252" s="140" t="s">
        <v>213</v>
      </c>
      <c r="EE252" s="213" t="s">
        <v>214</v>
      </c>
      <c r="EF252" s="213" t="s">
        <v>214</v>
      </c>
      <c r="EG252" s="250">
        <v>1.0271999999999999</v>
      </c>
      <c r="EH252" s="250" t="s">
        <v>215</v>
      </c>
      <c r="EI252" s="250" t="s">
        <v>215</v>
      </c>
      <c r="EJ252" s="250" t="s">
        <v>216</v>
      </c>
      <c r="EK252" s="250" t="s">
        <v>215</v>
      </c>
      <c r="EL252" s="250" t="s">
        <v>215</v>
      </c>
      <c r="EM252" s="250" t="s">
        <v>217</v>
      </c>
      <c r="EN252" s="251" t="s">
        <v>214</v>
      </c>
      <c r="EO252" s="251" t="s">
        <v>214</v>
      </c>
      <c r="EP252" s="251" t="s">
        <v>214</v>
      </c>
      <c r="EQ252" s="251" t="s">
        <v>214</v>
      </c>
      <c r="ER252" s="250"/>
      <c r="ES252" s="250"/>
      <c r="ET252" s="140" t="s">
        <v>218</v>
      </c>
      <c r="EU252" s="250" t="s">
        <v>219</v>
      </c>
      <c r="EV252" s="250" t="s">
        <v>213</v>
      </c>
      <c r="EW252" s="140" t="s">
        <v>166</v>
      </c>
      <c r="EX252" s="140" t="s">
        <v>166</v>
      </c>
      <c r="EY252" s="140" t="s">
        <v>166</v>
      </c>
      <c r="EZ252" s="140" t="s">
        <v>166</v>
      </c>
      <c r="FA252" s="205">
        <v>6.5</v>
      </c>
      <c r="FB252" s="140" t="s">
        <v>220</v>
      </c>
      <c r="FC252" s="205">
        <v>1</v>
      </c>
      <c r="FD252" s="205">
        <v>1</v>
      </c>
      <c r="FE252" s="215">
        <v>7.7433255472264504</v>
      </c>
      <c r="FF252" s="140" t="s">
        <v>221</v>
      </c>
      <c r="FG252" s="215">
        <v>3.2935628475389223E-2</v>
      </c>
      <c r="FH252" s="215">
        <v>3.3666552137680661E-2</v>
      </c>
      <c r="FI252" s="140">
        <v>894.24307741106702</v>
      </c>
      <c r="FK252" s="140" t="s">
        <v>166</v>
      </c>
      <c r="FL252" s="217">
        <f t="shared" si="222"/>
        <v>894.24307741106702</v>
      </c>
      <c r="FM252" s="266">
        <v>186.00090935225296</v>
      </c>
      <c r="FN252" s="266">
        <v>148.56323211100801</v>
      </c>
      <c r="FO252" s="140" t="s">
        <v>222</v>
      </c>
      <c r="FP252" s="140" t="s">
        <v>223</v>
      </c>
      <c r="FQ252" s="217" t="s">
        <v>166</v>
      </c>
      <c r="FR252" s="217" t="s">
        <v>166</v>
      </c>
      <c r="FS252" s="217" t="s">
        <v>166</v>
      </c>
      <c r="FT252" s="217" t="s">
        <v>166</v>
      </c>
      <c r="FU252" s="217" t="s">
        <v>166</v>
      </c>
      <c r="FV252" s="217" t="s">
        <v>166</v>
      </c>
      <c r="FW252" s="217" t="s">
        <v>166</v>
      </c>
      <c r="FX252" s="217" t="s">
        <v>166</v>
      </c>
      <c r="FY252" s="217" t="s">
        <v>166</v>
      </c>
      <c r="FZ252" s="217" t="s">
        <v>166</v>
      </c>
      <c r="GA252" s="217" t="s">
        <v>166</v>
      </c>
      <c r="GB252" s="217" t="s">
        <v>166</v>
      </c>
      <c r="GC252" s="202" t="s">
        <v>548</v>
      </c>
    </row>
    <row r="253" spans="1:190" s="140" customFormat="1" ht="17">
      <c r="A253" s="140" t="s">
        <v>162</v>
      </c>
      <c r="B253" s="143" t="s">
        <v>163</v>
      </c>
      <c r="C253" s="140" t="s">
        <v>164</v>
      </c>
      <c r="D253" s="140" t="s">
        <v>165</v>
      </c>
      <c r="E253" s="140">
        <v>2020</v>
      </c>
      <c r="F253" s="140" t="s">
        <v>184</v>
      </c>
      <c r="G253" s="240">
        <v>41012.3291015625</v>
      </c>
      <c r="H253" s="140">
        <v>1</v>
      </c>
      <c r="I253" s="140">
        <v>1</v>
      </c>
      <c r="J253" s="241">
        <v>1169.1224838646401</v>
      </c>
      <c r="K253" s="266">
        <v>241.98529608622971</v>
      </c>
      <c r="L253" s="266">
        <v>193.41593238448002</v>
      </c>
      <c r="M253" s="140" t="b">
        <v>1</v>
      </c>
      <c r="N253" s="140">
        <v>1</v>
      </c>
      <c r="O253" s="302" t="s">
        <v>581</v>
      </c>
      <c r="P253" s="140" t="s">
        <v>166</v>
      </c>
      <c r="Q253" s="140" t="s">
        <v>166</v>
      </c>
      <c r="R253" s="140" t="s">
        <v>166</v>
      </c>
      <c r="S253" s="140" t="b">
        <v>1</v>
      </c>
      <c r="T253" s="140" t="b">
        <v>0</v>
      </c>
      <c r="U253" s="140" t="s">
        <v>166</v>
      </c>
      <c r="V253" s="140" t="b">
        <v>0</v>
      </c>
      <c r="W253" s="140" t="b">
        <v>0</v>
      </c>
      <c r="X253" s="140" t="s">
        <v>166</v>
      </c>
      <c r="Y253" s="202" t="s">
        <v>186</v>
      </c>
      <c r="Z253" s="140" t="s">
        <v>184</v>
      </c>
      <c r="AA253" s="284">
        <v>1260</v>
      </c>
      <c r="AB253" s="140" t="s">
        <v>187</v>
      </c>
      <c r="AC253" s="140">
        <v>8</v>
      </c>
      <c r="AD253" s="140">
        <v>2</v>
      </c>
      <c r="AE253" s="140">
        <v>77</v>
      </c>
      <c r="AF253" s="140">
        <v>78.5</v>
      </c>
      <c r="AG253" s="285">
        <v>59.477499999999999</v>
      </c>
      <c r="AH253" s="140">
        <v>59.977499999999999</v>
      </c>
      <c r="AI253" s="140" t="s">
        <v>533</v>
      </c>
      <c r="AJ253" s="140" t="s">
        <v>534</v>
      </c>
      <c r="AK253" s="286">
        <v>9.2656670000000005</v>
      </c>
      <c r="AL253" s="286">
        <v>-54.544032999999999</v>
      </c>
      <c r="AM253" s="286">
        <v>0.8</v>
      </c>
      <c r="AN253" s="287" t="s">
        <v>166</v>
      </c>
      <c r="AO253" s="287">
        <v>-2549</v>
      </c>
      <c r="AP253" s="287">
        <v>-2850</v>
      </c>
      <c r="AQ253" s="140" t="s">
        <v>535</v>
      </c>
      <c r="AR253" s="140" t="s">
        <v>511</v>
      </c>
      <c r="AS253" s="240">
        <v>41.0123291015625</v>
      </c>
      <c r="AT253" s="140" t="s">
        <v>536</v>
      </c>
      <c r="AU253" s="140">
        <v>1</v>
      </c>
      <c r="AV253" s="140">
        <v>1</v>
      </c>
      <c r="AW253" s="140" t="s">
        <v>255</v>
      </c>
      <c r="AX253" s="140" t="s">
        <v>537</v>
      </c>
      <c r="AY253" s="247" t="s">
        <v>538</v>
      </c>
      <c r="AZ253" s="140">
        <v>40.906917968750001</v>
      </c>
      <c r="BA253" s="140" t="s">
        <v>166</v>
      </c>
      <c r="BB253" s="140" t="s">
        <v>166</v>
      </c>
      <c r="BC253" s="140" t="s">
        <v>166</v>
      </c>
      <c r="BD253" s="140" t="s">
        <v>255</v>
      </c>
      <c r="BE253" s="140" t="s">
        <v>539</v>
      </c>
      <c r="BF253" s="140" t="s">
        <v>540</v>
      </c>
      <c r="BG253" s="245" t="s">
        <v>229</v>
      </c>
      <c r="BH253" s="140" t="s">
        <v>192</v>
      </c>
      <c r="BI253" s="277" t="s">
        <v>542</v>
      </c>
      <c r="BJ253" s="289" t="s">
        <v>543</v>
      </c>
      <c r="BK253" s="140" t="s">
        <v>544</v>
      </c>
      <c r="BL253" s="140" t="s">
        <v>194</v>
      </c>
      <c r="BM253" s="140" t="s">
        <v>195</v>
      </c>
      <c r="BN253" s="140" t="s">
        <v>557</v>
      </c>
      <c r="BO253" s="140">
        <v>2</v>
      </c>
      <c r="BP253" s="270">
        <v>0.18579545743171441</v>
      </c>
      <c r="BQ253" s="294">
        <v>14.714</v>
      </c>
      <c r="BR253" s="140" t="s">
        <v>546</v>
      </c>
      <c r="BS253" s="140">
        <v>0.1242232396918326</v>
      </c>
      <c r="BT253" s="140">
        <v>1</v>
      </c>
      <c r="BU253" s="140" t="s">
        <v>197</v>
      </c>
      <c r="BV253" s="140" t="s">
        <v>166</v>
      </c>
      <c r="BW253" s="140">
        <v>0</v>
      </c>
      <c r="BX253" s="140" t="s">
        <v>197</v>
      </c>
      <c r="BY253" s="140" t="s">
        <v>166</v>
      </c>
      <c r="BZ253" s="140" t="s">
        <v>197</v>
      </c>
      <c r="CA253" s="140" t="s">
        <v>166</v>
      </c>
      <c r="CB253" s="210">
        <f t="shared" si="232"/>
        <v>14.714</v>
      </c>
      <c r="CC253" s="140" t="s">
        <v>196</v>
      </c>
      <c r="CD253" s="140">
        <f t="shared" si="233"/>
        <v>0.1242232396918326</v>
      </c>
      <c r="CE253" s="140" t="s">
        <v>199</v>
      </c>
      <c r="CF253" s="140" t="s">
        <v>166</v>
      </c>
      <c r="CG253" s="140" t="s">
        <v>474</v>
      </c>
      <c r="CH253" s="140" t="s">
        <v>166</v>
      </c>
      <c r="CI253" s="140" t="s">
        <v>166</v>
      </c>
      <c r="CJ253" s="210">
        <v>36.011682095768151</v>
      </c>
      <c r="CK253" s="140" t="s">
        <v>201</v>
      </c>
      <c r="CL253" s="140">
        <v>2</v>
      </c>
      <c r="CM253" s="140">
        <v>2</v>
      </c>
      <c r="CN253" s="140" t="s">
        <v>166</v>
      </c>
      <c r="CO253" s="294">
        <v>4.1407746563944201</v>
      </c>
      <c r="CP253" s="140" t="s">
        <v>546</v>
      </c>
      <c r="CQ253" s="140">
        <v>0.1242232396918326</v>
      </c>
      <c r="CR253" s="140">
        <v>0.1242232396918326</v>
      </c>
      <c r="CS253" s="291" t="s">
        <v>547</v>
      </c>
      <c r="CT253" s="250" t="s">
        <v>203</v>
      </c>
      <c r="CU253" s="250">
        <v>2.2000000000000002</v>
      </c>
      <c r="CV253" s="140" t="s">
        <v>204</v>
      </c>
      <c r="CW253" s="250" t="s">
        <v>166</v>
      </c>
      <c r="CX253" s="250" t="s">
        <v>166</v>
      </c>
      <c r="CY253" s="250" t="s">
        <v>166</v>
      </c>
      <c r="CZ253" s="250" t="s">
        <v>166</v>
      </c>
      <c r="DA253" s="292" t="s">
        <v>166</v>
      </c>
      <c r="DB253" s="250" t="s">
        <v>166</v>
      </c>
      <c r="DC253" s="250" t="s">
        <v>166</v>
      </c>
      <c r="DD253" s="250" t="s">
        <v>166</v>
      </c>
      <c r="DE253" s="250" t="s">
        <v>166</v>
      </c>
      <c r="DF253" s="250" t="s">
        <v>166</v>
      </c>
      <c r="DG253" s="250">
        <v>35</v>
      </c>
      <c r="DH253" s="250" t="s">
        <v>201</v>
      </c>
      <c r="DI253" s="250">
        <v>1</v>
      </c>
      <c r="DJ253" s="250" t="s">
        <v>206</v>
      </c>
      <c r="DK253" s="250">
        <v>17</v>
      </c>
      <c r="DL253" s="140" t="s">
        <v>166</v>
      </c>
      <c r="DM253" s="140" t="s">
        <v>166</v>
      </c>
      <c r="DN253" s="250" t="s">
        <v>207</v>
      </c>
      <c r="DO253" s="250">
        <v>38</v>
      </c>
      <c r="DP253" s="250" t="s">
        <v>208</v>
      </c>
      <c r="DQ253" s="250">
        <v>3</v>
      </c>
      <c r="DR253" s="250" t="s">
        <v>209</v>
      </c>
      <c r="DS253" s="140" t="s">
        <v>166</v>
      </c>
      <c r="DT253" s="140" t="s">
        <v>166</v>
      </c>
      <c r="DU253" s="140" t="s">
        <v>166</v>
      </c>
      <c r="DV253" s="140" t="s">
        <v>166</v>
      </c>
      <c r="DW253" s="250">
        <v>432.6</v>
      </c>
      <c r="DX253" s="140" t="s">
        <v>166</v>
      </c>
      <c r="DY253" s="140" t="s">
        <v>166</v>
      </c>
      <c r="DZ253" s="140" t="s">
        <v>210</v>
      </c>
      <c r="EA253" s="140" t="s">
        <v>211</v>
      </c>
      <c r="EB253" s="140" t="s">
        <v>212</v>
      </c>
      <c r="EC253" s="140" t="s">
        <v>166</v>
      </c>
      <c r="ED253" s="140" t="s">
        <v>213</v>
      </c>
      <c r="EE253" s="213" t="s">
        <v>214</v>
      </c>
      <c r="EF253" s="213" t="s">
        <v>214</v>
      </c>
      <c r="EG253" s="250">
        <v>1.0271999999999999</v>
      </c>
      <c r="EH253" s="250" t="s">
        <v>215</v>
      </c>
      <c r="EI253" s="250" t="s">
        <v>215</v>
      </c>
      <c r="EJ253" s="250" t="s">
        <v>216</v>
      </c>
      <c r="EK253" s="250" t="s">
        <v>215</v>
      </c>
      <c r="EL253" s="250" t="s">
        <v>215</v>
      </c>
      <c r="EM253" s="250" t="s">
        <v>217</v>
      </c>
      <c r="EN253" s="251" t="s">
        <v>214</v>
      </c>
      <c r="EO253" s="251" t="s">
        <v>214</v>
      </c>
      <c r="EP253" s="251" t="s">
        <v>214</v>
      </c>
      <c r="EQ253" s="251" t="s">
        <v>214</v>
      </c>
      <c r="ER253" s="250"/>
      <c r="ES253" s="250"/>
      <c r="ET253" s="140" t="s">
        <v>218</v>
      </c>
      <c r="EU253" s="250" t="s">
        <v>219</v>
      </c>
      <c r="EV253" s="250" t="s">
        <v>213</v>
      </c>
      <c r="EW253" s="140" t="s">
        <v>166</v>
      </c>
      <c r="EX253" s="140" t="s">
        <v>166</v>
      </c>
      <c r="EY253" s="140" t="s">
        <v>166</v>
      </c>
      <c r="EZ253" s="140" t="s">
        <v>166</v>
      </c>
      <c r="FA253" s="205">
        <v>6.5</v>
      </c>
      <c r="FB253" s="140" t="s">
        <v>220</v>
      </c>
      <c r="FC253" s="205">
        <v>1</v>
      </c>
      <c r="FD253" s="205">
        <v>1</v>
      </c>
      <c r="FE253" s="215">
        <v>7.6713220059492704</v>
      </c>
      <c r="FF253" s="140" t="s">
        <v>221</v>
      </c>
      <c r="FG253" s="215">
        <v>3.7987339495209937E-2</v>
      </c>
      <c r="FH253" s="215">
        <v>3.3035653189529945E-2</v>
      </c>
      <c r="FI253" s="140">
        <v>1169.1224838646401</v>
      </c>
      <c r="FK253" s="140" t="s">
        <v>166</v>
      </c>
      <c r="FL253" s="217">
        <f t="shared" si="222"/>
        <v>1169.1224838646401</v>
      </c>
      <c r="FM253" s="266">
        <v>241.98529608622971</v>
      </c>
      <c r="FN253" s="266">
        <v>193.41593238448002</v>
      </c>
      <c r="FO253" s="140" t="s">
        <v>222</v>
      </c>
      <c r="FP253" s="140" t="s">
        <v>223</v>
      </c>
      <c r="FQ253" s="217" t="s">
        <v>166</v>
      </c>
      <c r="FR253" s="217" t="s">
        <v>166</v>
      </c>
      <c r="FS253" s="217" t="s">
        <v>166</v>
      </c>
      <c r="FT253" s="217" t="s">
        <v>166</v>
      </c>
      <c r="FU253" s="217" t="s">
        <v>166</v>
      </c>
      <c r="FV253" s="217" t="s">
        <v>166</v>
      </c>
      <c r="FW253" s="217" t="s">
        <v>166</v>
      </c>
      <c r="FX253" s="217" t="s">
        <v>166</v>
      </c>
      <c r="FY253" s="217" t="s">
        <v>166</v>
      </c>
      <c r="FZ253" s="217" t="s">
        <v>166</v>
      </c>
      <c r="GA253" s="217" t="s">
        <v>166</v>
      </c>
      <c r="GB253" s="217" t="s">
        <v>166</v>
      </c>
      <c r="GC253" s="202" t="s">
        <v>548</v>
      </c>
    </row>
    <row r="254" spans="1:190" s="140" customFormat="1" ht="17">
      <c r="A254" s="140" t="s">
        <v>162</v>
      </c>
      <c r="B254" s="143" t="s">
        <v>163</v>
      </c>
      <c r="C254" s="140" t="s">
        <v>164</v>
      </c>
      <c r="D254" s="140" t="s">
        <v>165</v>
      </c>
      <c r="E254" s="140">
        <v>2020</v>
      </c>
      <c r="F254" s="140" t="s">
        <v>184</v>
      </c>
      <c r="G254" s="240">
        <v>39123.607635498047</v>
      </c>
      <c r="H254" s="140">
        <v>10.28</v>
      </c>
      <c r="I254" s="140">
        <v>10.28</v>
      </c>
      <c r="J254" s="241">
        <v>786.68523979298595</v>
      </c>
      <c r="K254" s="266">
        <v>150.34885189751503</v>
      </c>
      <c r="L254" s="266">
        <v>124.68106574853391</v>
      </c>
      <c r="M254" s="140" t="b">
        <v>1</v>
      </c>
      <c r="N254" s="140">
        <v>1</v>
      </c>
      <c r="O254" s="302" t="s">
        <v>581</v>
      </c>
      <c r="P254" s="140" t="s">
        <v>166</v>
      </c>
      <c r="Q254" s="140" t="s">
        <v>166</v>
      </c>
      <c r="R254" s="140" t="s">
        <v>166</v>
      </c>
      <c r="S254" s="140" t="b">
        <v>1</v>
      </c>
      <c r="T254" s="140" t="b">
        <v>0</v>
      </c>
      <c r="U254" s="140" t="s">
        <v>166</v>
      </c>
      <c r="V254" s="140" t="b">
        <v>0</v>
      </c>
      <c r="W254" s="140" t="b">
        <v>0</v>
      </c>
      <c r="X254" s="140" t="s">
        <v>166</v>
      </c>
      <c r="Y254" s="202" t="s">
        <v>186</v>
      </c>
      <c r="Z254" s="140" t="s">
        <v>184</v>
      </c>
      <c r="AA254" s="274">
        <v>865</v>
      </c>
      <c r="AB254" s="214" t="s">
        <v>250</v>
      </c>
      <c r="AC254" s="214">
        <v>4</v>
      </c>
      <c r="AD254" s="214">
        <v>5</v>
      </c>
      <c r="AE254" s="214">
        <v>65</v>
      </c>
      <c r="AF254" s="214">
        <v>77</v>
      </c>
      <c r="AG254" s="214">
        <v>29.01</v>
      </c>
      <c r="AH254" s="214">
        <v>29</v>
      </c>
      <c r="AI254" s="214" t="s">
        <v>558</v>
      </c>
      <c r="AJ254" s="140" t="s">
        <v>559</v>
      </c>
      <c r="AK254" s="295">
        <v>18.4404</v>
      </c>
      <c r="AL254" s="295">
        <v>-179.55500000000001</v>
      </c>
      <c r="AM254" s="295">
        <v>11.3</v>
      </c>
      <c r="AN254" s="296" t="s">
        <v>166</v>
      </c>
      <c r="AO254" s="296">
        <v>-1518</v>
      </c>
      <c r="AP254" s="296">
        <v>-1400</v>
      </c>
      <c r="AQ254" s="214" t="s">
        <v>560</v>
      </c>
      <c r="AR254" s="214" t="s">
        <v>511</v>
      </c>
      <c r="AS254" s="240">
        <v>39.123607635498047</v>
      </c>
      <c r="AT254" s="214" t="s">
        <v>536</v>
      </c>
      <c r="AU254" s="214">
        <v>10.28</v>
      </c>
      <c r="AV254" s="214">
        <v>10.28</v>
      </c>
      <c r="AW254" s="214" t="s">
        <v>255</v>
      </c>
      <c r="AX254" s="214" t="s">
        <v>537</v>
      </c>
      <c r="AY254" s="214" t="s">
        <v>561</v>
      </c>
      <c r="AZ254" s="214" t="s">
        <v>166</v>
      </c>
      <c r="BA254" s="214" t="s">
        <v>166</v>
      </c>
      <c r="BB254" s="214" t="s">
        <v>166</v>
      </c>
      <c r="BC254" s="214" t="s">
        <v>166</v>
      </c>
      <c r="BD254" s="214" t="s">
        <v>166</v>
      </c>
      <c r="BE254" s="214" t="s">
        <v>166</v>
      </c>
      <c r="BF254" s="214" t="s">
        <v>166</v>
      </c>
      <c r="BG254" s="213" t="s">
        <v>229</v>
      </c>
      <c r="BH254" s="214" t="s">
        <v>192</v>
      </c>
      <c r="BI254" s="288">
        <v>297</v>
      </c>
      <c r="BJ254" s="288">
        <v>3.1760000000000002</v>
      </c>
      <c r="BK254" s="214" t="s">
        <v>544</v>
      </c>
      <c r="BL254" s="140" t="s">
        <v>194</v>
      </c>
      <c r="BM254" s="140" t="s">
        <v>195</v>
      </c>
      <c r="BN254" s="214" t="s">
        <v>562</v>
      </c>
      <c r="BO254" s="214">
        <v>2</v>
      </c>
      <c r="BP254" s="297">
        <v>6.7062051908314046E-2</v>
      </c>
      <c r="BQ254" s="298">
        <v>15.365611162235799</v>
      </c>
      <c r="BR254" s="140" t="s">
        <v>546</v>
      </c>
      <c r="BS254" s="214">
        <v>0.12110149864299659</v>
      </c>
      <c r="BT254" s="140">
        <v>1</v>
      </c>
      <c r="BU254" s="140" t="s">
        <v>197</v>
      </c>
      <c r="BV254" s="140" t="s">
        <v>166</v>
      </c>
      <c r="BW254" s="140">
        <v>0</v>
      </c>
      <c r="BX254" s="140" t="s">
        <v>197</v>
      </c>
      <c r="BY254" s="140" t="s">
        <v>166</v>
      </c>
      <c r="BZ254" s="140" t="s">
        <v>197</v>
      </c>
      <c r="CA254" s="140" t="s">
        <v>166</v>
      </c>
      <c r="CB254" s="210">
        <f t="shared" si="232"/>
        <v>15.365611162235799</v>
      </c>
      <c r="CC254" s="140" t="s">
        <v>196</v>
      </c>
      <c r="CD254" s="140">
        <f t="shared" si="233"/>
        <v>0.12110149864299659</v>
      </c>
      <c r="CE254" s="140" t="s">
        <v>199</v>
      </c>
      <c r="CF254" s="140" t="s">
        <v>166</v>
      </c>
      <c r="CG254" s="140" t="s">
        <v>474</v>
      </c>
      <c r="CH254" s="140" t="s">
        <v>166</v>
      </c>
      <c r="CI254" s="140" t="s">
        <v>166</v>
      </c>
      <c r="CJ254" s="210">
        <v>35.560130727299814</v>
      </c>
      <c r="CK254" s="140" t="s">
        <v>201</v>
      </c>
      <c r="CL254" s="140">
        <v>2</v>
      </c>
      <c r="CM254" s="140">
        <v>2</v>
      </c>
      <c r="CN254" s="140" t="s">
        <v>166</v>
      </c>
      <c r="CO254" s="294">
        <v>4.0367166214332197</v>
      </c>
      <c r="CP254" s="140" t="s">
        <v>546</v>
      </c>
      <c r="CQ254" s="214">
        <v>0.12110149864299659</v>
      </c>
      <c r="CR254" s="214">
        <v>0.12110149864299659</v>
      </c>
      <c r="CS254" s="291" t="s">
        <v>547</v>
      </c>
      <c r="CT254" s="250" t="s">
        <v>203</v>
      </c>
      <c r="CU254" s="250">
        <v>2.2000000000000002</v>
      </c>
      <c r="CV254" s="140" t="s">
        <v>204</v>
      </c>
      <c r="CW254" s="250" t="s">
        <v>166</v>
      </c>
      <c r="CX254" s="250" t="s">
        <v>166</v>
      </c>
      <c r="CY254" s="250" t="s">
        <v>166</v>
      </c>
      <c r="CZ254" s="250" t="s">
        <v>166</v>
      </c>
      <c r="DA254" s="292" t="s">
        <v>166</v>
      </c>
      <c r="DB254" s="250" t="s">
        <v>166</v>
      </c>
      <c r="DC254" s="250" t="s">
        <v>166</v>
      </c>
      <c r="DD254" s="250" t="s">
        <v>166</v>
      </c>
      <c r="DE254" s="250" t="s">
        <v>166</v>
      </c>
      <c r="DF254" s="250" t="s">
        <v>166</v>
      </c>
      <c r="DG254" s="250">
        <v>35</v>
      </c>
      <c r="DH254" s="250" t="s">
        <v>201</v>
      </c>
      <c r="DI254" s="250">
        <v>1</v>
      </c>
      <c r="DJ254" s="250" t="s">
        <v>206</v>
      </c>
      <c r="DK254" s="250">
        <v>17</v>
      </c>
      <c r="DL254" s="140" t="s">
        <v>166</v>
      </c>
      <c r="DM254" s="140" t="s">
        <v>166</v>
      </c>
      <c r="DN254" s="250" t="s">
        <v>207</v>
      </c>
      <c r="DO254" s="250">
        <v>38</v>
      </c>
      <c r="DP254" s="250" t="s">
        <v>208</v>
      </c>
      <c r="DQ254" s="250">
        <v>3</v>
      </c>
      <c r="DR254" s="250" t="s">
        <v>209</v>
      </c>
      <c r="DS254" s="140" t="s">
        <v>166</v>
      </c>
      <c r="DT254" s="140" t="s">
        <v>166</v>
      </c>
      <c r="DU254" s="140" t="s">
        <v>166</v>
      </c>
      <c r="DV254" s="140" t="s">
        <v>166</v>
      </c>
      <c r="DW254" s="250">
        <v>432.6</v>
      </c>
      <c r="DX254" s="140" t="s">
        <v>166</v>
      </c>
      <c r="DY254" s="140" t="s">
        <v>166</v>
      </c>
      <c r="DZ254" s="140" t="s">
        <v>210</v>
      </c>
      <c r="EA254" s="140" t="s">
        <v>211</v>
      </c>
      <c r="EB254" s="140" t="s">
        <v>212</v>
      </c>
      <c r="EC254" s="140" t="s">
        <v>166</v>
      </c>
      <c r="ED254" s="140" t="s">
        <v>213</v>
      </c>
      <c r="EE254" s="213" t="s">
        <v>214</v>
      </c>
      <c r="EF254" s="213" t="s">
        <v>214</v>
      </c>
      <c r="EG254" s="250">
        <v>1.0271999999999999</v>
      </c>
      <c r="EH254" s="250" t="s">
        <v>215</v>
      </c>
      <c r="EI254" s="250" t="s">
        <v>215</v>
      </c>
      <c r="EJ254" s="250" t="s">
        <v>216</v>
      </c>
      <c r="EK254" s="250" t="s">
        <v>215</v>
      </c>
      <c r="EL254" s="250" t="s">
        <v>215</v>
      </c>
      <c r="EM254" s="250" t="s">
        <v>217</v>
      </c>
      <c r="EN254" s="251" t="s">
        <v>214</v>
      </c>
      <c r="EO254" s="251" t="s">
        <v>214</v>
      </c>
      <c r="EP254" s="251" t="s">
        <v>214</v>
      </c>
      <c r="EQ254" s="251" t="s">
        <v>214</v>
      </c>
      <c r="ER254" s="250"/>
      <c r="ES254" s="250"/>
      <c r="ET254" s="140" t="s">
        <v>218</v>
      </c>
      <c r="EU254" s="250" t="s">
        <v>219</v>
      </c>
      <c r="EV254" s="250" t="s">
        <v>213</v>
      </c>
      <c r="EW254" s="140" t="s">
        <v>166</v>
      </c>
      <c r="EX254" s="140" t="s">
        <v>166</v>
      </c>
      <c r="EY254" s="140" t="s">
        <v>166</v>
      </c>
      <c r="EZ254" s="140" t="s">
        <v>166</v>
      </c>
      <c r="FA254" s="205">
        <v>6.5</v>
      </c>
      <c r="FB254" s="140" t="s">
        <v>220</v>
      </c>
      <c r="FC254" s="205">
        <v>1</v>
      </c>
      <c r="FD254" s="205">
        <v>1</v>
      </c>
      <c r="FE254" s="215">
        <v>7.7605469674922496</v>
      </c>
      <c r="FF254" s="140" t="s">
        <v>221</v>
      </c>
      <c r="FG254" s="215">
        <v>3.2304714859979988E-2</v>
      </c>
      <c r="FH254" s="215">
        <v>3.2221099351059657E-2</v>
      </c>
      <c r="FI254" s="140">
        <v>786.68523979298595</v>
      </c>
      <c r="FK254" s="140" t="s">
        <v>166</v>
      </c>
      <c r="FL254" s="217">
        <f t="shared" si="222"/>
        <v>786.68523979298595</v>
      </c>
      <c r="FM254" s="266">
        <v>150.34885189751503</v>
      </c>
      <c r="FN254" s="266">
        <v>124.68106574853391</v>
      </c>
      <c r="FO254" s="140" t="s">
        <v>222</v>
      </c>
      <c r="FP254" s="140" t="s">
        <v>223</v>
      </c>
      <c r="FQ254" s="217" t="s">
        <v>166</v>
      </c>
      <c r="FR254" s="217" t="s">
        <v>166</v>
      </c>
      <c r="FS254" s="217" t="s">
        <v>166</v>
      </c>
      <c r="FT254" s="217" t="s">
        <v>166</v>
      </c>
      <c r="FU254" s="217" t="s">
        <v>166</v>
      </c>
      <c r="FV254" s="217" t="s">
        <v>166</v>
      </c>
      <c r="FW254" s="217" t="s">
        <v>166</v>
      </c>
      <c r="FX254" s="217" t="s">
        <v>166</v>
      </c>
      <c r="FY254" s="217" t="s">
        <v>166</v>
      </c>
      <c r="FZ254" s="217" t="s">
        <v>166</v>
      </c>
      <c r="GA254" s="217" t="s">
        <v>166</v>
      </c>
      <c r="GB254" s="217" t="s">
        <v>166</v>
      </c>
      <c r="GC254" s="202" t="s">
        <v>548</v>
      </c>
    </row>
    <row r="255" spans="1:190" s="140" customFormat="1" ht="17">
      <c r="A255" s="140" t="s">
        <v>162</v>
      </c>
      <c r="B255" s="143" t="s">
        <v>163</v>
      </c>
      <c r="C255" s="140" t="s">
        <v>164</v>
      </c>
      <c r="D255" s="140" t="s">
        <v>165</v>
      </c>
      <c r="E255" s="140">
        <v>2020</v>
      </c>
      <c r="F255" s="140" t="s">
        <v>184</v>
      </c>
      <c r="G255" s="240">
        <v>39327.358245849609</v>
      </c>
      <c r="H255" s="140">
        <v>1.1299999999999999</v>
      </c>
      <c r="I255" s="140">
        <v>1.1299999999999999</v>
      </c>
      <c r="J255" s="241">
        <v>895.55975472947796</v>
      </c>
      <c r="K255" s="266">
        <v>179.53794812880199</v>
      </c>
      <c r="L255" s="266">
        <v>149.33201208783601</v>
      </c>
      <c r="M255" s="140" t="b">
        <v>1</v>
      </c>
      <c r="N255" s="140">
        <v>1</v>
      </c>
      <c r="O255" s="302" t="s">
        <v>581</v>
      </c>
      <c r="P255" s="140" t="s">
        <v>166</v>
      </c>
      <c r="Q255" s="140" t="s">
        <v>166</v>
      </c>
      <c r="R255" s="140" t="s">
        <v>166</v>
      </c>
      <c r="S255" s="140" t="b">
        <v>1</v>
      </c>
      <c r="T255" s="140" t="b">
        <v>0</v>
      </c>
      <c r="U255" s="140" t="s">
        <v>166</v>
      </c>
      <c r="V255" s="140" t="b">
        <v>0</v>
      </c>
      <c r="W255" s="140" t="b">
        <v>0</v>
      </c>
      <c r="X255" s="140" t="s">
        <v>166</v>
      </c>
      <c r="Y255" s="202" t="s">
        <v>186</v>
      </c>
      <c r="Z255" s="140" t="s">
        <v>184</v>
      </c>
      <c r="AA255" s="284">
        <v>865</v>
      </c>
      <c r="AB255" s="140" t="s">
        <v>250</v>
      </c>
      <c r="AC255" s="140">
        <v>4</v>
      </c>
      <c r="AD255" s="140">
        <v>6</v>
      </c>
      <c r="AE255" s="140">
        <v>25</v>
      </c>
      <c r="AF255" s="140">
        <v>27</v>
      </c>
      <c r="AG255" s="140">
        <v>30.06</v>
      </c>
      <c r="AH255" s="140">
        <v>30.076189041137695</v>
      </c>
      <c r="AI255" s="140" t="s">
        <v>558</v>
      </c>
      <c r="AJ255" s="140" t="s">
        <v>559</v>
      </c>
      <c r="AK255" s="286">
        <v>18.4404</v>
      </c>
      <c r="AL255" s="286">
        <v>-179.55500000000001</v>
      </c>
      <c r="AM255" s="286">
        <v>11.3</v>
      </c>
      <c r="AN255" s="287" t="s">
        <v>166</v>
      </c>
      <c r="AO255" s="287">
        <v>-1518</v>
      </c>
      <c r="AP255" s="287">
        <v>-1400</v>
      </c>
      <c r="AQ255" s="140" t="s">
        <v>560</v>
      </c>
      <c r="AR255" s="140" t="s">
        <v>511</v>
      </c>
      <c r="AS255" s="240">
        <v>39.327358245849609</v>
      </c>
      <c r="AT255" s="140" t="s">
        <v>536</v>
      </c>
      <c r="AU255" s="140">
        <v>1.1299999999999999</v>
      </c>
      <c r="AV255" s="140">
        <v>1.1299999999999999</v>
      </c>
      <c r="AW255" s="140" t="s">
        <v>255</v>
      </c>
      <c r="AX255" s="140" t="s">
        <v>537</v>
      </c>
      <c r="AY255" s="140" t="s">
        <v>561</v>
      </c>
      <c r="AZ255" s="140" t="s">
        <v>166</v>
      </c>
      <c r="BA255" s="140" t="s">
        <v>166</v>
      </c>
      <c r="BB255" s="140" t="s">
        <v>166</v>
      </c>
      <c r="BC255" s="140" t="s">
        <v>166</v>
      </c>
      <c r="BD255" s="140" t="s">
        <v>166</v>
      </c>
      <c r="BE255" s="140" t="s">
        <v>166</v>
      </c>
      <c r="BF255" s="140" t="s">
        <v>166</v>
      </c>
      <c r="BG255" s="245" t="s">
        <v>563</v>
      </c>
      <c r="BH255" s="140" t="s">
        <v>192</v>
      </c>
      <c r="BI255" s="277" t="s">
        <v>542</v>
      </c>
      <c r="BJ255" s="289" t="s">
        <v>543</v>
      </c>
      <c r="BK255" s="140" t="s">
        <v>544</v>
      </c>
      <c r="BL255" s="140" t="s">
        <v>194</v>
      </c>
      <c r="BM255" s="140" t="s">
        <v>195</v>
      </c>
      <c r="BN255" s="140" t="s">
        <v>564</v>
      </c>
      <c r="BO255" s="140">
        <v>2</v>
      </c>
      <c r="BP255" s="270">
        <v>0.12044767479109984</v>
      </c>
      <c r="BQ255" s="299">
        <v>15.063498821330001</v>
      </c>
      <c r="BR255" s="140" t="s">
        <v>546</v>
      </c>
      <c r="BS255" s="140">
        <v>0.10531674044939759</v>
      </c>
      <c r="BT255" s="140">
        <v>1</v>
      </c>
      <c r="BU255" s="140" t="s">
        <v>197</v>
      </c>
      <c r="BV255" s="140" t="s">
        <v>166</v>
      </c>
      <c r="BW255" s="140">
        <v>0</v>
      </c>
      <c r="BX255" s="140" t="s">
        <v>197</v>
      </c>
      <c r="BY255" s="140" t="s">
        <v>166</v>
      </c>
      <c r="BZ255" s="140" t="s">
        <v>197</v>
      </c>
      <c r="CA255" s="140" t="s">
        <v>166</v>
      </c>
      <c r="CB255" s="210">
        <f t="shared" si="232"/>
        <v>15.063498821330001</v>
      </c>
      <c r="CC255" s="140" t="s">
        <v>196</v>
      </c>
      <c r="CD255" s="140">
        <f t="shared" si="233"/>
        <v>0.10531674044939759</v>
      </c>
      <c r="CE255" s="140" t="s">
        <v>199</v>
      </c>
      <c r="CF255" s="140" t="s">
        <v>166</v>
      </c>
      <c r="CG255" s="140" t="s">
        <v>474</v>
      </c>
      <c r="CH255" s="140" t="s">
        <v>166</v>
      </c>
      <c r="CI255" s="140" t="s">
        <v>166</v>
      </c>
      <c r="CJ255" s="210">
        <v>33.082367605389045</v>
      </c>
      <c r="CK255" s="140" t="s">
        <v>201</v>
      </c>
      <c r="CL255" s="140">
        <v>2</v>
      </c>
      <c r="CM255" s="140">
        <v>2</v>
      </c>
      <c r="CN255" s="140" t="s">
        <v>166</v>
      </c>
      <c r="CO255" s="294">
        <v>3.51055801497992</v>
      </c>
      <c r="CP255" s="140" t="s">
        <v>546</v>
      </c>
      <c r="CQ255" s="140">
        <v>0.10531674044939759</v>
      </c>
      <c r="CR255" s="140">
        <v>0.10531674044939759</v>
      </c>
      <c r="CS255" s="291" t="s">
        <v>547</v>
      </c>
      <c r="CT255" s="250" t="s">
        <v>203</v>
      </c>
      <c r="CU255" s="250">
        <v>2.2000000000000002</v>
      </c>
      <c r="CV255" s="140" t="s">
        <v>204</v>
      </c>
      <c r="CW255" s="250" t="s">
        <v>166</v>
      </c>
      <c r="CX255" s="250" t="s">
        <v>166</v>
      </c>
      <c r="CY255" s="250" t="s">
        <v>166</v>
      </c>
      <c r="CZ255" s="250" t="s">
        <v>166</v>
      </c>
      <c r="DA255" s="292" t="s">
        <v>166</v>
      </c>
      <c r="DB255" s="250" t="s">
        <v>166</v>
      </c>
      <c r="DC255" s="250" t="s">
        <v>166</v>
      </c>
      <c r="DD255" s="250" t="s">
        <v>166</v>
      </c>
      <c r="DE255" s="250" t="s">
        <v>166</v>
      </c>
      <c r="DF255" s="250" t="s">
        <v>166</v>
      </c>
      <c r="DG255" s="250">
        <v>35</v>
      </c>
      <c r="DH255" s="250" t="s">
        <v>201</v>
      </c>
      <c r="DI255" s="250">
        <v>1</v>
      </c>
      <c r="DJ255" s="250" t="s">
        <v>206</v>
      </c>
      <c r="DK255" s="250">
        <v>17</v>
      </c>
      <c r="DL255" s="140" t="s">
        <v>166</v>
      </c>
      <c r="DM255" s="140" t="s">
        <v>166</v>
      </c>
      <c r="DN255" s="250" t="s">
        <v>207</v>
      </c>
      <c r="DO255" s="250">
        <v>38</v>
      </c>
      <c r="DP255" s="250" t="s">
        <v>208</v>
      </c>
      <c r="DQ255" s="250">
        <v>3</v>
      </c>
      <c r="DR255" s="250" t="s">
        <v>209</v>
      </c>
      <c r="DS255" s="140" t="s">
        <v>166</v>
      </c>
      <c r="DT255" s="140" t="s">
        <v>166</v>
      </c>
      <c r="DU255" s="140" t="s">
        <v>166</v>
      </c>
      <c r="DV255" s="140" t="s">
        <v>166</v>
      </c>
      <c r="DW255" s="250">
        <v>432.6</v>
      </c>
      <c r="DX255" s="140" t="s">
        <v>166</v>
      </c>
      <c r="DY255" s="140" t="s">
        <v>166</v>
      </c>
      <c r="DZ255" s="140" t="s">
        <v>210</v>
      </c>
      <c r="EA255" s="140" t="s">
        <v>211</v>
      </c>
      <c r="EB255" s="140" t="s">
        <v>212</v>
      </c>
      <c r="EC255" s="140" t="s">
        <v>166</v>
      </c>
      <c r="ED255" s="140" t="s">
        <v>213</v>
      </c>
      <c r="EE255" s="213" t="s">
        <v>214</v>
      </c>
      <c r="EF255" s="213" t="s">
        <v>214</v>
      </c>
      <c r="EG255" s="250">
        <v>1.0271999999999999</v>
      </c>
      <c r="EH255" s="250" t="s">
        <v>215</v>
      </c>
      <c r="EI255" s="250" t="s">
        <v>215</v>
      </c>
      <c r="EJ255" s="250" t="s">
        <v>216</v>
      </c>
      <c r="EK255" s="250" t="s">
        <v>215</v>
      </c>
      <c r="EL255" s="250" t="s">
        <v>215</v>
      </c>
      <c r="EM255" s="250" t="s">
        <v>217</v>
      </c>
      <c r="EN255" s="251" t="s">
        <v>214</v>
      </c>
      <c r="EO255" s="251" t="s">
        <v>214</v>
      </c>
      <c r="EP255" s="251" t="s">
        <v>214</v>
      </c>
      <c r="EQ255" s="251" t="s">
        <v>214</v>
      </c>
      <c r="ER255" s="250"/>
      <c r="ES255" s="250"/>
      <c r="ET255" s="140" t="s">
        <v>218</v>
      </c>
      <c r="EU255" s="250" t="s">
        <v>219</v>
      </c>
      <c r="EV255" s="250" t="s">
        <v>213</v>
      </c>
      <c r="EW255" s="140" t="s">
        <v>166</v>
      </c>
      <c r="EX255" s="140" t="s">
        <v>166</v>
      </c>
      <c r="EY255" s="140" t="s">
        <v>166</v>
      </c>
      <c r="EZ255" s="140" t="s">
        <v>166</v>
      </c>
      <c r="FA255" s="205">
        <v>6.5</v>
      </c>
      <c r="FB255" s="140" t="s">
        <v>220</v>
      </c>
      <c r="FC255" s="205">
        <v>1</v>
      </c>
      <c r="FD255" s="205">
        <v>1</v>
      </c>
      <c r="FE255" s="215">
        <v>7.7518901493791503</v>
      </c>
      <c r="FF255" s="140" t="s">
        <v>221</v>
      </c>
      <c r="FG255" s="215">
        <v>3.1859456830269473E-2</v>
      </c>
      <c r="FH255" s="215">
        <v>3.3291133664340222E-2</v>
      </c>
      <c r="FI255" s="140">
        <v>895.55975472947796</v>
      </c>
      <c r="FK255" s="140" t="s">
        <v>166</v>
      </c>
      <c r="FL255" s="217">
        <f t="shared" si="222"/>
        <v>895.55975472947796</v>
      </c>
      <c r="FM255" s="266">
        <v>179.53794812880199</v>
      </c>
      <c r="FN255" s="266">
        <v>149.33201208783601</v>
      </c>
      <c r="FO255" s="140" t="s">
        <v>222</v>
      </c>
      <c r="FP255" s="140" t="s">
        <v>223</v>
      </c>
      <c r="FQ255" s="217" t="s">
        <v>166</v>
      </c>
      <c r="FR255" s="217" t="s">
        <v>166</v>
      </c>
      <c r="FS255" s="217" t="s">
        <v>166</v>
      </c>
      <c r="FT255" s="217" t="s">
        <v>166</v>
      </c>
      <c r="FU255" s="217" t="s">
        <v>166</v>
      </c>
      <c r="FV255" s="217" t="s">
        <v>166</v>
      </c>
      <c r="FW255" s="217" t="s">
        <v>166</v>
      </c>
      <c r="FX255" s="217" t="s">
        <v>166</v>
      </c>
      <c r="FY255" s="217" t="s">
        <v>166</v>
      </c>
      <c r="FZ255" s="217" t="s">
        <v>166</v>
      </c>
      <c r="GA255" s="217" t="s">
        <v>166</v>
      </c>
      <c r="GB255" s="217" t="s">
        <v>166</v>
      </c>
      <c r="GC255" s="202" t="s">
        <v>548</v>
      </c>
    </row>
    <row r="256" spans="1:190" s="140" customFormat="1" ht="17">
      <c r="A256" s="140" t="s">
        <v>162</v>
      </c>
      <c r="B256" s="143" t="s">
        <v>163</v>
      </c>
      <c r="C256" s="140" t="s">
        <v>164</v>
      </c>
      <c r="D256" s="140" t="s">
        <v>165</v>
      </c>
      <c r="E256" s="140">
        <v>2020</v>
      </c>
      <c r="F256" s="140" t="s">
        <v>184</v>
      </c>
      <c r="G256" s="240">
        <v>39958.087921142578</v>
      </c>
      <c r="H256" s="140">
        <v>2.25</v>
      </c>
      <c r="I256" s="140">
        <v>2.25</v>
      </c>
      <c r="J256" s="241">
        <v>925.51082357032601</v>
      </c>
      <c r="K256" s="266">
        <v>175.61319307566396</v>
      </c>
      <c r="L256" s="266">
        <v>150.22034294710409</v>
      </c>
      <c r="M256" s="140" t="b">
        <v>1</v>
      </c>
      <c r="N256" s="140">
        <v>1</v>
      </c>
      <c r="O256" s="302" t="s">
        <v>581</v>
      </c>
      <c r="P256" s="140" t="s">
        <v>166</v>
      </c>
      <c r="Q256" s="140" t="s">
        <v>166</v>
      </c>
      <c r="R256" s="140" t="s">
        <v>166</v>
      </c>
      <c r="S256" s="140" t="b">
        <v>1</v>
      </c>
      <c r="T256" s="140" t="b">
        <v>0</v>
      </c>
      <c r="U256" s="140" t="s">
        <v>166</v>
      </c>
      <c r="V256" s="140" t="b">
        <v>0</v>
      </c>
      <c r="W256" s="140" t="b">
        <v>0</v>
      </c>
      <c r="X256" s="140" t="s">
        <v>166</v>
      </c>
      <c r="Y256" s="202" t="s">
        <v>186</v>
      </c>
      <c r="Z256" s="140" t="s">
        <v>184</v>
      </c>
      <c r="AA256" s="274">
        <v>865</v>
      </c>
      <c r="AB256" s="140" t="s">
        <v>233</v>
      </c>
      <c r="AC256" s="140">
        <v>4</v>
      </c>
      <c r="AD256" s="140">
        <v>4</v>
      </c>
      <c r="AE256" s="140">
        <v>88</v>
      </c>
      <c r="AF256" s="140">
        <v>92</v>
      </c>
      <c r="AG256" s="140">
        <v>32.9</v>
      </c>
      <c r="AH256" s="140">
        <v>33.68</v>
      </c>
      <c r="AI256" s="140" t="s">
        <v>558</v>
      </c>
      <c r="AJ256" s="140" t="s">
        <v>559</v>
      </c>
      <c r="AK256" s="286">
        <v>18.4404</v>
      </c>
      <c r="AL256" s="286">
        <v>-179.55500000000001</v>
      </c>
      <c r="AM256" s="286">
        <v>11.3</v>
      </c>
      <c r="AN256" s="287" t="s">
        <v>166</v>
      </c>
      <c r="AO256" s="287">
        <v>-1518</v>
      </c>
      <c r="AP256" s="287">
        <v>-1400</v>
      </c>
      <c r="AQ256" s="140" t="s">
        <v>560</v>
      </c>
      <c r="AR256" s="140" t="s">
        <v>511</v>
      </c>
      <c r="AS256" s="240">
        <v>39.958087921142578</v>
      </c>
      <c r="AT256" s="140" t="s">
        <v>536</v>
      </c>
      <c r="AU256" s="140">
        <v>2.25</v>
      </c>
      <c r="AV256" s="140">
        <v>2.25</v>
      </c>
      <c r="AW256" s="140" t="s">
        <v>255</v>
      </c>
      <c r="AX256" s="140" t="s">
        <v>537</v>
      </c>
      <c r="AY256" s="140" t="s">
        <v>561</v>
      </c>
      <c r="AZ256" s="140" t="s">
        <v>166</v>
      </c>
      <c r="BA256" s="140" t="s">
        <v>166</v>
      </c>
      <c r="BB256" s="140" t="s">
        <v>166</v>
      </c>
      <c r="BC256" s="140" t="s">
        <v>166</v>
      </c>
      <c r="BD256" s="140" t="s">
        <v>166</v>
      </c>
      <c r="BE256" s="140" t="s">
        <v>166</v>
      </c>
      <c r="BF256" s="140" t="s">
        <v>166</v>
      </c>
      <c r="BG256" s="245" t="s">
        <v>229</v>
      </c>
      <c r="BH256" s="140" t="s">
        <v>192</v>
      </c>
      <c r="BI256" s="277">
        <v>303</v>
      </c>
      <c r="BJ256" s="277">
        <v>3.1219999999999999</v>
      </c>
      <c r="BK256" s="140" t="s">
        <v>544</v>
      </c>
      <c r="BL256" s="140" t="s">
        <v>194</v>
      </c>
      <c r="BM256" s="140" t="s">
        <v>195</v>
      </c>
      <c r="BN256" s="140" t="s">
        <v>565</v>
      </c>
      <c r="BO256" s="140">
        <v>2</v>
      </c>
      <c r="BP256" s="270">
        <v>0.17980846078171095</v>
      </c>
      <c r="BQ256" s="299">
        <v>15.114143020923301</v>
      </c>
      <c r="BR256" s="140" t="s">
        <v>546</v>
      </c>
      <c r="BS256" s="140">
        <v>0.12736963043179678</v>
      </c>
      <c r="BT256" s="140">
        <v>1</v>
      </c>
      <c r="BU256" s="140" t="s">
        <v>197</v>
      </c>
      <c r="BV256" s="140" t="s">
        <v>166</v>
      </c>
      <c r="BW256" s="140">
        <v>0</v>
      </c>
      <c r="BX256" s="140" t="s">
        <v>197</v>
      </c>
      <c r="BY256" s="140" t="s">
        <v>166</v>
      </c>
      <c r="BZ256" s="140" t="s">
        <v>197</v>
      </c>
      <c r="CA256" s="140" t="s">
        <v>166</v>
      </c>
      <c r="CB256" s="210">
        <f t="shared" si="232"/>
        <v>15.114143020923301</v>
      </c>
      <c r="CC256" s="140" t="s">
        <v>196</v>
      </c>
      <c r="CD256" s="140">
        <f t="shared" si="233"/>
        <v>0.12736963043179678</v>
      </c>
      <c r="CE256" s="140" t="s">
        <v>199</v>
      </c>
      <c r="CF256" s="140" t="s">
        <v>166</v>
      </c>
      <c r="CG256" s="140" t="s">
        <v>474</v>
      </c>
      <c r="CH256" s="140" t="s">
        <v>166</v>
      </c>
      <c r="CI256" s="140" t="s">
        <v>166</v>
      </c>
      <c r="CJ256" s="210">
        <v>36.455459471366723</v>
      </c>
      <c r="CK256" s="140" t="s">
        <v>201</v>
      </c>
      <c r="CL256" s="140">
        <v>2</v>
      </c>
      <c r="CM256" s="140">
        <v>2</v>
      </c>
      <c r="CN256" s="140" t="s">
        <v>166</v>
      </c>
      <c r="CO256" s="294">
        <v>4.2456543477265596</v>
      </c>
      <c r="CP256" s="140" t="s">
        <v>546</v>
      </c>
      <c r="CQ256" s="140">
        <v>0.12736963043179678</v>
      </c>
      <c r="CR256" s="140">
        <v>0.12736963043179678</v>
      </c>
      <c r="CS256" s="291" t="s">
        <v>547</v>
      </c>
      <c r="CT256" s="250" t="s">
        <v>203</v>
      </c>
      <c r="CU256" s="250">
        <v>2.2000000000000002</v>
      </c>
      <c r="CV256" s="140" t="s">
        <v>204</v>
      </c>
      <c r="CW256" s="250" t="s">
        <v>166</v>
      </c>
      <c r="CX256" s="250" t="s">
        <v>166</v>
      </c>
      <c r="CY256" s="250" t="s">
        <v>166</v>
      </c>
      <c r="CZ256" s="250" t="s">
        <v>166</v>
      </c>
      <c r="DA256" s="292" t="s">
        <v>166</v>
      </c>
      <c r="DB256" s="250" t="s">
        <v>166</v>
      </c>
      <c r="DC256" s="250" t="s">
        <v>166</v>
      </c>
      <c r="DD256" s="250" t="s">
        <v>166</v>
      </c>
      <c r="DE256" s="250" t="s">
        <v>166</v>
      </c>
      <c r="DF256" s="250" t="s">
        <v>166</v>
      </c>
      <c r="DG256" s="250">
        <v>35</v>
      </c>
      <c r="DH256" s="250" t="s">
        <v>201</v>
      </c>
      <c r="DI256" s="250">
        <v>1</v>
      </c>
      <c r="DJ256" s="250" t="s">
        <v>206</v>
      </c>
      <c r="DK256" s="250">
        <v>17</v>
      </c>
      <c r="DL256" s="140" t="s">
        <v>166</v>
      </c>
      <c r="DM256" s="140" t="s">
        <v>166</v>
      </c>
      <c r="DN256" s="250" t="s">
        <v>207</v>
      </c>
      <c r="DO256" s="250">
        <v>38</v>
      </c>
      <c r="DP256" s="250" t="s">
        <v>208</v>
      </c>
      <c r="DQ256" s="250">
        <v>3</v>
      </c>
      <c r="DR256" s="250" t="s">
        <v>209</v>
      </c>
      <c r="DS256" s="140" t="s">
        <v>166</v>
      </c>
      <c r="DT256" s="140" t="s">
        <v>166</v>
      </c>
      <c r="DU256" s="140" t="s">
        <v>166</v>
      </c>
      <c r="DV256" s="140" t="s">
        <v>166</v>
      </c>
      <c r="DW256" s="250">
        <v>432.6</v>
      </c>
      <c r="DX256" s="140" t="s">
        <v>166</v>
      </c>
      <c r="DY256" s="140" t="s">
        <v>166</v>
      </c>
      <c r="DZ256" s="140" t="s">
        <v>210</v>
      </c>
      <c r="EA256" s="140" t="s">
        <v>211</v>
      </c>
      <c r="EB256" s="140" t="s">
        <v>212</v>
      </c>
      <c r="EC256" s="140" t="s">
        <v>166</v>
      </c>
      <c r="ED256" s="140" t="s">
        <v>213</v>
      </c>
      <c r="EE256" s="213" t="s">
        <v>214</v>
      </c>
      <c r="EF256" s="213" t="s">
        <v>214</v>
      </c>
      <c r="EG256" s="250">
        <v>1.0271999999999999</v>
      </c>
      <c r="EH256" s="250" t="s">
        <v>215</v>
      </c>
      <c r="EI256" s="250" t="s">
        <v>215</v>
      </c>
      <c r="EJ256" s="250" t="s">
        <v>216</v>
      </c>
      <c r="EK256" s="250" t="s">
        <v>215</v>
      </c>
      <c r="EL256" s="250" t="s">
        <v>215</v>
      </c>
      <c r="EM256" s="250" t="s">
        <v>217</v>
      </c>
      <c r="EN256" s="251" t="s">
        <v>214</v>
      </c>
      <c r="EO256" s="251" t="s">
        <v>214</v>
      </c>
      <c r="EP256" s="251" t="s">
        <v>214</v>
      </c>
      <c r="EQ256" s="251" t="s">
        <v>214</v>
      </c>
      <c r="ER256" s="250"/>
      <c r="ES256" s="250"/>
      <c r="ET256" s="140" t="s">
        <v>218</v>
      </c>
      <c r="EU256" s="250" t="s">
        <v>219</v>
      </c>
      <c r="EV256" s="250" t="s">
        <v>213</v>
      </c>
      <c r="EW256" s="140" t="s">
        <v>166</v>
      </c>
      <c r="EX256" s="140" t="s">
        <v>166</v>
      </c>
      <c r="EY256" s="140" t="s">
        <v>166</v>
      </c>
      <c r="EZ256" s="140" t="s">
        <v>166</v>
      </c>
      <c r="FA256" s="205">
        <v>6.5</v>
      </c>
      <c r="FB256" s="140" t="s">
        <v>220</v>
      </c>
      <c r="FC256" s="205">
        <v>1</v>
      </c>
      <c r="FD256" s="205">
        <v>1</v>
      </c>
      <c r="FE256" s="215">
        <v>7.7202648260065896</v>
      </c>
      <c r="FF256" s="140" t="s">
        <v>221</v>
      </c>
      <c r="FG256" s="215">
        <v>3.1412390212650187E-2</v>
      </c>
      <c r="FH256" s="215">
        <v>3.4717092969439811E-2</v>
      </c>
      <c r="FI256" s="140">
        <v>925.51082357032601</v>
      </c>
      <c r="FK256" s="140" t="s">
        <v>166</v>
      </c>
      <c r="FL256" s="217">
        <f t="shared" si="222"/>
        <v>925.51082357032601</v>
      </c>
      <c r="FM256" s="266">
        <v>175.61319307566396</v>
      </c>
      <c r="FN256" s="266">
        <v>150.22034294710409</v>
      </c>
      <c r="FO256" s="140" t="s">
        <v>222</v>
      </c>
      <c r="FP256" s="140" t="s">
        <v>223</v>
      </c>
      <c r="FQ256" s="217" t="s">
        <v>166</v>
      </c>
      <c r="FR256" s="217" t="s">
        <v>166</v>
      </c>
      <c r="FS256" s="217" t="s">
        <v>166</v>
      </c>
      <c r="FT256" s="217" t="s">
        <v>166</v>
      </c>
      <c r="FU256" s="217" t="s">
        <v>166</v>
      </c>
      <c r="FV256" s="217" t="s">
        <v>166</v>
      </c>
      <c r="FW256" s="217" t="s">
        <v>166</v>
      </c>
      <c r="FX256" s="217" t="s">
        <v>166</v>
      </c>
      <c r="FY256" s="217" t="s">
        <v>166</v>
      </c>
      <c r="FZ256" s="217" t="s">
        <v>166</v>
      </c>
      <c r="GA256" s="217" t="s">
        <v>166</v>
      </c>
      <c r="GB256" s="217" t="s">
        <v>166</v>
      </c>
      <c r="GC256" s="202" t="s">
        <v>548</v>
      </c>
    </row>
    <row r="257" spans="1:185" s="140" customFormat="1" ht="17">
      <c r="A257" s="140" t="s">
        <v>162</v>
      </c>
      <c r="B257" s="143" t="s">
        <v>163</v>
      </c>
      <c r="C257" s="140" t="s">
        <v>164</v>
      </c>
      <c r="D257" s="140" t="s">
        <v>165</v>
      </c>
      <c r="E257" s="140">
        <v>2020</v>
      </c>
      <c r="F257" s="140" t="s">
        <v>184</v>
      </c>
      <c r="G257" s="240">
        <v>40000.175476074219</v>
      </c>
      <c r="H257" s="140">
        <v>0.76</v>
      </c>
      <c r="I257" s="140">
        <v>0.76</v>
      </c>
      <c r="J257" s="241">
        <v>898.81104943231401</v>
      </c>
      <c r="K257" s="266">
        <v>172.24043243057611</v>
      </c>
      <c r="L257" s="266">
        <v>157.58639060602502</v>
      </c>
      <c r="M257" s="140" t="b">
        <v>1</v>
      </c>
      <c r="N257" s="140">
        <v>1</v>
      </c>
      <c r="O257" s="302" t="s">
        <v>581</v>
      </c>
      <c r="P257" s="140" t="s">
        <v>166</v>
      </c>
      <c r="Q257" s="140" t="s">
        <v>166</v>
      </c>
      <c r="R257" s="140" t="s">
        <v>166</v>
      </c>
      <c r="S257" s="140" t="b">
        <v>1</v>
      </c>
      <c r="T257" s="140" t="b">
        <v>0</v>
      </c>
      <c r="U257" s="140" t="s">
        <v>166</v>
      </c>
      <c r="V257" s="140" t="b">
        <v>0</v>
      </c>
      <c r="W257" s="140" t="b">
        <v>0</v>
      </c>
      <c r="X257" s="140" t="s">
        <v>166</v>
      </c>
      <c r="Y257" s="202" t="s">
        <v>186</v>
      </c>
      <c r="Z257" s="140" t="s">
        <v>184</v>
      </c>
      <c r="AA257" s="274">
        <v>865</v>
      </c>
      <c r="AB257" s="140" t="s">
        <v>233</v>
      </c>
      <c r="AC257" s="140">
        <v>4</v>
      </c>
      <c r="AD257" s="140">
        <v>4</v>
      </c>
      <c r="AE257" s="140">
        <v>140</v>
      </c>
      <c r="AF257" s="140">
        <v>142</v>
      </c>
      <c r="AG257" s="140">
        <v>33.409999999999997</v>
      </c>
      <c r="AH257" s="140">
        <v>34.19</v>
      </c>
      <c r="AI257" s="140" t="s">
        <v>558</v>
      </c>
      <c r="AJ257" s="140" t="s">
        <v>559</v>
      </c>
      <c r="AK257" s="286">
        <v>18.4404</v>
      </c>
      <c r="AL257" s="286">
        <v>-179.55500000000001</v>
      </c>
      <c r="AM257" s="286">
        <v>11.3</v>
      </c>
      <c r="AN257" s="287" t="s">
        <v>166</v>
      </c>
      <c r="AO257" s="287">
        <v>-1518</v>
      </c>
      <c r="AP257" s="287">
        <v>-1400</v>
      </c>
      <c r="AQ257" s="140" t="s">
        <v>560</v>
      </c>
      <c r="AR257" s="140" t="s">
        <v>511</v>
      </c>
      <c r="AS257" s="240">
        <v>40.000175476074219</v>
      </c>
      <c r="AT257" s="140" t="s">
        <v>536</v>
      </c>
      <c r="AU257" s="140">
        <v>0.76</v>
      </c>
      <c r="AV257" s="140">
        <v>0.76</v>
      </c>
      <c r="AW257" s="140" t="s">
        <v>255</v>
      </c>
      <c r="AX257" s="140" t="s">
        <v>537</v>
      </c>
      <c r="AY257" s="140" t="s">
        <v>561</v>
      </c>
      <c r="AZ257" s="140" t="s">
        <v>166</v>
      </c>
      <c r="BA257" s="140" t="s">
        <v>166</v>
      </c>
      <c r="BB257" s="140" t="s">
        <v>166</v>
      </c>
      <c r="BC257" s="140" t="s">
        <v>166</v>
      </c>
      <c r="BD257" s="140" t="s">
        <v>166</v>
      </c>
      <c r="BE257" s="140" t="s">
        <v>166</v>
      </c>
      <c r="BF257" s="140" t="s">
        <v>166</v>
      </c>
      <c r="BG257" s="245" t="s">
        <v>229</v>
      </c>
      <c r="BH257" s="140" t="s">
        <v>192</v>
      </c>
      <c r="BI257" s="277">
        <v>296</v>
      </c>
      <c r="BJ257" s="277">
        <v>2.996</v>
      </c>
      <c r="BK257" s="140" t="s">
        <v>544</v>
      </c>
      <c r="BL257" s="140" t="s">
        <v>194</v>
      </c>
      <c r="BM257" s="140" t="s">
        <v>195</v>
      </c>
      <c r="BN257" s="140" t="s">
        <v>566</v>
      </c>
      <c r="BO257" s="140">
        <v>2</v>
      </c>
      <c r="BP257" s="270">
        <v>2.5791316004335485E-2</v>
      </c>
      <c r="BQ257" s="299">
        <v>15.183987882513801</v>
      </c>
      <c r="BR257" s="140" t="s">
        <v>546</v>
      </c>
      <c r="BS257" s="140">
        <v>0.1288520964109425</v>
      </c>
      <c r="BT257" s="140">
        <v>1</v>
      </c>
      <c r="BU257" s="140" t="s">
        <v>197</v>
      </c>
      <c r="BV257" s="140" t="s">
        <v>166</v>
      </c>
      <c r="BW257" s="140">
        <v>0</v>
      </c>
      <c r="BX257" s="140" t="s">
        <v>197</v>
      </c>
      <c r="BY257" s="140" t="s">
        <v>166</v>
      </c>
      <c r="BZ257" s="140" t="s">
        <v>197</v>
      </c>
      <c r="CA257" s="140" t="s">
        <v>166</v>
      </c>
      <c r="CB257" s="210">
        <f t="shared" si="232"/>
        <v>15.183987882513801</v>
      </c>
      <c r="CC257" s="140" t="s">
        <v>196</v>
      </c>
      <c r="CD257" s="140">
        <f t="shared" si="233"/>
        <v>0.1288520964109425</v>
      </c>
      <c r="CE257" s="140" t="s">
        <v>199</v>
      </c>
      <c r="CF257" s="140" t="s">
        <v>166</v>
      </c>
      <c r="CG257" s="140" t="s">
        <v>474</v>
      </c>
      <c r="CH257" s="140" t="s">
        <v>166</v>
      </c>
      <c r="CI257" s="140" t="s">
        <v>166</v>
      </c>
      <c r="CJ257" s="210">
        <v>36.660765554461257</v>
      </c>
      <c r="CK257" s="140" t="s">
        <v>201</v>
      </c>
      <c r="CL257" s="140">
        <v>2</v>
      </c>
      <c r="CM257" s="140">
        <v>2</v>
      </c>
      <c r="CN257" s="140" t="s">
        <v>166</v>
      </c>
      <c r="CO257" s="294">
        <v>4.2950698803647498</v>
      </c>
      <c r="CP257" s="140" t="s">
        <v>546</v>
      </c>
      <c r="CQ257" s="140">
        <v>0.1288520964109425</v>
      </c>
      <c r="CR257" s="140">
        <v>0.1288520964109425</v>
      </c>
      <c r="CS257" s="291" t="s">
        <v>547</v>
      </c>
      <c r="CT257" s="250" t="s">
        <v>203</v>
      </c>
      <c r="CU257" s="250">
        <v>2.2000000000000002</v>
      </c>
      <c r="CV257" s="140" t="s">
        <v>204</v>
      </c>
      <c r="CW257" s="250" t="s">
        <v>166</v>
      </c>
      <c r="CX257" s="250" t="s">
        <v>166</v>
      </c>
      <c r="CY257" s="250" t="s">
        <v>166</v>
      </c>
      <c r="CZ257" s="250" t="s">
        <v>166</v>
      </c>
      <c r="DA257" s="292" t="s">
        <v>166</v>
      </c>
      <c r="DB257" s="250" t="s">
        <v>166</v>
      </c>
      <c r="DC257" s="250" t="s">
        <v>166</v>
      </c>
      <c r="DD257" s="250" t="s">
        <v>166</v>
      </c>
      <c r="DE257" s="250" t="s">
        <v>166</v>
      </c>
      <c r="DF257" s="250" t="s">
        <v>166</v>
      </c>
      <c r="DG257" s="250">
        <v>35</v>
      </c>
      <c r="DH257" s="250" t="s">
        <v>201</v>
      </c>
      <c r="DI257" s="250">
        <v>1</v>
      </c>
      <c r="DJ257" s="250" t="s">
        <v>206</v>
      </c>
      <c r="DK257" s="250">
        <v>17</v>
      </c>
      <c r="DL257" s="140" t="s">
        <v>166</v>
      </c>
      <c r="DM257" s="140" t="s">
        <v>166</v>
      </c>
      <c r="DN257" s="250" t="s">
        <v>207</v>
      </c>
      <c r="DO257" s="250">
        <v>38</v>
      </c>
      <c r="DP257" s="250" t="s">
        <v>208</v>
      </c>
      <c r="DQ257" s="250">
        <v>3</v>
      </c>
      <c r="DR257" s="250" t="s">
        <v>209</v>
      </c>
      <c r="DS257" s="140" t="s">
        <v>166</v>
      </c>
      <c r="DT257" s="140" t="s">
        <v>166</v>
      </c>
      <c r="DU257" s="140" t="s">
        <v>166</v>
      </c>
      <c r="DV257" s="140" t="s">
        <v>166</v>
      </c>
      <c r="DW257" s="250">
        <v>432.6</v>
      </c>
      <c r="DX257" s="140" t="s">
        <v>166</v>
      </c>
      <c r="DY257" s="140" t="s">
        <v>166</v>
      </c>
      <c r="DZ257" s="140" t="s">
        <v>210</v>
      </c>
      <c r="EA257" s="140" t="s">
        <v>211</v>
      </c>
      <c r="EB257" s="140" t="s">
        <v>212</v>
      </c>
      <c r="EC257" s="140" t="s">
        <v>166</v>
      </c>
      <c r="ED257" s="140" t="s">
        <v>213</v>
      </c>
      <c r="EE257" s="213" t="s">
        <v>214</v>
      </c>
      <c r="EF257" s="213" t="s">
        <v>214</v>
      </c>
      <c r="EG257" s="250">
        <v>1.0271999999999999</v>
      </c>
      <c r="EH257" s="250" t="s">
        <v>215</v>
      </c>
      <c r="EI257" s="250" t="s">
        <v>215</v>
      </c>
      <c r="EJ257" s="250" t="s">
        <v>216</v>
      </c>
      <c r="EK257" s="250" t="s">
        <v>215</v>
      </c>
      <c r="EL257" s="250" t="s">
        <v>215</v>
      </c>
      <c r="EM257" s="250" t="s">
        <v>217</v>
      </c>
      <c r="EN257" s="251" t="s">
        <v>214</v>
      </c>
      <c r="EO257" s="251" t="s">
        <v>214</v>
      </c>
      <c r="EP257" s="251" t="s">
        <v>214</v>
      </c>
      <c r="EQ257" s="251" t="s">
        <v>214</v>
      </c>
      <c r="ER257" s="250"/>
      <c r="ES257" s="250"/>
      <c r="ET257" s="140" t="s">
        <v>218</v>
      </c>
      <c r="EU257" s="250" t="s">
        <v>219</v>
      </c>
      <c r="EV257" s="250" t="s">
        <v>213</v>
      </c>
      <c r="EW257" s="140" t="s">
        <v>166</v>
      </c>
      <c r="EX257" s="140" t="s">
        <v>166</v>
      </c>
      <c r="EY257" s="140" t="s">
        <v>166</v>
      </c>
      <c r="EZ257" s="140" t="s">
        <v>166</v>
      </c>
      <c r="FA257" s="205">
        <v>6.5</v>
      </c>
      <c r="FB257" s="140" t="s">
        <v>220</v>
      </c>
      <c r="FC257" s="205">
        <v>1</v>
      </c>
      <c r="FD257" s="205">
        <v>1</v>
      </c>
      <c r="FE257" s="215">
        <v>7.7256652240448398</v>
      </c>
      <c r="FF257" s="140" t="s">
        <v>221</v>
      </c>
      <c r="FG257" s="215">
        <v>3.5213213915650243E-2</v>
      </c>
      <c r="FH257" s="215">
        <v>3.3950407421650119E-2</v>
      </c>
      <c r="FI257" s="140">
        <v>898.81104943231401</v>
      </c>
      <c r="FK257" s="140" t="s">
        <v>166</v>
      </c>
      <c r="FL257" s="217">
        <f t="shared" si="222"/>
        <v>898.81104943231401</v>
      </c>
      <c r="FM257" s="266">
        <v>172.24043243057611</v>
      </c>
      <c r="FN257" s="266">
        <v>157.58639060602502</v>
      </c>
      <c r="FO257" s="140" t="s">
        <v>222</v>
      </c>
      <c r="FP257" s="140" t="s">
        <v>223</v>
      </c>
      <c r="FQ257" s="217" t="s">
        <v>166</v>
      </c>
      <c r="FR257" s="217" t="s">
        <v>166</v>
      </c>
      <c r="FS257" s="217" t="s">
        <v>166</v>
      </c>
      <c r="FT257" s="217" t="s">
        <v>166</v>
      </c>
      <c r="FU257" s="217" t="s">
        <v>166</v>
      </c>
      <c r="FV257" s="217" t="s">
        <v>166</v>
      </c>
      <c r="FW257" s="217" t="s">
        <v>166</v>
      </c>
      <c r="FX257" s="217" t="s">
        <v>166</v>
      </c>
      <c r="FY257" s="217" t="s">
        <v>166</v>
      </c>
      <c r="FZ257" s="217" t="s">
        <v>166</v>
      </c>
      <c r="GA257" s="217" t="s">
        <v>166</v>
      </c>
      <c r="GB257" s="217" t="s">
        <v>166</v>
      </c>
      <c r="GC257" s="202" t="s">
        <v>548</v>
      </c>
    </row>
    <row r="258" spans="1:185" s="140" customFormat="1" ht="17">
      <c r="A258" s="140" t="s">
        <v>162</v>
      </c>
      <c r="B258" s="143" t="s">
        <v>163</v>
      </c>
      <c r="C258" s="140" t="s">
        <v>164</v>
      </c>
      <c r="D258" s="140" t="s">
        <v>165</v>
      </c>
      <c r="E258" s="140">
        <v>2020</v>
      </c>
      <c r="F258" s="140" t="s">
        <v>184</v>
      </c>
      <c r="G258" s="240">
        <v>40031.204223632812</v>
      </c>
      <c r="H258" s="140">
        <v>2.1</v>
      </c>
      <c r="I258" s="140">
        <v>2.1</v>
      </c>
      <c r="J258" s="241">
        <v>1059.41362204236</v>
      </c>
      <c r="K258" s="266">
        <v>211.09878291269001</v>
      </c>
      <c r="L258" s="266">
        <v>182.93878690358804</v>
      </c>
      <c r="M258" s="140" t="b">
        <v>1</v>
      </c>
      <c r="N258" s="140">
        <v>1</v>
      </c>
      <c r="O258" s="302" t="s">
        <v>581</v>
      </c>
      <c r="P258" s="140" t="s">
        <v>166</v>
      </c>
      <c r="Q258" s="140" t="s">
        <v>166</v>
      </c>
      <c r="R258" s="140" t="s">
        <v>166</v>
      </c>
      <c r="S258" s="140" t="b">
        <v>1</v>
      </c>
      <c r="T258" s="140" t="b">
        <v>0</v>
      </c>
      <c r="U258" s="140" t="s">
        <v>166</v>
      </c>
      <c r="V258" s="140" t="b">
        <v>0</v>
      </c>
      <c r="W258" s="140" t="b">
        <v>0</v>
      </c>
      <c r="X258" s="140" t="s">
        <v>166</v>
      </c>
      <c r="Y258" s="202" t="s">
        <v>186</v>
      </c>
      <c r="Z258" s="140" t="s">
        <v>184</v>
      </c>
      <c r="AA258" s="274">
        <v>865</v>
      </c>
      <c r="AB258" s="140" t="s">
        <v>233</v>
      </c>
      <c r="AC258" s="140">
        <v>4</v>
      </c>
      <c r="AD258" s="140">
        <v>5</v>
      </c>
      <c r="AE258" s="140">
        <v>30</v>
      </c>
      <c r="AF258" s="140">
        <v>32</v>
      </c>
      <c r="AG258" s="140">
        <v>33.81</v>
      </c>
      <c r="AH258" s="140">
        <v>34.590000000000003</v>
      </c>
      <c r="AI258" s="140" t="s">
        <v>558</v>
      </c>
      <c r="AJ258" s="140" t="s">
        <v>559</v>
      </c>
      <c r="AK258" s="286">
        <v>18.4404</v>
      </c>
      <c r="AL258" s="286">
        <v>-179.55500000000001</v>
      </c>
      <c r="AM258" s="286">
        <v>11.3</v>
      </c>
      <c r="AN258" s="287" t="s">
        <v>166</v>
      </c>
      <c r="AO258" s="287">
        <v>-1518</v>
      </c>
      <c r="AP258" s="287">
        <v>-1400</v>
      </c>
      <c r="AQ258" s="140" t="s">
        <v>560</v>
      </c>
      <c r="AR258" s="140" t="s">
        <v>511</v>
      </c>
      <c r="AS258" s="240">
        <v>40.031204223632812</v>
      </c>
      <c r="AT258" s="140" t="s">
        <v>536</v>
      </c>
      <c r="AU258" s="140">
        <v>2.1</v>
      </c>
      <c r="AV258" s="140">
        <v>2.1</v>
      </c>
      <c r="AW258" s="140" t="s">
        <v>255</v>
      </c>
      <c r="AX258" s="140" t="s">
        <v>537</v>
      </c>
      <c r="AY258" s="140" t="s">
        <v>561</v>
      </c>
      <c r="AZ258" s="140" t="s">
        <v>166</v>
      </c>
      <c r="BA258" s="140" t="s">
        <v>166</v>
      </c>
      <c r="BB258" s="140" t="s">
        <v>166</v>
      </c>
      <c r="BC258" s="140" t="s">
        <v>166</v>
      </c>
      <c r="BD258" s="140" t="s">
        <v>166</v>
      </c>
      <c r="BE258" s="140" t="s">
        <v>166</v>
      </c>
      <c r="BF258" s="140" t="s">
        <v>166</v>
      </c>
      <c r="BG258" s="245" t="s">
        <v>229</v>
      </c>
      <c r="BH258" s="140" t="s">
        <v>192</v>
      </c>
      <c r="BI258" s="277">
        <v>298</v>
      </c>
      <c r="BJ258" s="277">
        <v>2.9969999999999999</v>
      </c>
      <c r="BK258" s="140" t="s">
        <v>544</v>
      </c>
      <c r="BL258" s="140" t="s">
        <v>194</v>
      </c>
      <c r="BM258" s="140" t="s">
        <v>195</v>
      </c>
      <c r="BN258" s="140" t="s">
        <v>567</v>
      </c>
      <c r="BO258" s="140">
        <v>2</v>
      </c>
      <c r="BP258" s="270">
        <v>4.2764023403554674E-2</v>
      </c>
      <c r="BQ258" s="299">
        <v>14.903625924380499</v>
      </c>
      <c r="BR258" s="140" t="s">
        <v>546</v>
      </c>
      <c r="BS258" s="140">
        <v>0.12971168884056392</v>
      </c>
      <c r="BT258" s="140">
        <v>1</v>
      </c>
      <c r="BU258" s="140" t="s">
        <v>197</v>
      </c>
      <c r="BV258" s="140" t="s">
        <v>166</v>
      </c>
      <c r="BW258" s="140">
        <v>0</v>
      </c>
      <c r="BX258" s="140" t="s">
        <v>197</v>
      </c>
      <c r="BY258" s="140" t="s">
        <v>166</v>
      </c>
      <c r="BZ258" s="140" t="s">
        <v>197</v>
      </c>
      <c r="CA258" s="140" t="s">
        <v>166</v>
      </c>
      <c r="CB258" s="210">
        <f t="shared" si="232"/>
        <v>14.903625924380499</v>
      </c>
      <c r="CC258" s="140" t="s">
        <v>196</v>
      </c>
      <c r="CD258" s="140">
        <f t="shared" si="233"/>
        <v>0.12971168884056392</v>
      </c>
      <c r="CE258" s="140" t="s">
        <v>199</v>
      </c>
      <c r="CF258" s="140" t="s">
        <v>166</v>
      </c>
      <c r="CG258" s="140" t="s">
        <v>474</v>
      </c>
      <c r="CH258" s="140" t="s">
        <v>166</v>
      </c>
      <c r="CI258" s="140" t="s">
        <v>166</v>
      </c>
      <c r="CJ258" s="210">
        <v>36.77873096255059</v>
      </c>
      <c r="CK258" s="140" t="s">
        <v>201</v>
      </c>
      <c r="CL258" s="140">
        <v>2</v>
      </c>
      <c r="CM258" s="140">
        <v>2</v>
      </c>
      <c r="CN258" s="140" t="s">
        <v>166</v>
      </c>
      <c r="CO258" s="294">
        <v>4.3237229613521304</v>
      </c>
      <c r="CP258" s="140" t="s">
        <v>546</v>
      </c>
      <c r="CQ258" s="140">
        <v>0.12971168884056392</v>
      </c>
      <c r="CR258" s="140">
        <v>0.12971168884056392</v>
      </c>
      <c r="CS258" s="291" t="s">
        <v>547</v>
      </c>
      <c r="CT258" s="250" t="s">
        <v>203</v>
      </c>
      <c r="CU258" s="250">
        <v>2.2000000000000002</v>
      </c>
      <c r="CV258" s="140" t="s">
        <v>204</v>
      </c>
      <c r="CW258" s="250" t="s">
        <v>166</v>
      </c>
      <c r="CX258" s="250" t="s">
        <v>166</v>
      </c>
      <c r="CY258" s="250" t="s">
        <v>166</v>
      </c>
      <c r="CZ258" s="250" t="s">
        <v>166</v>
      </c>
      <c r="DA258" s="292" t="s">
        <v>166</v>
      </c>
      <c r="DB258" s="250" t="s">
        <v>166</v>
      </c>
      <c r="DC258" s="250" t="s">
        <v>166</v>
      </c>
      <c r="DD258" s="250" t="s">
        <v>166</v>
      </c>
      <c r="DE258" s="250" t="s">
        <v>166</v>
      </c>
      <c r="DF258" s="250" t="s">
        <v>166</v>
      </c>
      <c r="DG258" s="250">
        <v>35</v>
      </c>
      <c r="DH258" s="250" t="s">
        <v>201</v>
      </c>
      <c r="DI258" s="250">
        <v>1</v>
      </c>
      <c r="DJ258" s="250" t="s">
        <v>206</v>
      </c>
      <c r="DK258" s="250">
        <v>17</v>
      </c>
      <c r="DL258" s="140" t="s">
        <v>166</v>
      </c>
      <c r="DM258" s="140" t="s">
        <v>166</v>
      </c>
      <c r="DN258" s="250" t="s">
        <v>207</v>
      </c>
      <c r="DO258" s="250">
        <v>38</v>
      </c>
      <c r="DP258" s="250" t="s">
        <v>208</v>
      </c>
      <c r="DQ258" s="250">
        <v>3</v>
      </c>
      <c r="DR258" s="250" t="s">
        <v>209</v>
      </c>
      <c r="DS258" s="140" t="s">
        <v>166</v>
      </c>
      <c r="DT258" s="140" t="s">
        <v>166</v>
      </c>
      <c r="DU258" s="140" t="s">
        <v>166</v>
      </c>
      <c r="DV258" s="140" t="s">
        <v>166</v>
      </c>
      <c r="DW258" s="250">
        <v>432.6</v>
      </c>
      <c r="DX258" s="140" t="s">
        <v>166</v>
      </c>
      <c r="DY258" s="140" t="s">
        <v>166</v>
      </c>
      <c r="DZ258" s="140" t="s">
        <v>210</v>
      </c>
      <c r="EA258" s="140" t="s">
        <v>211</v>
      </c>
      <c r="EB258" s="140" t="s">
        <v>212</v>
      </c>
      <c r="EC258" s="140" t="s">
        <v>166</v>
      </c>
      <c r="ED258" s="140" t="s">
        <v>213</v>
      </c>
      <c r="EE258" s="213" t="s">
        <v>214</v>
      </c>
      <c r="EF258" s="213" t="s">
        <v>214</v>
      </c>
      <c r="EG258" s="250">
        <v>1.0271999999999999</v>
      </c>
      <c r="EH258" s="250" t="s">
        <v>215</v>
      </c>
      <c r="EI258" s="250" t="s">
        <v>215</v>
      </c>
      <c r="EJ258" s="250" t="s">
        <v>216</v>
      </c>
      <c r="EK258" s="250" t="s">
        <v>215</v>
      </c>
      <c r="EL258" s="250" t="s">
        <v>215</v>
      </c>
      <c r="EM258" s="250" t="s">
        <v>217</v>
      </c>
      <c r="EN258" s="251" t="s">
        <v>214</v>
      </c>
      <c r="EO258" s="251" t="s">
        <v>214</v>
      </c>
      <c r="EP258" s="251" t="s">
        <v>214</v>
      </c>
      <c r="EQ258" s="251" t="s">
        <v>214</v>
      </c>
      <c r="ER258" s="250"/>
      <c r="ES258" s="250"/>
      <c r="ET258" s="140" t="s">
        <v>218</v>
      </c>
      <c r="EU258" s="250" t="s">
        <v>219</v>
      </c>
      <c r="EV258" s="250" t="s">
        <v>213</v>
      </c>
      <c r="EW258" s="140" t="s">
        <v>166</v>
      </c>
      <c r="EX258" s="140" t="s">
        <v>166</v>
      </c>
      <c r="EY258" s="140" t="s">
        <v>166</v>
      </c>
      <c r="EZ258" s="140" t="s">
        <v>166</v>
      </c>
      <c r="FA258" s="205">
        <v>6.5</v>
      </c>
      <c r="FB258" s="140" t="s">
        <v>220</v>
      </c>
      <c r="FC258" s="205">
        <v>1</v>
      </c>
      <c r="FD258" s="205">
        <v>1</v>
      </c>
      <c r="FE258" s="215">
        <v>7.6884818405548101</v>
      </c>
      <c r="FF258" s="140" t="s">
        <v>221</v>
      </c>
      <c r="FG258" s="215">
        <v>3.7919049607260114E-2</v>
      </c>
      <c r="FH258" s="215">
        <v>3.2756934445219876E-2</v>
      </c>
      <c r="FI258" s="140">
        <v>1059.41362204236</v>
      </c>
      <c r="FK258" s="140" t="s">
        <v>166</v>
      </c>
      <c r="FL258" s="217">
        <f t="shared" si="222"/>
        <v>1059.41362204236</v>
      </c>
      <c r="FM258" s="266">
        <v>211.09878291269001</v>
      </c>
      <c r="FN258" s="266">
        <v>182.93878690358804</v>
      </c>
      <c r="FO258" s="140" t="s">
        <v>222</v>
      </c>
      <c r="FP258" s="140" t="s">
        <v>223</v>
      </c>
      <c r="FQ258" s="217" t="s">
        <v>166</v>
      </c>
      <c r="FR258" s="217" t="s">
        <v>166</v>
      </c>
      <c r="FS258" s="217" t="s">
        <v>166</v>
      </c>
      <c r="FT258" s="217" t="s">
        <v>166</v>
      </c>
      <c r="FU258" s="217" t="s">
        <v>166</v>
      </c>
      <c r="FV258" s="217" t="s">
        <v>166</v>
      </c>
      <c r="FW258" s="217" t="s">
        <v>166</v>
      </c>
      <c r="FX258" s="217" t="s">
        <v>166</v>
      </c>
      <c r="FY258" s="217" t="s">
        <v>166</v>
      </c>
      <c r="FZ258" s="217" t="s">
        <v>166</v>
      </c>
      <c r="GA258" s="217" t="s">
        <v>166</v>
      </c>
      <c r="GB258" s="217" t="s">
        <v>166</v>
      </c>
      <c r="GC258" s="202" t="s">
        <v>548</v>
      </c>
    </row>
    <row r="259" spans="1:185" s="140" customFormat="1" ht="17">
      <c r="A259" s="140" t="s">
        <v>162</v>
      </c>
      <c r="B259" s="143" t="s">
        <v>163</v>
      </c>
      <c r="C259" s="140" t="s">
        <v>164</v>
      </c>
      <c r="D259" s="140" t="s">
        <v>165</v>
      </c>
      <c r="E259" s="140">
        <v>2020</v>
      </c>
      <c r="F259" s="140" t="s">
        <v>184</v>
      </c>
      <c r="G259" s="240">
        <v>40092.166900634766</v>
      </c>
      <c r="H259" s="140">
        <v>2.1</v>
      </c>
      <c r="I259" s="140">
        <v>2.1</v>
      </c>
      <c r="J259" s="241">
        <v>1358.87893243808</v>
      </c>
      <c r="K259" s="266">
        <v>310.28919802394989</v>
      </c>
      <c r="L259" s="266">
        <v>250.32197899376001</v>
      </c>
      <c r="M259" s="140" t="b">
        <v>1</v>
      </c>
      <c r="N259" s="140">
        <v>1</v>
      </c>
      <c r="O259" s="302" t="s">
        <v>581</v>
      </c>
      <c r="P259" s="140" t="s">
        <v>166</v>
      </c>
      <c r="Q259" s="140" t="s">
        <v>166</v>
      </c>
      <c r="R259" s="140" t="s">
        <v>166</v>
      </c>
      <c r="S259" s="140" t="b">
        <v>1</v>
      </c>
      <c r="T259" s="140" t="b">
        <v>0</v>
      </c>
      <c r="U259" s="140" t="s">
        <v>166</v>
      </c>
      <c r="V259" s="140" t="b">
        <v>0</v>
      </c>
      <c r="W259" s="140" t="b">
        <v>0</v>
      </c>
      <c r="X259" s="140" t="s">
        <v>166</v>
      </c>
      <c r="Y259" s="202" t="s">
        <v>186</v>
      </c>
      <c r="Z259" s="140" t="s">
        <v>184</v>
      </c>
      <c r="AA259" s="274">
        <v>865</v>
      </c>
      <c r="AB259" s="140" t="s">
        <v>233</v>
      </c>
      <c r="AC259" s="140">
        <v>4</v>
      </c>
      <c r="AD259" s="140">
        <v>5</v>
      </c>
      <c r="AE259" s="140">
        <v>60</v>
      </c>
      <c r="AF259" s="140">
        <v>62</v>
      </c>
      <c r="AG259" s="140">
        <v>34.11</v>
      </c>
      <c r="AH259" s="140">
        <v>34.89</v>
      </c>
      <c r="AI259" s="140" t="s">
        <v>558</v>
      </c>
      <c r="AJ259" s="140" t="s">
        <v>559</v>
      </c>
      <c r="AK259" s="286">
        <v>18.4404</v>
      </c>
      <c r="AL259" s="286">
        <v>-179.55500000000001</v>
      </c>
      <c r="AM259" s="286">
        <v>11.3</v>
      </c>
      <c r="AN259" s="287" t="s">
        <v>166</v>
      </c>
      <c r="AO259" s="287">
        <v>-1518</v>
      </c>
      <c r="AP259" s="287">
        <v>-1400</v>
      </c>
      <c r="AQ259" s="140" t="s">
        <v>560</v>
      </c>
      <c r="AR259" s="140" t="s">
        <v>511</v>
      </c>
      <c r="AS259" s="240">
        <v>40.092166900634766</v>
      </c>
      <c r="AT259" s="140" t="s">
        <v>536</v>
      </c>
      <c r="AU259" s="140">
        <v>2.1</v>
      </c>
      <c r="AV259" s="140">
        <v>2.1</v>
      </c>
      <c r="AW259" s="140" t="s">
        <v>255</v>
      </c>
      <c r="AX259" s="140" t="s">
        <v>537</v>
      </c>
      <c r="AY259" s="140" t="s">
        <v>561</v>
      </c>
      <c r="AZ259" s="140" t="s">
        <v>166</v>
      </c>
      <c r="BA259" s="140" t="s">
        <v>166</v>
      </c>
      <c r="BB259" s="140" t="s">
        <v>166</v>
      </c>
      <c r="BC259" s="140" t="s">
        <v>166</v>
      </c>
      <c r="BD259" s="140" t="s">
        <v>166</v>
      </c>
      <c r="BE259" s="140" t="s">
        <v>166</v>
      </c>
      <c r="BF259" s="140" t="s">
        <v>166</v>
      </c>
      <c r="BG259" s="245" t="s">
        <v>229</v>
      </c>
      <c r="BH259" s="140" t="s">
        <v>192</v>
      </c>
      <c r="BI259" s="277">
        <v>274</v>
      </c>
      <c r="BJ259" s="277">
        <v>2.7360000000000002</v>
      </c>
      <c r="BK259" s="140" t="s">
        <v>544</v>
      </c>
      <c r="BL259" s="140" t="s">
        <v>194</v>
      </c>
      <c r="BM259" s="140" t="s">
        <v>195</v>
      </c>
      <c r="BN259" s="140" t="s">
        <v>568</v>
      </c>
      <c r="BO259" s="140">
        <v>2</v>
      </c>
      <c r="BP259" s="270">
        <v>0.13232152808946293</v>
      </c>
      <c r="BQ259" s="299">
        <v>14.5023732064193</v>
      </c>
      <c r="BR259" s="140" t="s">
        <v>546</v>
      </c>
      <c r="BS259" s="140">
        <v>0.13299807116248771</v>
      </c>
      <c r="BT259" s="140">
        <v>1</v>
      </c>
      <c r="BU259" s="140" t="s">
        <v>197</v>
      </c>
      <c r="BV259" s="140" t="s">
        <v>166</v>
      </c>
      <c r="BW259" s="140">
        <v>0</v>
      </c>
      <c r="BX259" s="140" t="s">
        <v>197</v>
      </c>
      <c r="BY259" s="140" t="s">
        <v>166</v>
      </c>
      <c r="BZ259" s="140" t="s">
        <v>197</v>
      </c>
      <c r="CA259" s="140" t="s">
        <v>166</v>
      </c>
      <c r="CB259" s="210">
        <f t="shared" si="232"/>
        <v>14.5023732064193</v>
      </c>
      <c r="CC259" s="140" t="s">
        <v>196</v>
      </c>
      <c r="CD259" s="140">
        <f t="shared" si="233"/>
        <v>0.13299807116248771</v>
      </c>
      <c r="CE259" s="140" t="s">
        <v>199</v>
      </c>
      <c r="CF259" s="140" t="s">
        <v>166</v>
      </c>
      <c r="CG259" s="140" t="s">
        <v>474</v>
      </c>
      <c r="CH259" s="140" t="s">
        <v>166</v>
      </c>
      <c r="CI259" s="140" t="s">
        <v>166</v>
      </c>
      <c r="CJ259" s="210">
        <v>37.222638708362219</v>
      </c>
      <c r="CK259" s="140" t="s">
        <v>201</v>
      </c>
      <c r="CL259" s="140">
        <v>2</v>
      </c>
      <c r="CM259" s="140">
        <v>2</v>
      </c>
      <c r="CN259" s="140" t="s">
        <v>166</v>
      </c>
      <c r="CO259" s="294">
        <v>4.4332690387495903</v>
      </c>
      <c r="CP259" s="140" t="s">
        <v>546</v>
      </c>
      <c r="CQ259" s="140">
        <v>0.13299807116248771</v>
      </c>
      <c r="CR259" s="140">
        <v>0.13299807116248771</v>
      </c>
      <c r="CS259" s="291" t="s">
        <v>547</v>
      </c>
      <c r="CT259" s="250" t="s">
        <v>203</v>
      </c>
      <c r="CU259" s="250">
        <v>2.2000000000000002</v>
      </c>
      <c r="CV259" s="140" t="s">
        <v>204</v>
      </c>
      <c r="CW259" s="250" t="s">
        <v>166</v>
      </c>
      <c r="CX259" s="250" t="s">
        <v>166</v>
      </c>
      <c r="CY259" s="250" t="s">
        <v>166</v>
      </c>
      <c r="CZ259" s="250" t="s">
        <v>166</v>
      </c>
      <c r="DA259" s="292" t="s">
        <v>166</v>
      </c>
      <c r="DB259" s="250" t="s">
        <v>166</v>
      </c>
      <c r="DC259" s="250" t="s">
        <v>166</v>
      </c>
      <c r="DD259" s="250" t="s">
        <v>166</v>
      </c>
      <c r="DE259" s="250" t="s">
        <v>166</v>
      </c>
      <c r="DF259" s="250" t="s">
        <v>166</v>
      </c>
      <c r="DG259" s="250">
        <v>35</v>
      </c>
      <c r="DH259" s="250" t="s">
        <v>201</v>
      </c>
      <c r="DI259" s="250">
        <v>1</v>
      </c>
      <c r="DJ259" s="250" t="s">
        <v>206</v>
      </c>
      <c r="DK259" s="250">
        <v>17</v>
      </c>
      <c r="DL259" s="140" t="s">
        <v>166</v>
      </c>
      <c r="DM259" s="140" t="s">
        <v>166</v>
      </c>
      <c r="DN259" s="250" t="s">
        <v>207</v>
      </c>
      <c r="DO259" s="250">
        <v>38</v>
      </c>
      <c r="DP259" s="250" t="s">
        <v>208</v>
      </c>
      <c r="DQ259" s="250">
        <v>3</v>
      </c>
      <c r="DR259" s="250" t="s">
        <v>209</v>
      </c>
      <c r="DS259" s="140" t="s">
        <v>166</v>
      </c>
      <c r="DT259" s="140" t="s">
        <v>166</v>
      </c>
      <c r="DU259" s="140" t="s">
        <v>166</v>
      </c>
      <c r="DV259" s="140" t="s">
        <v>166</v>
      </c>
      <c r="DW259" s="250">
        <v>432.6</v>
      </c>
      <c r="DX259" s="140" t="s">
        <v>166</v>
      </c>
      <c r="DY259" s="140" t="s">
        <v>166</v>
      </c>
      <c r="DZ259" s="140" t="s">
        <v>210</v>
      </c>
      <c r="EA259" s="140" t="s">
        <v>211</v>
      </c>
      <c r="EB259" s="140" t="s">
        <v>212</v>
      </c>
      <c r="EC259" s="140" t="s">
        <v>166</v>
      </c>
      <c r="ED259" s="140" t="s">
        <v>213</v>
      </c>
      <c r="EE259" s="213" t="s">
        <v>214</v>
      </c>
      <c r="EF259" s="213" t="s">
        <v>214</v>
      </c>
      <c r="EG259" s="250">
        <v>1.0271999999999999</v>
      </c>
      <c r="EH259" s="250" t="s">
        <v>215</v>
      </c>
      <c r="EI259" s="250" t="s">
        <v>215</v>
      </c>
      <c r="EJ259" s="250" t="s">
        <v>216</v>
      </c>
      <c r="EK259" s="250" t="s">
        <v>215</v>
      </c>
      <c r="EL259" s="250" t="s">
        <v>215</v>
      </c>
      <c r="EM259" s="250" t="s">
        <v>217</v>
      </c>
      <c r="EN259" s="251" t="s">
        <v>214</v>
      </c>
      <c r="EO259" s="251" t="s">
        <v>214</v>
      </c>
      <c r="EP259" s="251" t="s">
        <v>214</v>
      </c>
      <c r="EQ259" s="251" t="s">
        <v>214</v>
      </c>
      <c r="ER259" s="250"/>
      <c r="ES259" s="250"/>
      <c r="ET259" s="140" t="s">
        <v>218</v>
      </c>
      <c r="EU259" s="250" t="s">
        <v>219</v>
      </c>
      <c r="EV259" s="250" t="s">
        <v>213</v>
      </c>
      <c r="EW259" s="140" t="s">
        <v>166</v>
      </c>
      <c r="EX259" s="140" t="s">
        <v>166</v>
      </c>
      <c r="EY259" s="140" t="s">
        <v>166</v>
      </c>
      <c r="EZ259" s="140" t="s">
        <v>166</v>
      </c>
      <c r="FA259" s="205">
        <v>6.5</v>
      </c>
      <c r="FB259" s="140" t="s">
        <v>220</v>
      </c>
      <c r="FC259" s="205">
        <v>1</v>
      </c>
      <c r="FD259" s="205">
        <v>1</v>
      </c>
      <c r="FE259" s="215">
        <v>7.6309614606177503</v>
      </c>
      <c r="FF259" s="140" t="s">
        <v>221</v>
      </c>
      <c r="FG259" s="215">
        <v>3.7962946373039763E-2</v>
      </c>
      <c r="FH259" s="215">
        <v>4.090764264639013E-2</v>
      </c>
      <c r="FI259" s="140">
        <v>1358.87893243808</v>
      </c>
      <c r="FK259" s="140" t="s">
        <v>166</v>
      </c>
      <c r="FL259" s="217">
        <f t="shared" si="222"/>
        <v>1358.87893243808</v>
      </c>
      <c r="FM259" s="266">
        <v>310.28919802394989</v>
      </c>
      <c r="FN259" s="266">
        <v>250.32197899376001</v>
      </c>
      <c r="FO259" s="140" t="s">
        <v>222</v>
      </c>
      <c r="FP259" s="140" t="s">
        <v>223</v>
      </c>
      <c r="FQ259" s="217" t="s">
        <v>166</v>
      </c>
      <c r="FR259" s="217" t="s">
        <v>166</v>
      </c>
      <c r="FS259" s="217" t="s">
        <v>166</v>
      </c>
      <c r="FT259" s="217" t="s">
        <v>166</v>
      </c>
      <c r="FU259" s="217" t="s">
        <v>166</v>
      </c>
      <c r="FV259" s="217" t="s">
        <v>166</v>
      </c>
      <c r="FW259" s="217" t="s">
        <v>166</v>
      </c>
      <c r="FX259" s="217" t="s">
        <v>166</v>
      </c>
      <c r="FY259" s="217" t="s">
        <v>166</v>
      </c>
      <c r="FZ259" s="217" t="s">
        <v>166</v>
      </c>
      <c r="GA259" s="217" t="s">
        <v>166</v>
      </c>
      <c r="GB259" s="217" t="s">
        <v>166</v>
      </c>
      <c r="GC259" s="202" t="s">
        <v>548</v>
      </c>
    </row>
    <row r="260" spans="1:185" s="140" customFormat="1" ht="17">
      <c r="A260" s="140" t="s">
        <v>162</v>
      </c>
      <c r="B260" s="143" t="s">
        <v>163</v>
      </c>
      <c r="C260" s="140" t="s">
        <v>164</v>
      </c>
      <c r="D260" s="140" t="s">
        <v>165</v>
      </c>
      <c r="E260" s="140">
        <v>2020</v>
      </c>
      <c r="F260" s="140" t="s">
        <v>184</v>
      </c>
      <c r="G260" s="240">
        <v>40139.675140380859</v>
      </c>
      <c r="H260" s="140">
        <v>2.82</v>
      </c>
      <c r="I260" s="140">
        <v>2.82</v>
      </c>
      <c r="J260" s="241">
        <v>1399.8764378315402</v>
      </c>
      <c r="K260" s="266">
        <v>290.34024511207986</v>
      </c>
      <c r="L260" s="266">
        <v>264.28792353510016</v>
      </c>
      <c r="M260" s="140" t="b">
        <v>1</v>
      </c>
      <c r="N260" s="140">
        <v>1</v>
      </c>
      <c r="O260" s="302" t="s">
        <v>581</v>
      </c>
      <c r="P260" s="140" t="s">
        <v>166</v>
      </c>
      <c r="Q260" s="140" t="s">
        <v>166</v>
      </c>
      <c r="R260" s="140" t="s">
        <v>166</v>
      </c>
      <c r="S260" s="140" t="b">
        <v>1</v>
      </c>
      <c r="T260" s="140" t="b">
        <v>0</v>
      </c>
      <c r="U260" s="140" t="s">
        <v>166</v>
      </c>
      <c r="V260" s="140" t="b">
        <v>0</v>
      </c>
      <c r="W260" s="140" t="b">
        <v>0</v>
      </c>
      <c r="X260" s="140" t="s">
        <v>166</v>
      </c>
      <c r="Y260" s="202" t="s">
        <v>186</v>
      </c>
      <c r="Z260" s="140" t="s">
        <v>184</v>
      </c>
      <c r="AA260" s="284">
        <v>865</v>
      </c>
      <c r="AB260" s="140" t="s">
        <v>250</v>
      </c>
      <c r="AC260" s="140">
        <v>5</v>
      </c>
      <c r="AD260" s="140">
        <v>1</v>
      </c>
      <c r="AE260" s="140">
        <v>5</v>
      </c>
      <c r="AF260" s="140">
        <v>7</v>
      </c>
      <c r="AG260" s="140">
        <v>31.86</v>
      </c>
      <c r="AH260" s="140">
        <v>35.075981140136719</v>
      </c>
      <c r="AI260" s="140" t="s">
        <v>558</v>
      </c>
      <c r="AJ260" s="140" t="s">
        <v>559</v>
      </c>
      <c r="AK260" s="286">
        <v>18.4404</v>
      </c>
      <c r="AL260" s="286">
        <v>-179.55500000000001</v>
      </c>
      <c r="AM260" s="286">
        <v>11.3</v>
      </c>
      <c r="AN260" s="287" t="s">
        <v>166</v>
      </c>
      <c r="AO260" s="287">
        <v>-1518</v>
      </c>
      <c r="AP260" s="287">
        <v>-1400</v>
      </c>
      <c r="AQ260" s="140" t="s">
        <v>560</v>
      </c>
      <c r="AR260" s="140" t="s">
        <v>511</v>
      </c>
      <c r="AS260" s="240">
        <v>40.139675140380859</v>
      </c>
      <c r="AT260" s="140" t="s">
        <v>536</v>
      </c>
      <c r="AU260" s="140">
        <v>2.82</v>
      </c>
      <c r="AV260" s="140">
        <v>2.82</v>
      </c>
      <c r="AW260" s="140" t="s">
        <v>255</v>
      </c>
      <c r="AX260" s="140" t="s">
        <v>537</v>
      </c>
      <c r="AY260" s="140" t="s">
        <v>561</v>
      </c>
      <c r="AZ260" s="140" t="s">
        <v>166</v>
      </c>
      <c r="BA260" s="140" t="s">
        <v>166</v>
      </c>
      <c r="BB260" s="140" t="s">
        <v>166</v>
      </c>
      <c r="BC260" s="140" t="s">
        <v>166</v>
      </c>
      <c r="BD260" s="140" t="s">
        <v>166</v>
      </c>
      <c r="BE260" s="140" t="s">
        <v>166</v>
      </c>
      <c r="BF260" s="140" t="s">
        <v>166</v>
      </c>
      <c r="BG260" s="245" t="s">
        <v>229</v>
      </c>
      <c r="BH260" s="140" t="s">
        <v>192</v>
      </c>
      <c r="BI260" s="277" t="s">
        <v>542</v>
      </c>
      <c r="BJ260" s="289" t="s">
        <v>543</v>
      </c>
      <c r="BK260" s="140" t="s">
        <v>544</v>
      </c>
      <c r="BL260" s="140" t="s">
        <v>194</v>
      </c>
      <c r="BM260" s="140" t="s">
        <v>195</v>
      </c>
      <c r="BN260" s="140" t="s">
        <v>569</v>
      </c>
      <c r="BO260" s="140">
        <v>2</v>
      </c>
      <c r="BP260" s="300">
        <v>6.2866847382430535E-2</v>
      </c>
      <c r="BQ260" s="299">
        <v>14.4822803056653</v>
      </c>
      <c r="BR260" s="140" t="s">
        <v>546</v>
      </c>
      <c r="BS260" s="140">
        <v>0.14184055735331308</v>
      </c>
      <c r="BT260" s="140">
        <v>1</v>
      </c>
      <c r="BU260" s="140" t="s">
        <v>197</v>
      </c>
      <c r="BV260" s="140" t="s">
        <v>166</v>
      </c>
      <c r="BW260" s="140">
        <v>0</v>
      </c>
      <c r="BX260" s="140" t="s">
        <v>197</v>
      </c>
      <c r="BY260" s="140" t="s">
        <v>166</v>
      </c>
      <c r="BZ260" s="140" t="s">
        <v>197</v>
      </c>
      <c r="CA260" s="140" t="s">
        <v>166</v>
      </c>
      <c r="CB260" s="210">
        <f t="shared" si="232"/>
        <v>14.4822803056653</v>
      </c>
      <c r="CC260" s="140" t="s">
        <v>196</v>
      </c>
      <c r="CD260" s="140">
        <f t="shared" si="233"/>
        <v>0.14184055735331308</v>
      </c>
      <c r="CE260" s="140" t="s">
        <v>199</v>
      </c>
      <c r="CF260" s="140" t="s">
        <v>166</v>
      </c>
      <c r="CG260" s="140" t="s">
        <v>474</v>
      </c>
      <c r="CH260" s="140" t="s">
        <v>166</v>
      </c>
      <c r="CI260" s="140" t="s">
        <v>166</v>
      </c>
      <c r="CJ260" s="210">
        <v>38.364661375848726</v>
      </c>
      <c r="CK260" s="140" t="s">
        <v>201</v>
      </c>
      <c r="CL260" s="140">
        <v>2</v>
      </c>
      <c r="CM260" s="140">
        <v>2</v>
      </c>
      <c r="CN260" s="140" t="s">
        <v>166</v>
      </c>
      <c r="CO260" s="294">
        <v>4.7280185784437698</v>
      </c>
      <c r="CP260" s="140" t="s">
        <v>546</v>
      </c>
      <c r="CQ260" s="140">
        <v>0.14184055735331308</v>
      </c>
      <c r="CR260" s="140">
        <v>0.14184055735331308</v>
      </c>
      <c r="CS260" s="291" t="s">
        <v>547</v>
      </c>
      <c r="CT260" s="250" t="s">
        <v>203</v>
      </c>
      <c r="CU260" s="250">
        <v>2.2000000000000002</v>
      </c>
      <c r="CV260" s="140" t="s">
        <v>204</v>
      </c>
      <c r="CW260" s="250" t="s">
        <v>166</v>
      </c>
      <c r="CX260" s="250" t="s">
        <v>166</v>
      </c>
      <c r="CY260" s="250" t="s">
        <v>166</v>
      </c>
      <c r="CZ260" s="250" t="s">
        <v>166</v>
      </c>
      <c r="DA260" s="292" t="s">
        <v>166</v>
      </c>
      <c r="DB260" s="250" t="s">
        <v>166</v>
      </c>
      <c r="DC260" s="250" t="s">
        <v>166</v>
      </c>
      <c r="DD260" s="250" t="s">
        <v>166</v>
      </c>
      <c r="DE260" s="250" t="s">
        <v>166</v>
      </c>
      <c r="DF260" s="250" t="s">
        <v>166</v>
      </c>
      <c r="DG260" s="250">
        <v>35</v>
      </c>
      <c r="DH260" s="250" t="s">
        <v>201</v>
      </c>
      <c r="DI260" s="250">
        <v>1</v>
      </c>
      <c r="DJ260" s="250" t="s">
        <v>206</v>
      </c>
      <c r="DK260" s="250">
        <v>17</v>
      </c>
      <c r="DL260" s="140" t="s">
        <v>166</v>
      </c>
      <c r="DM260" s="140" t="s">
        <v>166</v>
      </c>
      <c r="DN260" s="250" t="s">
        <v>207</v>
      </c>
      <c r="DO260" s="250">
        <v>38</v>
      </c>
      <c r="DP260" s="250" t="s">
        <v>208</v>
      </c>
      <c r="DQ260" s="250">
        <v>3</v>
      </c>
      <c r="DR260" s="250" t="s">
        <v>209</v>
      </c>
      <c r="DS260" s="140" t="s">
        <v>166</v>
      </c>
      <c r="DT260" s="140" t="s">
        <v>166</v>
      </c>
      <c r="DU260" s="140" t="s">
        <v>166</v>
      </c>
      <c r="DV260" s="140" t="s">
        <v>166</v>
      </c>
      <c r="DW260" s="250">
        <v>432.6</v>
      </c>
      <c r="DX260" s="140" t="s">
        <v>166</v>
      </c>
      <c r="DY260" s="140" t="s">
        <v>166</v>
      </c>
      <c r="DZ260" s="140" t="s">
        <v>210</v>
      </c>
      <c r="EA260" s="140" t="s">
        <v>211</v>
      </c>
      <c r="EB260" s="140" t="s">
        <v>212</v>
      </c>
      <c r="EC260" s="140" t="s">
        <v>166</v>
      </c>
      <c r="ED260" s="140" t="s">
        <v>213</v>
      </c>
      <c r="EE260" s="213" t="s">
        <v>214</v>
      </c>
      <c r="EF260" s="213" t="s">
        <v>214</v>
      </c>
      <c r="EG260" s="250">
        <v>1.0271999999999999</v>
      </c>
      <c r="EH260" s="250" t="s">
        <v>215</v>
      </c>
      <c r="EI260" s="250" t="s">
        <v>215</v>
      </c>
      <c r="EJ260" s="250" t="s">
        <v>216</v>
      </c>
      <c r="EK260" s="250" t="s">
        <v>215</v>
      </c>
      <c r="EL260" s="250" t="s">
        <v>215</v>
      </c>
      <c r="EM260" s="250" t="s">
        <v>217</v>
      </c>
      <c r="EN260" s="251" t="s">
        <v>214</v>
      </c>
      <c r="EO260" s="251" t="s">
        <v>214</v>
      </c>
      <c r="EP260" s="251" t="s">
        <v>214</v>
      </c>
      <c r="EQ260" s="251" t="s">
        <v>214</v>
      </c>
      <c r="ER260" s="250"/>
      <c r="ES260" s="250"/>
      <c r="ET260" s="140" t="s">
        <v>218</v>
      </c>
      <c r="EU260" s="250" t="s">
        <v>219</v>
      </c>
      <c r="EV260" s="250" t="s">
        <v>213</v>
      </c>
      <c r="EW260" s="140" t="s">
        <v>166</v>
      </c>
      <c r="EX260" s="140" t="s">
        <v>166</v>
      </c>
      <c r="EY260" s="140" t="s">
        <v>166</v>
      </c>
      <c r="EZ260" s="140" t="s">
        <v>166</v>
      </c>
      <c r="FA260" s="205">
        <v>6.5</v>
      </c>
      <c r="FB260" s="140" t="s">
        <v>220</v>
      </c>
      <c r="FC260" s="205">
        <v>1</v>
      </c>
      <c r="FD260" s="205">
        <v>1</v>
      </c>
      <c r="FE260" s="215">
        <v>7.6170459780384698</v>
      </c>
      <c r="FF260" s="140" t="s">
        <v>221</v>
      </c>
      <c r="FG260" s="215">
        <v>3.6290929945110406E-2</v>
      </c>
      <c r="FH260" s="215">
        <v>3.915741877356016E-2</v>
      </c>
      <c r="FI260" s="140">
        <v>1399.8764378315402</v>
      </c>
      <c r="FK260" s="140" t="s">
        <v>166</v>
      </c>
      <c r="FL260" s="217">
        <f t="shared" si="222"/>
        <v>1399.8764378315402</v>
      </c>
      <c r="FM260" s="266">
        <v>290.34024511207986</v>
      </c>
      <c r="FN260" s="266">
        <v>264.28792353510016</v>
      </c>
      <c r="FO260" s="140" t="s">
        <v>222</v>
      </c>
      <c r="FP260" s="140" t="s">
        <v>223</v>
      </c>
      <c r="FQ260" s="217" t="s">
        <v>166</v>
      </c>
      <c r="FR260" s="217" t="s">
        <v>166</v>
      </c>
      <c r="FS260" s="217" t="s">
        <v>166</v>
      </c>
      <c r="FT260" s="217" t="s">
        <v>166</v>
      </c>
      <c r="FU260" s="217" t="s">
        <v>166</v>
      </c>
      <c r="FV260" s="217" t="s">
        <v>166</v>
      </c>
      <c r="FW260" s="217" t="s">
        <v>166</v>
      </c>
      <c r="FX260" s="217" t="s">
        <v>166</v>
      </c>
      <c r="FY260" s="217" t="s">
        <v>166</v>
      </c>
      <c r="FZ260" s="217" t="s">
        <v>166</v>
      </c>
      <c r="GA260" s="217" t="s">
        <v>166</v>
      </c>
      <c r="GB260" s="217" t="s">
        <v>166</v>
      </c>
      <c r="GC260" s="202" t="s">
        <v>548</v>
      </c>
    </row>
    <row r="261" spans="1:185" s="140" customFormat="1" ht="17">
      <c r="A261" s="140" t="s">
        <v>162</v>
      </c>
      <c r="B261" s="143" t="s">
        <v>163</v>
      </c>
      <c r="C261" s="140" t="s">
        <v>164</v>
      </c>
      <c r="D261" s="140" t="s">
        <v>165</v>
      </c>
      <c r="E261" s="140">
        <v>2020</v>
      </c>
      <c r="F261" s="140" t="s">
        <v>184</v>
      </c>
      <c r="G261" s="240">
        <v>40139.675140380859</v>
      </c>
      <c r="H261" s="140">
        <v>2.82</v>
      </c>
      <c r="I261" s="140">
        <v>2.82</v>
      </c>
      <c r="J261" s="241">
        <v>1344.1305267736</v>
      </c>
      <c r="K261" s="266">
        <v>297.61875919023987</v>
      </c>
      <c r="L261" s="266">
        <v>258.50820204315983</v>
      </c>
      <c r="M261" s="140" t="b">
        <v>1</v>
      </c>
      <c r="N261" s="140">
        <v>1</v>
      </c>
      <c r="O261" s="302" t="s">
        <v>581</v>
      </c>
      <c r="P261" s="140" t="s">
        <v>166</v>
      </c>
      <c r="Q261" s="140" t="s">
        <v>166</v>
      </c>
      <c r="R261" s="140" t="s">
        <v>166</v>
      </c>
      <c r="S261" s="140" t="b">
        <v>1</v>
      </c>
      <c r="T261" s="140" t="b">
        <v>0</v>
      </c>
      <c r="U261" s="140" t="s">
        <v>166</v>
      </c>
      <c r="V261" s="140" t="b">
        <v>0</v>
      </c>
      <c r="W261" s="140" t="b">
        <v>0</v>
      </c>
      <c r="X261" s="140" t="s">
        <v>166</v>
      </c>
      <c r="Y261" s="202" t="s">
        <v>186</v>
      </c>
      <c r="Z261" s="140" t="s">
        <v>184</v>
      </c>
      <c r="AA261" s="284">
        <v>865</v>
      </c>
      <c r="AB261" s="140" t="s">
        <v>250</v>
      </c>
      <c r="AC261" s="140">
        <v>5</v>
      </c>
      <c r="AD261" s="140">
        <v>1</v>
      </c>
      <c r="AE261" s="140">
        <v>5</v>
      </c>
      <c r="AF261" s="140">
        <v>7</v>
      </c>
      <c r="AG261" s="140">
        <v>31.86</v>
      </c>
      <c r="AH261" s="140">
        <v>35.075981140136719</v>
      </c>
      <c r="AI261" s="140" t="s">
        <v>558</v>
      </c>
      <c r="AJ261" s="140" t="s">
        <v>559</v>
      </c>
      <c r="AK261" s="286">
        <v>18.4404</v>
      </c>
      <c r="AL261" s="286">
        <v>-179.55500000000001</v>
      </c>
      <c r="AM261" s="286">
        <v>11.3</v>
      </c>
      <c r="AN261" s="287" t="s">
        <v>166</v>
      </c>
      <c r="AO261" s="287">
        <v>-1518</v>
      </c>
      <c r="AP261" s="287">
        <v>-1400</v>
      </c>
      <c r="AQ261" s="140" t="s">
        <v>560</v>
      </c>
      <c r="AR261" s="140" t="s">
        <v>511</v>
      </c>
      <c r="AS261" s="240">
        <v>40.139675140380859</v>
      </c>
      <c r="AT261" s="140" t="s">
        <v>536</v>
      </c>
      <c r="AU261" s="140">
        <v>2.82</v>
      </c>
      <c r="AV261" s="140">
        <v>2.82</v>
      </c>
      <c r="AW261" s="140" t="s">
        <v>255</v>
      </c>
      <c r="AX261" s="140" t="s">
        <v>537</v>
      </c>
      <c r="AY261" s="140" t="s">
        <v>561</v>
      </c>
      <c r="AZ261" s="140" t="s">
        <v>166</v>
      </c>
      <c r="BA261" s="140" t="s">
        <v>166</v>
      </c>
      <c r="BB261" s="140" t="s">
        <v>166</v>
      </c>
      <c r="BC261" s="140" t="s">
        <v>166</v>
      </c>
      <c r="BD261" s="140" t="s">
        <v>166</v>
      </c>
      <c r="BE261" s="140" t="s">
        <v>166</v>
      </c>
      <c r="BF261" s="140" t="s">
        <v>166</v>
      </c>
      <c r="BG261" s="245" t="s">
        <v>541</v>
      </c>
      <c r="BH261" s="140" t="s">
        <v>192</v>
      </c>
      <c r="BI261" s="277" t="s">
        <v>542</v>
      </c>
      <c r="BJ261" s="289" t="s">
        <v>543</v>
      </c>
      <c r="BK261" s="140" t="s">
        <v>544</v>
      </c>
      <c r="BL261" s="140" t="s">
        <v>194</v>
      </c>
      <c r="BM261" s="140" t="s">
        <v>195</v>
      </c>
      <c r="BN261" s="140" t="s">
        <v>570</v>
      </c>
      <c r="BO261" s="140">
        <v>2</v>
      </c>
      <c r="BP261" s="300">
        <v>8.4164235866516876E-2</v>
      </c>
      <c r="BQ261" s="299">
        <v>14.522409800270299</v>
      </c>
      <c r="BR261" s="140" t="s">
        <v>546</v>
      </c>
      <c r="BS261" s="140">
        <v>0.1320919954757955</v>
      </c>
      <c r="BT261" s="140">
        <v>1</v>
      </c>
      <c r="BU261" s="140" t="s">
        <v>197</v>
      </c>
      <c r="BV261" s="140" t="s">
        <v>166</v>
      </c>
      <c r="BW261" s="140">
        <v>0</v>
      </c>
      <c r="BX261" s="140" t="s">
        <v>197</v>
      </c>
      <c r="BY261" s="140" t="s">
        <v>166</v>
      </c>
      <c r="BZ261" s="140" t="s">
        <v>197</v>
      </c>
      <c r="CA261" s="140" t="s">
        <v>166</v>
      </c>
      <c r="CB261" s="210">
        <f t="shared" si="232"/>
        <v>14.522409800270299</v>
      </c>
      <c r="CC261" s="140" t="s">
        <v>196</v>
      </c>
      <c r="CD261" s="140">
        <f t="shared" si="233"/>
        <v>0.1320919954757955</v>
      </c>
      <c r="CE261" s="140" t="s">
        <v>199</v>
      </c>
      <c r="CF261" s="140" t="s">
        <v>166</v>
      </c>
      <c r="CG261" s="140" t="s">
        <v>474</v>
      </c>
      <c r="CH261" s="140" t="s">
        <v>166</v>
      </c>
      <c r="CI261" s="140" t="s">
        <v>166</v>
      </c>
      <c r="CJ261" s="210">
        <v>37.101355436831575</v>
      </c>
      <c r="CK261" s="140" t="s">
        <v>201</v>
      </c>
      <c r="CL261" s="140">
        <v>2</v>
      </c>
      <c r="CM261" s="140">
        <v>2</v>
      </c>
      <c r="CN261" s="140" t="s">
        <v>166</v>
      </c>
      <c r="CO261" s="294">
        <v>4.4030665158598499</v>
      </c>
      <c r="CP261" s="140" t="s">
        <v>546</v>
      </c>
      <c r="CQ261" s="140">
        <v>0.1320919954757955</v>
      </c>
      <c r="CR261" s="140">
        <v>0.1320919954757955</v>
      </c>
      <c r="CS261" s="291" t="s">
        <v>547</v>
      </c>
      <c r="CT261" s="250" t="s">
        <v>203</v>
      </c>
      <c r="CU261" s="250">
        <v>2.2000000000000002</v>
      </c>
      <c r="CV261" s="140" t="s">
        <v>204</v>
      </c>
      <c r="CW261" s="250" t="s">
        <v>166</v>
      </c>
      <c r="CX261" s="250" t="s">
        <v>166</v>
      </c>
      <c r="CY261" s="250" t="s">
        <v>166</v>
      </c>
      <c r="CZ261" s="250" t="s">
        <v>166</v>
      </c>
      <c r="DA261" s="292" t="s">
        <v>166</v>
      </c>
      <c r="DB261" s="250" t="s">
        <v>166</v>
      </c>
      <c r="DC261" s="250" t="s">
        <v>166</v>
      </c>
      <c r="DD261" s="250" t="s">
        <v>166</v>
      </c>
      <c r="DE261" s="250" t="s">
        <v>166</v>
      </c>
      <c r="DF261" s="250" t="s">
        <v>166</v>
      </c>
      <c r="DG261" s="250">
        <v>35</v>
      </c>
      <c r="DH261" s="250" t="s">
        <v>201</v>
      </c>
      <c r="DI261" s="250">
        <v>1</v>
      </c>
      <c r="DJ261" s="250" t="s">
        <v>206</v>
      </c>
      <c r="DK261" s="250">
        <v>17</v>
      </c>
      <c r="DL261" s="140" t="s">
        <v>166</v>
      </c>
      <c r="DM261" s="140" t="s">
        <v>166</v>
      </c>
      <c r="DN261" s="250" t="s">
        <v>207</v>
      </c>
      <c r="DO261" s="250">
        <v>38</v>
      </c>
      <c r="DP261" s="250" t="s">
        <v>208</v>
      </c>
      <c r="DQ261" s="250">
        <v>3</v>
      </c>
      <c r="DR261" s="250" t="s">
        <v>209</v>
      </c>
      <c r="DS261" s="140" t="s">
        <v>166</v>
      </c>
      <c r="DT261" s="140" t="s">
        <v>166</v>
      </c>
      <c r="DU261" s="140" t="s">
        <v>166</v>
      </c>
      <c r="DV261" s="140" t="s">
        <v>166</v>
      </c>
      <c r="DW261" s="250">
        <v>432.6</v>
      </c>
      <c r="DX261" s="140" t="s">
        <v>166</v>
      </c>
      <c r="DY261" s="140" t="s">
        <v>166</v>
      </c>
      <c r="DZ261" s="140" t="s">
        <v>210</v>
      </c>
      <c r="EA261" s="140" t="s">
        <v>211</v>
      </c>
      <c r="EB261" s="140" t="s">
        <v>212</v>
      </c>
      <c r="EC261" s="140" t="s">
        <v>166</v>
      </c>
      <c r="ED261" s="140" t="s">
        <v>213</v>
      </c>
      <c r="EE261" s="213" t="s">
        <v>214</v>
      </c>
      <c r="EF261" s="213" t="s">
        <v>214</v>
      </c>
      <c r="EG261" s="250">
        <v>1.0271999999999999</v>
      </c>
      <c r="EH261" s="250" t="s">
        <v>215</v>
      </c>
      <c r="EI261" s="250" t="s">
        <v>215</v>
      </c>
      <c r="EJ261" s="250" t="s">
        <v>216</v>
      </c>
      <c r="EK261" s="250" t="s">
        <v>215</v>
      </c>
      <c r="EL261" s="250" t="s">
        <v>215</v>
      </c>
      <c r="EM261" s="250" t="s">
        <v>217</v>
      </c>
      <c r="EN261" s="251" t="s">
        <v>214</v>
      </c>
      <c r="EO261" s="251" t="s">
        <v>214</v>
      </c>
      <c r="EP261" s="251" t="s">
        <v>214</v>
      </c>
      <c r="EQ261" s="251" t="s">
        <v>214</v>
      </c>
      <c r="ER261" s="250"/>
      <c r="ES261" s="250"/>
      <c r="ET261" s="140" t="s">
        <v>218</v>
      </c>
      <c r="EU261" s="250" t="s">
        <v>219</v>
      </c>
      <c r="EV261" s="250" t="s">
        <v>213</v>
      </c>
      <c r="EW261" s="140" t="s">
        <v>166</v>
      </c>
      <c r="EX261" s="140" t="s">
        <v>166</v>
      </c>
      <c r="EY261" s="140" t="s">
        <v>166</v>
      </c>
      <c r="EZ261" s="140" t="s">
        <v>166</v>
      </c>
      <c r="FA261" s="205">
        <v>6.5</v>
      </c>
      <c r="FB261" s="140" t="s">
        <v>220</v>
      </c>
      <c r="FC261" s="205">
        <v>1</v>
      </c>
      <c r="FD261" s="205">
        <v>1</v>
      </c>
      <c r="FE261" s="215">
        <v>7.6351248643297298</v>
      </c>
      <c r="FF261" s="140" t="s">
        <v>221</v>
      </c>
      <c r="FG261" s="215">
        <v>3.7468878772190628E-2</v>
      </c>
      <c r="FH261" s="215">
        <v>3.9267009291969579E-2</v>
      </c>
      <c r="FI261" s="140">
        <v>1344.1305267736</v>
      </c>
      <c r="FK261" s="140" t="s">
        <v>166</v>
      </c>
      <c r="FL261" s="217">
        <f t="shared" si="222"/>
        <v>1344.1305267736</v>
      </c>
      <c r="FM261" s="266">
        <v>297.61875919023987</v>
      </c>
      <c r="FN261" s="266">
        <v>258.50820204315983</v>
      </c>
      <c r="FO261" s="140" t="s">
        <v>222</v>
      </c>
      <c r="FP261" s="140" t="s">
        <v>223</v>
      </c>
      <c r="FQ261" s="217" t="s">
        <v>166</v>
      </c>
      <c r="FR261" s="217" t="s">
        <v>166</v>
      </c>
      <c r="FS261" s="217" t="s">
        <v>166</v>
      </c>
      <c r="FT261" s="217" t="s">
        <v>166</v>
      </c>
      <c r="FU261" s="217" t="s">
        <v>166</v>
      </c>
      <c r="FV261" s="217" t="s">
        <v>166</v>
      </c>
      <c r="FW261" s="217" t="s">
        <v>166</v>
      </c>
      <c r="FX261" s="217" t="s">
        <v>166</v>
      </c>
      <c r="FY261" s="217" t="s">
        <v>166</v>
      </c>
      <c r="FZ261" s="217" t="s">
        <v>166</v>
      </c>
      <c r="GA261" s="217" t="s">
        <v>166</v>
      </c>
      <c r="GB261" s="217" t="s">
        <v>166</v>
      </c>
      <c r="GC261" s="202" t="s">
        <v>548</v>
      </c>
    </row>
    <row r="262" spans="1:185" s="140" customFormat="1" ht="17">
      <c r="A262" s="140" t="s">
        <v>162</v>
      </c>
      <c r="B262" s="143" t="s">
        <v>163</v>
      </c>
      <c r="C262" s="140" t="s">
        <v>164</v>
      </c>
      <c r="D262" s="140" t="s">
        <v>165</v>
      </c>
      <c r="E262" s="140">
        <v>2020</v>
      </c>
      <c r="F262" s="140" t="s">
        <v>184</v>
      </c>
      <c r="G262" s="240">
        <v>40168.716430664062</v>
      </c>
      <c r="H262" s="140">
        <v>2.82</v>
      </c>
      <c r="I262" s="140">
        <v>2.82</v>
      </c>
      <c r="J262" s="241">
        <v>1839.20320311058</v>
      </c>
      <c r="K262" s="266">
        <v>498.8072272974</v>
      </c>
      <c r="L262" s="266">
        <v>366.02183682495001</v>
      </c>
      <c r="M262" s="140" t="b">
        <v>1</v>
      </c>
      <c r="N262" s="140">
        <v>1</v>
      </c>
      <c r="O262" s="302" t="s">
        <v>581</v>
      </c>
      <c r="P262" s="140" t="s">
        <v>166</v>
      </c>
      <c r="Q262" s="140" t="s">
        <v>166</v>
      </c>
      <c r="R262" s="140" t="s">
        <v>166</v>
      </c>
      <c r="S262" s="140" t="b">
        <v>1</v>
      </c>
      <c r="T262" s="140" t="b">
        <v>0</v>
      </c>
      <c r="U262" s="140" t="s">
        <v>166</v>
      </c>
      <c r="V262" s="140" t="b">
        <v>0</v>
      </c>
      <c r="W262" s="140" t="b">
        <v>0</v>
      </c>
      <c r="X262" s="140" t="s">
        <v>166</v>
      </c>
      <c r="Y262" s="202" t="s">
        <v>186</v>
      </c>
      <c r="Z262" s="140" t="s">
        <v>184</v>
      </c>
      <c r="AA262" s="274">
        <v>865</v>
      </c>
      <c r="AB262" s="140" t="s">
        <v>250</v>
      </c>
      <c r="AC262" s="140">
        <v>5</v>
      </c>
      <c r="AD262" s="140">
        <v>1</v>
      </c>
      <c r="AE262" s="140">
        <v>15</v>
      </c>
      <c r="AF262" s="140">
        <f>AE262+2</f>
        <v>17</v>
      </c>
      <c r="AG262" s="140">
        <v>31.96</v>
      </c>
      <c r="AH262" s="140">
        <v>35.171379089355469</v>
      </c>
      <c r="AI262" s="140" t="s">
        <v>558</v>
      </c>
      <c r="AJ262" s="140" t="s">
        <v>559</v>
      </c>
      <c r="AK262" s="286">
        <v>18.4404</v>
      </c>
      <c r="AL262" s="286">
        <v>-179.55500000000001</v>
      </c>
      <c r="AM262" s="286">
        <v>11.3</v>
      </c>
      <c r="AN262" s="287" t="s">
        <v>166</v>
      </c>
      <c r="AO262" s="287">
        <v>-1518</v>
      </c>
      <c r="AP262" s="287">
        <v>-1400</v>
      </c>
      <c r="AQ262" s="140" t="s">
        <v>560</v>
      </c>
      <c r="AR262" s="140" t="s">
        <v>511</v>
      </c>
      <c r="AS262" s="240">
        <v>40.168716430664062</v>
      </c>
      <c r="AT262" s="140" t="s">
        <v>536</v>
      </c>
      <c r="AU262" s="140">
        <v>2.82</v>
      </c>
      <c r="AV262" s="140">
        <v>2.82</v>
      </c>
      <c r="AW262" s="140" t="s">
        <v>255</v>
      </c>
      <c r="AX262" s="140" t="s">
        <v>537</v>
      </c>
      <c r="AY262" s="140" t="s">
        <v>561</v>
      </c>
      <c r="AZ262" s="140" t="s">
        <v>166</v>
      </c>
      <c r="BA262" s="140" t="s">
        <v>166</v>
      </c>
      <c r="BB262" s="140" t="s">
        <v>166</v>
      </c>
      <c r="BC262" s="140" t="s">
        <v>166</v>
      </c>
      <c r="BD262" s="140" t="s">
        <v>166</v>
      </c>
      <c r="BE262" s="140" t="s">
        <v>166</v>
      </c>
      <c r="BF262" s="140" t="s">
        <v>166</v>
      </c>
      <c r="BG262" s="245" t="s">
        <v>229</v>
      </c>
      <c r="BH262" s="140" t="s">
        <v>192</v>
      </c>
      <c r="BI262" s="277">
        <v>201</v>
      </c>
      <c r="BJ262" s="277">
        <v>1.9790000000000001</v>
      </c>
      <c r="BK262" s="140" t="s">
        <v>544</v>
      </c>
      <c r="BL262" s="140" t="s">
        <v>194</v>
      </c>
      <c r="BM262" s="140" t="s">
        <v>195</v>
      </c>
      <c r="BN262" s="140" t="s">
        <v>571</v>
      </c>
      <c r="BO262" s="140">
        <v>2</v>
      </c>
      <c r="BP262" s="270">
        <v>0.12165635629390791</v>
      </c>
      <c r="BQ262" s="299">
        <v>14.108486542101801</v>
      </c>
      <c r="BR262" s="140" t="s">
        <v>546</v>
      </c>
      <c r="BS262" s="140">
        <v>0.14975116731234178</v>
      </c>
      <c r="BT262" s="140">
        <v>1</v>
      </c>
      <c r="BU262" s="140" t="s">
        <v>197</v>
      </c>
      <c r="BV262" s="140" t="s">
        <v>166</v>
      </c>
      <c r="BW262" s="140">
        <v>0</v>
      </c>
      <c r="BX262" s="140" t="s">
        <v>197</v>
      </c>
      <c r="BY262" s="140" t="s">
        <v>166</v>
      </c>
      <c r="BZ262" s="140" t="s">
        <v>197</v>
      </c>
      <c r="CA262" s="140" t="s">
        <v>166</v>
      </c>
      <c r="CB262" s="210">
        <f t="shared" si="232"/>
        <v>14.108486542101801</v>
      </c>
      <c r="CC262" s="140" t="s">
        <v>196</v>
      </c>
      <c r="CD262" s="140">
        <f t="shared" si="233"/>
        <v>0.14975116731234178</v>
      </c>
      <c r="CE262" s="140" t="s">
        <v>199</v>
      </c>
      <c r="CF262" s="140" t="s">
        <v>166</v>
      </c>
      <c r="CG262" s="140" t="s">
        <v>474</v>
      </c>
      <c r="CH262" s="140" t="s">
        <v>166</v>
      </c>
      <c r="CI262" s="140" t="s">
        <v>166</v>
      </c>
      <c r="CJ262" s="210">
        <v>39.327535565582096</v>
      </c>
      <c r="CK262" s="140" t="s">
        <v>201</v>
      </c>
      <c r="CL262" s="140">
        <v>2</v>
      </c>
      <c r="CM262" s="140">
        <v>2</v>
      </c>
      <c r="CN262" s="140" t="s">
        <v>166</v>
      </c>
      <c r="CO262" s="294">
        <v>4.9917055770780596</v>
      </c>
      <c r="CP262" s="140" t="s">
        <v>546</v>
      </c>
      <c r="CQ262" s="140">
        <v>0.14975116731234178</v>
      </c>
      <c r="CR262" s="140">
        <v>0.14975116731234178</v>
      </c>
      <c r="CS262" s="291" t="s">
        <v>547</v>
      </c>
      <c r="CT262" s="250" t="s">
        <v>203</v>
      </c>
      <c r="CU262" s="250">
        <v>2.2000000000000002</v>
      </c>
      <c r="CV262" s="140" t="s">
        <v>204</v>
      </c>
      <c r="CW262" s="250" t="s">
        <v>166</v>
      </c>
      <c r="CX262" s="250" t="s">
        <v>166</v>
      </c>
      <c r="CY262" s="250" t="s">
        <v>166</v>
      </c>
      <c r="CZ262" s="250" t="s">
        <v>166</v>
      </c>
      <c r="DA262" s="292" t="s">
        <v>166</v>
      </c>
      <c r="DB262" s="250" t="s">
        <v>166</v>
      </c>
      <c r="DC262" s="250" t="s">
        <v>166</v>
      </c>
      <c r="DD262" s="250" t="s">
        <v>166</v>
      </c>
      <c r="DE262" s="250" t="s">
        <v>166</v>
      </c>
      <c r="DF262" s="250" t="s">
        <v>166</v>
      </c>
      <c r="DG262" s="250">
        <v>35</v>
      </c>
      <c r="DH262" s="250" t="s">
        <v>201</v>
      </c>
      <c r="DI262" s="250">
        <v>1</v>
      </c>
      <c r="DJ262" s="250" t="s">
        <v>206</v>
      </c>
      <c r="DK262" s="250">
        <v>17</v>
      </c>
      <c r="DL262" s="140" t="s">
        <v>166</v>
      </c>
      <c r="DM262" s="140" t="s">
        <v>166</v>
      </c>
      <c r="DN262" s="250" t="s">
        <v>207</v>
      </c>
      <c r="DO262" s="250">
        <v>38</v>
      </c>
      <c r="DP262" s="250" t="s">
        <v>208</v>
      </c>
      <c r="DQ262" s="250">
        <v>3</v>
      </c>
      <c r="DR262" s="250" t="s">
        <v>209</v>
      </c>
      <c r="DS262" s="140" t="s">
        <v>166</v>
      </c>
      <c r="DT262" s="140" t="s">
        <v>166</v>
      </c>
      <c r="DU262" s="140" t="s">
        <v>166</v>
      </c>
      <c r="DV262" s="140" t="s">
        <v>166</v>
      </c>
      <c r="DW262" s="250">
        <v>432.6</v>
      </c>
      <c r="DX262" s="140" t="s">
        <v>166</v>
      </c>
      <c r="DY262" s="140" t="s">
        <v>166</v>
      </c>
      <c r="DZ262" s="140" t="s">
        <v>210</v>
      </c>
      <c r="EA262" s="140" t="s">
        <v>211</v>
      </c>
      <c r="EB262" s="140" t="s">
        <v>212</v>
      </c>
      <c r="EC262" s="140" t="s">
        <v>166</v>
      </c>
      <c r="ED262" s="140" t="s">
        <v>213</v>
      </c>
      <c r="EE262" s="213" t="s">
        <v>214</v>
      </c>
      <c r="EF262" s="213" t="s">
        <v>214</v>
      </c>
      <c r="EG262" s="250">
        <v>1.0271999999999999</v>
      </c>
      <c r="EH262" s="250" t="s">
        <v>215</v>
      </c>
      <c r="EI262" s="250" t="s">
        <v>215</v>
      </c>
      <c r="EJ262" s="250" t="s">
        <v>216</v>
      </c>
      <c r="EK262" s="250" t="s">
        <v>215</v>
      </c>
      <c r="EL262" s="250" t="s">
        <v>215</v>
      </c>
      <c r="EM262" s="250" t="s">
        <v>217</v>
      </c>
      <c r="EN262" s="251" t="s">
        <v>214</v>
      </c>
      <c r="EO262" s="251" t="s">
        <v>214</v>
      </c>
      <c r="EP262" s="251" t="s">
        <v>214</v>
      </c>
      <c r="EQ262" s="251" t="s">
        <v>214</v>
      </c>
      <c r="ER262" s="250"/>
      <c r="ES262" s="250"/>
      <c r="ET262" s="140" t="s">
        <v>218</v>
      </c>
      <c r="EU262" s="250" t="s">
        <v>219</v>
      </c>
      <c r="EV262" s="250" t="s">
        <v>213</v>
      </c>
      <c r="EW262" s="140" t="s">
        <v>166</v>
      </c>
      <c r="EX262" s="140" t="s">
        <v>166</v>
      </c>
      <c r="EY262" s="140" t="s">
        <v>166</v>
      </c>
      <c r="EZ262" s="140" t="s">
        <v>166</v>
      </c>
      <c r="FA262" s="205">
        <v>6.5</v>
      </c>
      <c r="FB262" s="140" t="s">
        <v>220</v>
      </c>
      <c r="FC262" s="205">
        <v>1</v>
      </c>
      <c r="FD262" s="205">
        <v>1</v>
      </c>
      <c r="FE262" s="215">
        <v>7.5511949793748201</v>
      </c>
      <c r="FF262" s="140" t="s">
        <v>221</v>
      </c>
      <c r="FG262" s="215">
        <v>4.19106573207495E-2</v>
      </c>
      <c r="FH262" s="215">
        <v>4.6098019658300515E-2</v>
      </c>
      <c r="FI262" s="140">
        <v>1839.20320311058</v>
      </c>
      <c r="FK262" s="140" t="s">
        <v>166</v>
      </c>
      <c r="FL262" s="217">
        <f t="shared" si="222"/>
        <v>1839.20320311058</v>
      </c>
      <c r="FM262" s="266">
        <v>498.8072272974</v>
      </c>
      <c r="FN262" s="266">
        <v>366.02183682495001</v>
      </c>
      <c r="FO262" s="140" t="s">
        <v>222</v>
      </c>
      <c r="FP262" s="140" t="s">
        <v>223</v>
      </c>
      <c r="FQ262" s="217" t="s">
        <v>166</v>
      </c>
      <c r="FR262" s="217" t="s">
        <v>166</v>
      </c>
      <c r="FS262" s="217" t="s">
        <v>166</v>
      </c>
      <c r="FT262" s="217" t="s">
        <v>166</v>
      </c>
      <c r="FU262" s="217" t="s">
        <v>166</v>
      </c>
      <c r="FV262" s="217" t="s">
        <v>166</v>
      </c>
      <c r="FW262" s="217" t="s">
        <v>166</v>
      </c>
      <c r="FX262" s="217" t="s">
        <v>166</v>
      </c>
      <c r="FY262" s="217" t="s">
        <v>166</v>
      </c>
      <c r="FZ262" s="217" t="s">
        <v>166</v>
      </c>
      <c r="GA262" s="217" t="s">
        <v>166</v>
      </c>
      <c r="GB262" s="217" t="s">
        <v>166</v>
      </c>
      <c r="GC262" s="202" t="s">
        <v>548</v>
      </c>
    </row>
    <row r="263" spans="1:185" s="140" customFormat="1" ht="17">
      <c r="A263" s="140" t="s">
        <v>162</v>
      </c>
      <c r="B263" s="143" t="s">
        <v>163</v>
      </c>
      <c r="C263" s="140" t="s">
        <v>164</v>
      </c>
      <c r="D263" s="140" t="s">
        <v>165</v>
      </c>
      <c r="E263" s="140">
        <v>2020</v>
      </c>
      <c r="F263" s="140" t="s">
        <v>184</v>
      </c>
      <c r="G263" s="240">
        <v>40244.403839111328</v>
      </c>
      <c r="H263" s="140">
        <v>16.91</v>
      </c>
      <c r="I263" s="140">
        <v>16.91</v>
      </c>
      <c r="J263" s="241">
        <v>937.032960953273</v>
      </c>
      <c r="K263" s="266">
        <v>185.15717989526706</v>
      </c>
      <c r="L263" s="266">
        <v>162.00871334290503</v>
      </c>
      <c r="M263" s="140" t="b">
        <v>1</v>
      </c>
      <c r="N263" s="140">
        <v>1</v>
      </c>
      <c r="O263" s="302" t="s">
        <v>581</v>
      </c>
      <c r="P263" s="140" t="s">
        <v>166</v>
      </c>
      <c r="Q263" s="140" t="s">
        <v>166</v>
      </c>
      <c r="R263" s="140" t="s">
        <v>166</v>
      </c>
      <c r="S263" s="140" t="b">
        <v>1</v>
      </c>
      <c r="T263" s="140" t="b">
        <v>0</v>
      </c>
      <c r="U263" s="140" t="s">
        <v>166</v>
      </c>
      <c r="V263" s="140" t="b">
        <v>0</v>
      </c>
      <c r="W263" s="140" t="b">
        <v>0</v>
      </c>
      <c r="X263" s="140" t="s">
        <v>166</v>
      </c>
      <c r="Y263" s="202" t="s">
        <v>186</v>
      </c>
      <c r="Z263" s="140" t="s">
        <v>184</v>
      </c>
      <c r="AA263" s="274">
        <v>865</v>
      </c>
      <c r="AB263" s="140" t="s">
        <v>250</v>
      </c>
      <c r="AC263" s="140">
        <v>5</v>
      </c>
      <c r="AD263" s="140">
        <v>1</v>
      </c>
      <c r="AE263" s="140">
        <v>35</v>
      </c>
      <c r="AF263" s="140">
        <v>47</v>
      </c>
      <c r="AG263" s="140">
        <v>32.21</v>
      </c>
      <c r="AH263" s="140">
        <v>35.420000076293945</v>
      </c>
      <c r="AI263" s="140" t="s">
        <v>558</v>
      </c>
      <c r="AJ263" s="140" t="s">
        <v>559</v>
      </c>
      <c r="AK263" s="286">
        <v>18.4404</v>
      </c>
      <c r="AL263" s="286">
        <v>-179.55500000000001</v>
      </c>
      <c r="AM263" s="286">
        <v>11.3</v>
      </c>
      <c r="AN263" s="287" t="s">
        <v>166</v>
      </c>
      <c r="AO263" s="287">
        <v>-1518</v>
      </c>
      <c r="AP263" s="287">
        <v>-1400</v>
      </c>
      <c r="AQ263" s="140" t="s">
        <v>560</v>
      </c>
      <c r="AR263" s="140" t="s">
        <v>511</v>
      </c>
      <c r="AS263" s="240">
        <v>40.244403839111328</v>
      </c>
      <c r="AT263" s="140" t="s">
        <v>536</v>
      </c>
      <c r="AU263" s="140">
        <v>16.91</v>
      </c>
      <c r="AV263" s="140">
        <v>16.91</v>
      </c>
      <c r="AW263" s="140" t="s">
        <v>255</v>
      </c>
      <c r="AX263" s="140" t="s">
        <v>537</v>
      </c>
      <c r="AY263" s="140" t="s">
        <v>561</v>
      </c>
      <c r="AZ263" s="140" t="s">
        <v>166</v>
      </c>
      <c r="BA263" s="140" t="s">
        <v>166</v>
      </c>
      <c r="BB263" s="140" t="s">
        <v>166</v>
      </c>
      <c r="BC263" s="140" t="s">
        <v>166</v>
      </c>
      <c r="BD263" s="140" t="s">
        <v>166</v>
      </c>
      <c r="BE263" s="140" t="s">
        <v>166</v>
      </c>
      <c r="BF263" s="140" t="s">
        <v>166</v>
      </c>
      <c r="BG263" s="245" t="s">
        <v>229</v>
      </c>
      <c r="BH263" s="140" t="s">
        <v>192</v>
      </c>
      <c r="BI263" s="277">
        <v>307</v>
      </c>
      <c r="BJ263" s="293">
        <v>3.0019999999999998</v>
      </c>
      <c r="BK263" s="140" t="s">
        <v>544</v>
      </c>
      <c r="BL263" s="140" t="s">
        <v>194</v>
      </c>
      <c r="BM263" s="140" t="s">
        <v>195</v>
      </c>
      <c r="BN263" s="140" t="s">
        <v>572</v>
      </c>
      <c r="BO263" s="140">
        <v>2</v>
      </c>
      <c r="BP263" s="270">
        <v>0.10393409289200761</v>
      </c>
      <c r="BQ263" s="298">
        <v>15.0622474937866</v>
      </c>
      <c r="BR263" s="140" t="s">
        <v>546</v>
      </c>
      <c r="BS263" s="140">
        <v>0.11790200400723599</v>
      </c>
      <c r="BT263" s="140">
        <v>1</v>
      </c>
      <c r="BU263" s="140" t="s">
        <v>197</v>
      </c>
      <c r="BV263" s="140" t="s">
        <v>166</v>
      </c>
      <c r="BW263" s="140">
        <v>0</v>
      </c>
      <c r="BX263" s="140" t="s">
        <v>197</v>
      </c>
      <c r="BY263" s="140" t="s">
        <v>166</v>
      </c>
      <c r="BZ263" s="140" t="s">
        <v>197</v>
      </c>
      <c r="CA263" s="140" t="s">
        <v>166</v>
      </c>
      <c r="CB263" s="210">
        <f t="shared" si="232"/>
        <v>15.0622474937866</v>
      </c>
      <c r="CC263" s="140" t="s">
        <v>196</v>
      </c>
      <c r="CD263" s="140">
        <f t="shared" si="233"/>
        <v>0.11790200400723599</v>
      </c>
      <c r="CE263" s="140" t="s">
        <v>199</v>
      </c>
      <c r="CF263" s="140" t="s">
        <v>166</v>
      </c>
      <c r="CG263" s="140" t="s">
        <v>474</v>
      </c>
      <c r="CH263" s="140" t="s">
        <v>166</v>
      </c>
      <c r="CI263" s="140" t="s">
        <v>166</v>
      </c>
      <c r="CJ263" s="210">
        <v>35.085089551751778</v>
      </c>
      <c r="CK263" s="140" t="s">
        <v>201</v>
      </c>
      <c r="CL263" s="140">
        <v>2</v>
      </c>
      <c r="CM263" s="140">
        <v>2</v>
      </c>
      <c r="CN263" s="140" t="s">
        <v>166</v>
      </c>
      <c r="CO263" s="294">
        <v>3.9300668002412</v>
      </c>
      <c r="CP263" s="140" t="s">
        <v>546</v>
      </c>
      <c r="CQ263" s="140">
        <v>0.11790200400723599</v>
      </c>
      <c r="CR263" s="140">
        <v>0.11790200400723599</v>
      </c>
      <c r="CS263" s="291" t="s">
        <v>547</v>
      </c>
      <c r="CT263" s="250" t="s">
        <v>203</v>
      </c>
      <c r="CU263" s="250">
        <v>2.2000000000000002</v>
      </c>
      <c r="CV263" s="140" t="s">
        <v>204</v>
      </c>
      <c r="CW263" s="250" t="s">
        <v>166</v>
      </c>
      <c r="CX263" s="250" t="s">
        <v>166</v>
      </c>
      <c r="CY263" s="250" t="s">
        <v>166</v>
      </c>
      <c r="CZ263" s="250" t="s">
        <v>166</v>
      </c>
      <c r="DA263" s="292" t="s">
        <v>166</v>
      </c>
      <c r="DB263" s="250" t="s">
        <v>166</v>
      </c>
      <c r="DC263" s="250" t="s">
        <v>166</v>
      </c>
      <c r="DD263" s="250" t="s">
        <v>166</v>
      </c>
      <c r="DE263" s="250" t="s">
        <v>166</v>
      </c>
      <c r="DF263" s="250" t="s">
        <v>166</v>
      </c>
      <c r="DG263" s="250">
        <v>35</v>
      </c>
      <c r="DH263" s="250" t="s">
        <v>201</v>
      </c>
      <c r="DI263" s="250">
        <v>1</v>
      </c>
      <c r="DJ263" s="250" t="s">
        <v>206</v>
      </c>
      <c r="DK263" s="250">
        <v>17</v>
      </c>
      <c r="DL263" s="140" t="s">
        <v>166</v>
      </c>
      <c r="DM263" s="140" t="s">
        <v>166</v>
      </c>
      <c r="DN263" s="250" t="s">
        <v>207</v>
      </c>
      <c r="DO263" s="250">
        <v>38</v>
      </c>
      <c r="DP263" s="250" t="s">
        <v>208</v>
      </c>
      <c r="DQ263" s="250">
        <v>3</v>
      </c>
      <c r="DR263" s="250" t="s">
        <v>209</v>
      </c>
      <c r="DS263" s="140" t="s">
        <v>166</v>
      </c>
      <c r="DT263" s="140" t="s">
        <v>166</v>
      </c>
      <c r="DU263" s="140" t="s">
        <v>166</v>
      </c>
      <c r="DV263" s="140" t="s">
        <v>166</v>
      </c>
      <c r="DW263" s="250">
        <v>432.6</v>
      </c>
      <c r="DX263" s="140" t="s">
        <v>166</v>
      </c>
      <c r="DY263" s="140" t="s">
        <v>166</v>
      </c>
      <c r="DZ263" s="140" t="s">
        <v>210</v>
      </c>
      <c r="EA263" s="140" t="s">
        <v>211</v>
      </c>
      <c r="EB263" s="140" t="s">
        <v>212</v>
      </c>
      <c r="EC263" s="140" t="s">
        <v>166</v>
      </c>
      <c r="ED263" s="140" t="s">
        <v>213</v>
      </c>
      <c r="EE263" s="213" t="s">
        <v>214</v>
      </c>
      <c r="EF263" s="213" t="s">
        <v>214</v>
      </c>
      <c r="EG263" s="250">
        <v>1.0271999999999999</v>
      </c>
      <c r="EH263" s="250" t="s">
        <v>215</v>
      </c>
      <c r="EI263" s="250" t="s">
        <v>215</v>
      </c>
      <c r="EJ263" s="250" t="s">
        <v>216</v>
      </c>
      <c r="EK263" s="250" t="s">
        <v>215</v>
      </c>
      <c r="EL263" s="250" t="s">
        <v>215</v>
      </c>
      <c r="EM263" s="250" t="s">
        <v>217</v>
      </c>
      <c r="EN263" s="251" t="s">
        <v>214</v>
      </c>
      <c r="EO263" s="251" t="s">
        <v>214</v>
      </c>
      <c r="EP263" s="251" t="s">
        <v>214</v>
      </c>
      <c r="EQ263" s="251" t="s">
        <v>214</v>
      </c>
      <c r="ER263" s="250"/>
      <c r="ES263" s="250"/>
      <c r="ET263" s="140" t="s">
        <v>218</v>
      </c>
      <c r="EU263" s="250" t="s">
        <v>219</v>
      </c>
      <c r="EV263" s="250" t="s">
        <v>213</v>
      </c>
      <c r="EW263" s="140" t="s">
        <v>166</v>
      </c>
      <c r="EX263" s="140" t="s">
        <v>166</v>
      </c>
      <c r="EY263" s="140" t="s">
        <v>166</v>
      </c>
      <c r="EZ263" s="140" t="s">
        <v>166</v>
      </c>
      <c r="FA263" s="205">
        <v>6.5</v>
      </c>
      <c r="FB263" s="140" t="s">
        <v>220</v>
      </c>
      <c r="FC263" s="205">
        <v>1</v>
      </c>
      <c r="FD263" s="205">
        <v>1</v>
      </c>
      <c r="FE263" s="215">
        <v>7.7270203418415102</v>
      </c>
      <c r="FF263" s="140" t="s">
        <v>221</v>
      </c>
      <c r="FG263" s="215">
        <v>3.5014588909890065E-2</v>
      </c>
      <c r="FH263" s="215">
        <v>3.4215883321940588E-2</v>
      </c>
      <c r="FI263" s="140">
        <v>937.032960953273</v>
      </c>
      <c r="FK263" s="140" t="s">
        <v>166</v>
      </c>
      <c r="FL263" s="217">
        <f t="shared" si="222"/>
        <v>937.032960953273</v>
      </c>
      <c r="FM263" s="266">
        <v>185.15717989526706</v>
      </c>
      <c r="FN263" s="266">
        <v>162.00871334290503</v>
      </c>
      <c r="FO263" s="140" t="s">
        <v>222</v>
      </c>
      <c r="FP263" s="140" t="s">
        <v>223</v>
      </c>
      <c r="FQ263" s="217" t="s">
        <v>166</v>
      </c>
      <c r="FR263" s="217" t="s">
        <v>166</v>
      </c>
      <c r="FS263" s="217" t="s">
        <v>166</v>
      </c>
      <c r="FT263" s="217" t="s">
        <v>166</v>
      </c>
      <c r="FU263" s="217" t="s">
        <v>166</v>
      </c>
      <c r="FV263" s="217" t="s">
        <v>166</v>
      </c>
      <c r="FW263" s="217" t="s">
        <v>166</v>
      </c>
      <c r="FX263" s="217" t="s">
        <v>166</v>
      </c>
      <c r="FY263" s="217" t="s">
        <v>166</v>
      </c>
      <c r="FZ263" s="217" t="s">
        <v>166</v>
      </c>
      <c r="GA263" s="217" t="s">
        <v>166</v>
      </c>
      <c r="GB263" s="217" t="s">
        <v>166</v>
      </c>
      <c r="GC263" s="202" t="s">
        <v>548</v>
      </c>
    </row>
    <row r="264" spans="1:185" s="140" customFormat="1" ht="17">
      <c r="A264" s="140" t="s">
        <v>162</v>
      </c>
      <c r="B264" s="143" t="s">
        <v>163</v>
      </c>
      <c r="C264" s="140" t="s">
        <v>164</v>
      </c>
      <c r="D264" s="140" t="s">
        <v>165</v>
      </c>
      <c r="E264" s="140">
        <v>2020</v>
      </c>
      <c r="F264" s="140" t="s">
        <v>184</v>
      </c>
      <c r="G264" s="240">
        <v>40309.352874755859</v>
      </c>
      <c r="H264" s="140">
        <v>16.95</v>
      </c>
      <c r="I264" s="140">
        <v>16.95</v>
      </c>
      <c r="J264" s="241">
        <v>961.74138238659305</v>
      </c>
      <c r="K264" s="266">
        <v>168.17773269620682</v>
      </c>
      <c r="L264" s="266">
        <v>167.91501741491402</v>
      </c>
      <c r="M264" s="140" t="b">
        <v>1</v>
      </c>
      <c r="N264" s="140">
        <v>1</v>
      </c>
      <c r="O264" s="302" t="s">
        <v>581</v>
      </c>
      <c r="P264" s="140" t="s">
        <v>166</v>
      </c>
      <c r="Q264" s="140" t="s">
        <v>166</v>
      </c>
      <c r="R264" s="140" t="s">
        <v>166</v>
      </c>
      <c r="S264" s="140" t="b">
        <v>1</v>
      </c>
      <c r="T264" s="140" t="b">
        <v>0</v>
      </c>
      <c r="U264" s="140" t="s">
        <v>166</v>
      </c>
      <c r="V264" s="140" t="b">
        <v>0</v>
      </c>
      <c r="W264" s="140" t="b">
        <v>0</v>
      </c>
      <c r="X264" s="140" t="s">
        <v>166</v>
      </c>
      <c r="Y264" s="202" t="s">
        <v>186</v>
      </c>
      <c r="Z264" s="140" t="s">
        <v>184</v>
      </c>
      <c r="AA264" s="274">
        <v>865</v>
      </c>
      <c r="AB264" s="140" t="s">
        <v>250</v>
      </c>
      <c r="AC264" s="140">
        <v>5</v>
      </c>
      <c r="AD264" s="140">
        <v>1</v>
      </c>
      <c r="AE264" s="140">
        <v>55</v>
      </c>
      <c r="AF264" s="140">
        <v>67</v>
      </c>
      <c r="AG264" s="140">
        <v>32.409999999999997</v>
      </c>
      <c r="AH264" s="140">
        <v>35.633332570393883</v>
      </c>
      <c r="AI264" s="140" t="s">
        <v>558</v>
      </c>
      <c r="AJ264" s="140" t="s">
        <v>559</v>
      </c>
      <c r="AK264" s="286">
        <v>18.4404</v>
      </c>
      <c r="AL264" s="286">
        <v>-179.55500000000001</v>
      </c>
      <c r="AM264" s="286">
        <v>11.3</v>
      </c>
      <c r="AN264" s="287" t="s">
        <v>166</v>
      </c>
      <c r="AO264" s="287">
        <v>-1518</v>
      </c>
      <c r="AP264" s="287">
        <v>-1400</v>
      </c>
      <c r="AQ264" s="140" t="s">
        <v>560</v>
      </c>
      <c r="AR264" s="140" t="s">
        <v>511</v>
      </c>
      <c r="AS264" s="240">
        <v>40.309352874755859</v>
      </c>
      <c r="AT264" s="140" t="s">
        <v>536</v>
      </c>
      <c r="AU264" s="140">
        <v>16.95</v>
      </c>
      <c r="AV264" s="140">
        <v>16.95</v>
      </c>
      <c r="AW264" s="140" t="s">
        <v>255</v>
      </c>
      <c r="AX264" s="140" t="s">
        <v>537</v>
      </c>
      <c r="AY264" s="140" t="s">
        <v>561</v>
      </c>
      <c r="AZ264" s="140" t="s">
        <v>166</v>
      </c>
      <c r="BA264" s="140" t="s">
        <v>166</v>
      </c>
      <c r="BB264" s="140" t="s">
        <v>166</v>
      </c>
      <c r="BC264" s="140" t="s">
        <v>166</v>
      </c>
      <c r="BD264" s="140" t="s">
        <v>166</v>
      </c>
      <c r="BE264" s="140" t="s">
        <v>166</v>
      </c>
      <c r="BF264" s="140" t="s">
        <v>166</v>
      </c>
      <c r="BG264" s="245" t="s">
        <v>229</v>
      </c>
      <c r="BH264" s="140" t="s">
        <v>192</v>
      </c>
      <c r="BI264" s="277">
        <v>362</v>
      </c>
      <c r="BJ264" s="277">
        <v>3.4420000000000002</v>
      </c>
      <c r="BK264" s="140" t="s">
        <v>544</v>
      </c>
      <c r="BL264" s="140" t="s">
        <v>194</v>
      </c>
      <c r="BM264" s="140" t="s">
        <v>195</v>
      </c>
      <c r="BN264" s="140" t="s">
        <v>573</v>
      </c>
      <c r="BO264" s="140">
        <v>2</v>
      </c>
      <c r="BP264" s="270">
        <v>1.1610281301638992E-2</v>
      </c>
      <c r="BQ264" s="298">
        <v>15.007905118144199</v>
      </c>
      <c r="BR264" s="140" t="s">
        <v>546</v>
      </c>
      <c r="BS264" s="140">
        <v>0.11752585685097089</v>
      </c>
      <c r="BT264" s="140">
        <v>1</v>
      </c>
      <c r="BU264" s="140" t="s">
        <v>197</v>
      </c>
      <c r="BV264" s="140" t="s">
        <v>166</v>
      </c>
      <c r="BW264" s="140">
        <v>0</v>
      </c>
      <c r="BX264" s="140" t="s">
        <v>197</v>
      </c>
      <c r="BY264" s="140" t="s">
        <v>166</v>
      </c>
      <c r="BZ264" s="140" t="s">
        <v>197</v>
      </c>
      <c r="CA264" s="140" t="s">
        <v>166</v>
      </c>
      <c r="CB264" s="210">
        <f t="shared" si="232"/>
        <v>15.007905118144199</v>
      </c>
      <c r="CC264" s="140" t="s">
        <v>196</v>
      </c>
      <c r="CD264" s="140">
        <f t="shared" si="233"/>
        <v>0.11752585685097089</v>
      </c>
      <c r="CE264" s="140" t="s">
        <v>199</v>
      </c>
      <c r="CF264" s="140" t="s">
        <v>166</v>
      </c>
      <c r="CG264" s="140" t="s">
        <v>474</v>
      </c>
      <c r="CH264" s="140" t="s">
        <v>166</v>
      </c>
      <c r="CI264" s="140" t="s">
        <v>166</v>
      </c>
      <c r="CJ264" s="210">
        <v>35.028396676252484</v>
      </c>
      <c r="CK264" s="140" t="s">
        <v>201</v>
      </c>
      <c r="CL264" s="140">
        <v>2</v>
      </c>
      <c r="CM264" s="140">
        <v>2</v>
      </c>
      <c r="CN264" s="140" t="s">
        <v>166</v>
      </c>
      <c r="CO264" s="294">
        <v>3.9175285616990299</v>
      </c>
      <c r="CP264" s="140" t="s">
        <v>546</v>
      </c>
      <c r="CQ264" s="140">
        <v>0.11752585685097089</v>
      </c>
      <c r="CR264" s="140">
        <v>0.11752585685097089</v>
      </c>
      <c r="CS264" s="291" t="s">
        <v>547</v>
      </c>
      <c r="CT264" s="250" t="s">
        <v>203</v>
      </c>
      <c r="CU264" s="250">
        <v>2.2000000000000002</v>
      </c>
      <c r="CV264" s="140" t="s">
        <v>204</v>
      </c>
      <c r="CW264" s="250" t="s">
        <v>166</v>
      </c>
      <c r="CX264" s="250" t="s">
        <v>166</v>
      </c>
      <c r="CY264" s="250" t="s">
        <v>166</v>
      </c>
      <c r="CZ264" s="250" t="s">
        <v>166</v>
      </c>
      <c r="DA264" s="292" t="s">
        <v>166</v>
      </c>
      <c r="DB264" s="250" t="s">
        <v>166</v>
      </c>
      <c r="DC264" s="250" t="s">
        <v>166</v>
      </c>
      <c r="DD264" s="250" t="s">
        <v>166</v>
      </c>
      <c r="DE264" s="250" t="s">
        <v>166</v>
      </c>
      <c r="DF264" s="250" t="s">
        <v>166</v>
      </c>
      <c r="DG264" s="250">
        <v>35</v>
      </c>
      <c r="DH264" s="250" t="s">
        <v>201</v>
      </c>
      <c r="DI264" s="250">
        <v>1</v>
      </c>
      <c r="DJ264" s="250" t="s">
        <v>206</v>
      </c>
      <c r="DK264" s="250">
        <v>17</v>
      </c>
      <c r="DL264" s="140" t="s">
        <v>166</v>
      </c>
      <c r="DM264" s="140" t="s">
        <v>166</v>
      </c>
      <c r="DN264" s="250" t="s">
        <v>207</v>
      </c>
      <c r="DO264" s="250">
        <v>38</v>
      </c>
      <c r="DP264" s="250" t="s">
        <v>208</v>
      </c>
      <c r="DQ264" s="250">
        <v>3</v>
      </c>
      <c r="DR264" s="250" t="s">
        <v>209</v>
      </c>
      <c r="DS264" s="140" t="s">
        <v>166</v>
      </c>
      <c r="DT264" s="140" t="s">
        <v>166</v>
      </c>
      <c r="DU264" s="140" t="s">
        <v>166</v>
      </c>
      <c r="DV264" s="140" t="s">
        <v>166</v>
      </c>
      <c r="DW264" s="250">
        <v>432.6</v>
      </c>
      <c r="DX264" s="140" t="s">
        <v>166</v>
      </c>
      <c r="DY264" s="140" t="s">
        <v>166</v>
      </c>
      <c r="DZ264" s="140" t="s">
        <v>210</v>
      </c>
      <c r="EA264" s="140" t="s">
        <v>211</v>
      </c>
      <c r="EB264" s="140" t="s">
        <v>212</v>
      </c>
      <c r="EC264" s="140" t="s">
        <v>166</v>
      </c>
      <c r="ED264" s="140" t="s">
        <v>213</v>
      </c>
      <c r="EE264" s="213" t="s">
        <v>214</v>
      </c>
      <c r="EF264" s="213" t="s">
        <v>214</v>
      </c>
      <c r="EG264" s="250">
        <v>1.0271999999999999</v>
      </c>
      <c r="EH264" s="250" t="s">
        <v>215</v>
      </c>
      <c r="EI264" s="250" t="s">
        <v>215</v>
      </c>
      <c r="EJ264" s="250" t="s">
        <v>216</v>
      </c>
      <c r="EK264" s="250" t="s">
        <v>215</v>
      </c>
      <c r="EL264" s="250" t="s">
        <v>215</v>
      </c>
      <c r="EM264" s="250" t="s">
        <v>217</v>
      </c>
      <c r="EN264" s="251" t="s">
        <v>214</v>
      </c>
      <c r="EO264" s="251" t="s">
        <v>214</v>
      </c>
      <c r="EP264" s="251" t="s">
        <v>214</v>
      </c>
      <c r="EQ264" s="251" t="s">
        <v>214</v>
      </c>
      <c r="ER264" s="250"/>
      <c r="ES264" s="250"/>
      <c r="ET264" s="140" t="s">
        <v>218</v>
      </c>
      <c r="EU264" s="250" t="s">
        <v>219</v>
      </c>
      <c r="EV264" s="250" t="s">
        <v>213</v>
      </c>
      <c r="EW264" s="140" t="s">
        <v>166</v>
      </c>
      <c r="EX264" s="140" t="s">
        <v>166</v>
      </c>
      <c r="EY264" s="140" t="s">
        <v>166</v>
      </c>
      <c r="EZ264" s="140" t="s">
        <v>166</v>
      </c>
      <c r="FA264" s="205">
        <v>6.5</v>
      </c>
      <c r="FB264" s="140" t="s">
        <v>220</v>
      </c>
      <c r="FC264" s="205">
        <v>1</v>
      </c>
      <c r="FD264" s="205">
        <v>1</v>
      </c>
      <c r="FE264" s="215">
        <v>7.7236555555923303</v>
      </c>
      <c r="FF264" s="140" t="s">
        <v>221</v>
      </c>
      <c r="FG264" s="215">
        <v>3.2922487884690099E-2</v>
      </c>
      <c r="FH264" s="215">
        <v>3.4788135932930508E-2</v>
      </c>
      <c r="FI264" s="140">
        <v>961.74138238659305</v>
      </c>
      <c r="FK264" s="140" t="s">
        <v>166</v>
      </c>
      <c r="FL264" s="217">
        <f t="shared" si="222"/>
        <v>961.74138238659305</v>
      </c>
      <c r="FM264" s="266">
        <v>168.17773269620682</v>
      </c>
      <c r="FN264" s="266">
        <v>167.91501741491402</v>
      </c>
      <c r="FO264" s="140" t="s">
        <v>222</v>
      </c>
      <c r="FP264" s="140" t="s">
        <v>223</v>
      </c>
      <c r="FQ264" s="217" t="s">
        <v>166</v>
      </c>
      <c r="FR264" s="217" t="s">
        <v>166</v>
      </c>
      <c r="FS264" s="217" t="s">
        <v>166</v>
      </c>
      <c r="FT264" s="217" t="s">
        <v>166</v>
      </c>
      <c r="FU264" s="217" t="s">
        <v>166</v>
      </c>
      <c r="FV264" s="217" t="s">
        <v>166</v>
      </c>
      <c r="FW264" s="217" t="s">
        <v>166</v>
      </c>
      <c r="FX264" s="217" t="s">
        <v>166</v>
      </c>
      <c r="FY264" s="217" t="s">
        <v>166</v>
      </c>
      <c r="FZ264" s="217" t="s">
        <v>166</v>
      </c>
      <c r="GA264" s="217" t="s">
        <v>166</v>
      </c>
      <c r="GB264" s="217" t="s">
        <v>166</v>
      </c>
      <c r="GC264" s="202" t="s">
        <v>548</v>
      </c>
    </row>
    <row r="265" spans="1:185" s="140" customFormat="1" ht="17">
      <c r="A265" s="140" t="s">
        <v>162</v>
      </c>
      <c r="B265" s="143" t="s">
        <v>163</v>
      </c>
      <c r="C265" s="140" t="s">
        <v>164</v>
      </c>
      <c r="D265" s="140" t="s">
        <v>165</v>
      </c>
      <c r="E265" s="140">
        <v>2020</v>
      </c>
      <c r="F265" s="140" t="s">
        <v>184</v>
      </c>
      <c r="G265" s="240">
        <v>40377.658843994141</v>
      </c>
      <c r="H265" s="140">
        <v>2.8600000000000003</v>
      </c>
      <c r="I265" s="140">
        <v>2.8600000000000003</v>
      </c>
      <c r="J265" s="241">
        <v>907.54086718787096</v>
      </c>
      <c r="K265" s="266">
        <v>181.10845051471904</v>
      </c>
      <c r="L265" s="266">
        <v>159.51034040113291</v>
      </c>
      <c r="M265" s="140" t="b">
        <v>1</v>
      </c>
      <c r="N265" s="140">
        <v>1</v>
      </c>
      <c r="O265" s="302" t="s">
        <v>581</v>
      </c>
      <c r="P265" s="140" t="s">
        <v>166</v>
      </c>
      <c r="Q265" s="140" t="s">
        <v>166</v>
      </c>
      <c r="R265" s="140" t="s">
        <v>166</v>
      </c>
      <c r="S265" s="140" t="b">
        <v>1</v>
      </c>
      <c r="T265" s="140" t="b">
        <v>0</v>
      </c>
      <c r="U265" s="140" t="s">
        <v>166</v>
      </c>
      <c r="V265" s="140" t="b">
        <v>0</v>
      </c>
      <c r="W265" s="140" t="b">
        <v>0</v>
      </c>
      <c r="X265" s="140" t="s">
        <v>166</v>
      </c>
      <c r="Y265" s="202" t="s">
        <v>186</v>
      </c>
      <c r="Z265" s="140" t="s">
        <v>184</v>
      </c>
      <c r="AA265" s="274">
        <v>865</v>
      </c>
      <c r="AB265" s="140" t="s">
        <v>250</v>
      </c>
      <c r="AC265" s="140">
        <v>5</v>
      </c>
      <c r="AD265" s="140">
        <v>1</v>
      </c>
      <c r="AE265" s="140">
        <v>85</v>
      </c>
      <c r="AF265" s="140">
        <f>AE265+2</f>
        <v>87</v>
      </c>
      <c r="AG265" s="140">
        <v>32.659999999999997</v>
      </c>
      <c r="AH265" s="140">
        <v>35.869998931884766</v>
      </c>
      <c r="AI265" s="140" t="s">
        <v>558</v>
      </c>
      <c r="AJ265" s="140" t="s">
        <v>559</v>
      </c>
      <c r="AK265" s="286">
        <v>18.4404</v>
      </c>
      <c r="AL265" s="286">
        <v>-179.55500000000001</v>
      </c>
      <c r="AM265" s="286">
        <v>11.3</v>
      </c>
      <c r="AN265" s="287" t="s">
        <v>166</v>
      </c>
      <c r="AO265" s="287">
        <v>-1518</v>
      </c>
      <c r="AP265" s="287">
        <v>-1400</v>
      </c>
      <c r="AQ265" s="140" t="s">
        <v>560</v>
      </c>
      <c r="AR265" s="140" t="s">
        <v>511</v>
      </c>
      <c r="AS265" s="240">
        <v>40.377658843994141</v>
      </c>
      <c r="AT265" s="140" t="s">
        <v>536</v>
      </c>
      <c r="AU265" s="140">
        <v>2.8600000000000003</v>
      </c>
      <c r="AV265" s="140">
        <v>2.8600000000000003</v>
      </c>
      <c r="AW265" s="140" t="s">
        <v>255</v>
      </c>
      <c r="AX265" s="140" t="s">
        <v>537</v>
      </c>
      <c r="AY265" s="140" t="s">
        <v>561</v>
      </c>
      <c r="AZ265" s="140" t="s">
        <v>166</v>
      </c>
      <c r="BA265" s="140" t="s">
        <v>166</v>
      </c>
      <c r="BB265" s="140" t="s">
        <v>166</v>
      </c>
      <c r="BC265" s="140" t="s">
        <v>166</v>
      </c>
      <c r="BD265" s="140" t="s">
        <v>166</v>
      </c>
      <c r="BE265" s="140" t="s">
        <v>166</v>
      </c>
      <c r="BF265" s="140" t="s">
        <v>166</v>
      </c>
      <c r="BG265" s="245" t="s">
        <v>229</v>
      </c>
      <c r="BH265" s="140" t="s">
        <v>192</v>
      </c>
      <c r="BI265" s="277">
        <v>252</v>
      </c>
      <c r="BJ265" s="277">
        <v>2.3740000000000001</v>
      </c>
      <c r="BK265" s="140" t="s">
        <v>544</v>
      </c>
      <c r="BL265" s="140" t="s">
        <v>194</v>
      </c>
      <c r="BM265" s="140" t="s">
        <v>195</v>
      </c>
      <c r="BN265" s="140" t="s">
        <v>574</v>
      </c>
      <c r="BO265" s="140">
        <v>2</v>
      </c>
      <c r="BP265" s="270">
        <v>0.38114529601997305</v>
      </c>
      <c r="BQ265" s="299">
        <v>15.1062512201784</v>
      </c>
      <c r="BR265" s="140" t="s">
        <v>546</v>
      </c>
      <c r="BS265" s="140">
        <v>0.11975460822561479</v>
      </c>
      <c r="BT265" s="140">
        <v>1</v>
      </c>
      <c r="BU265" s="140" t="s">
        <v>197</v>
      </c>
      <c r="BV265" s="140" t="s">
        <v>166</v>
      </c>
      <c r="BW265" s="140">
        <v>0</v>
      </c>
      <c r="BX265" s="140" t="s">
        <v>197</v>
      </c>
      <c r="BY265" s="140" t="s">
        <v>166</v>
      </c>
      <c r="BZ265" s="140" t="s">
        <v>197</v>
      </c>
      <c r="CA265" s="140" t="s">
        <v>166</v>
      </c>
      <c r="CB265" s="210">
        <f t="shared" si="232"/>
        <v>15.1062512201784</v>
      </c>
      <c r="CC265" s="140" t="s">
        <v>196</v>
      </c>
      <c r="CD265" s="140">
        <f t="shared" si="233"/>
        <v>0.11975460822561479</v>
      </c>
      <c r="CE265" s="140" t="s">
        <v>199</v>
      </c>
      <c r="CF265" s="140" t="s">
        <v>166</v>
      </c>
      <c r="CG265" s="140" t="s">
        <v>474</v>
      </c>
      <c r="CH265" s="140" t="s">
        <v>166</v>
      </c>
      <c r="CI265" s="140" t="s">
        <v>166</v>
      </c>
      <c r="CJ265" s="210">
        <v>35.361700734172445</v>
      </c>
      <c r="CK265" s="140" t="s">
        <v>201</v>
      </c>
      <c r="CL265" s="140">
        <v>2</v>
      </c>
      <c r="CM265" s="140">
        <v>2</v>
      </c>
      <c r="CN265" s="140" t="s">
        <v>166</v>
      </c>
      <c r="CO265" s="294">
        <v>3.9918202741871598</v>
      </c>
      <c r="CP265" s="140" t="s">
        <v>546</v>
      </c>
      <c r="CQ265" s="140">
        <v>0.11975460822561479</v>
      </c>
      <c r="CR265" s="140">
        <v>0.11975460822561479</v>
      </c>
      <c r="CS265" s="291" t="s">
        <v>547</v>
      </c>
      <c r="CT265" s="250" t="s">
        <v>203</v>
      </c>
      <c r="CU265" s="250">
        <v>2.2000000000000002</v>
      </c>
      <c r="CV265" s="140" t="s">
        <v>204</v>
      </c>
      <c r="CW265" s="250" t="s">
        <v>166</v>
      </c>
      <c r="CX265" s="250" t="s">
        <v>166</v>
      </c>
      <c r="CY265" s="250" t="s">
        <v>166</v>
      </c>
      <c r="CZ265" s="250" t="s">
        <v>166</v>
      </c>
      <c r="DA265" s="292" t="s">
        <v>166</v>
      </c>
      <c r="DB265" s="250" t="s">
        <v>166</v>
      </c>
      <c r="DC265" s="250" t="s">
        <v>166</v>
      </c>
      <c r="DD265" s="250" t="s">
        <v>166</v>
      </c>
      <c r="DE265" s="250" t="s">
        <v>166</v>
      </c>
      <c r="DF265" s="250" t="s">
        <v>166</v>
      </c>
      <c r="DG265" s="250">
        <v>35</v>
      </c>
      <c r="DH265" s="250" t="s">
        <v>201</v>
      </c>
      <c r="DI265" s="250">
        <v>1</v>
      </c>
      <c r="DJ265" s="250" t="s">
        <v>206</v>
      </c>
      <c r="DK265" s="250">
        <v>17</v>
      </c>
      <c r="DL265" s="140" t="s">
        <v>166</v>
      </c>
      <c r="DM265" s="140" t="s">
        <v>166</v>
      </c>
      <c r="DN265" s="250" t="s">
        <v>207</v>
      </c>
      <c r="DO265" s="250">
        <v>38</v>
      </c>
      <c r="DP265" s="250" t="s">
        <v>208</v>
      </c>
      <c r="DQ265" s="250">
        <v>3</v>
      </c>
      <c r="DR265" s="250" t="s">
        <v>209</v>
      </c>
      <c r="DS265" s="140" t="s">
        <v>166</v>
      </c>
      <c r="DT265" s="140" t="s">
        <v>166</v>
      </c>
      <c r="DU265" s="140" t="s">
        <v>166</v>
      </c>
      <c r="DV265" s="140" t="s">
        <v>166</v>
      </c>
      <c r="DW265" s="250">
        <v>432.6</v>
      </c>
      <c r="DX265" s="140" t="s">
        <v>166</v>
      </c>
      <c r="DY265" s="140" t="s">
        <v>166</v>
      </c>
      <c r="DZ265" s="140" t="s">
        <v>210</v>
      </c>
      <c r="EA265" s="140" t="s">
        <v>211</v>
      </c>
      <c r="EB265" s="140" t="s">
        <v>212</v>
      </c>
      <c r="EC265" s="140" t="s">
        <v>166</v>
      </c>
      <c r="ED265" s="140" t="s">
        <v>213</v>
      </c>
      <c r="EE265" s="213" t="s">
        <v>214</v>
      </c>
      <c r="EF265" s="213" t="s">
        <v>214</v>
      </c>
      <c r="EG265" s="250">
        <v>1.0271999999999999</v>
      </c>
      <c r="EH265" s="250" t="s">
        <v>215</v>
      </c>
      <c r="EI265" s="250" t="s">
        <v>215</v>
      </c>
      <c r="EJ265" s="250" t="s">
        <v>216</v>
      </c>
      <c r="EK265" s="250" t="s">
        <v>215</v>
      </c>
      <c r="EL265" s="250" t="s">
        <v>215</v>
      </c>
      <c r="EM265" s="250" t="s">
        <v>217</v>
      </c>
      <c r="EN265" s="251" t="s">
        <v>214</v>
      </c>
      <c r="EO265" s="251" t="s">
        <v>214</v>
      </c>
      <c r="EP265" s="251" t="s">
        <v>214</v>
      </c>
      <c r="EQ265" s="251" t="s">
        <v>214</v>
      </c>
      <c r="ER265" s="250"/>
      <c r="ES265" s="250"/>
      <c r="ET265" s="140" t="s">
        <v>218</v>
      </c>
      <c r="EU265" s="250" t="s">
        <v>219</v>
      </c>
      <c r="EV265" s="250" t="s">
        <v>213</v>
      </c>
      <c r="EW265" s="140" t="s">
        <v>166</v>
      </c>
      <c r="EX265" s="140" t="s">
        <v>166</v>
      </c>
      <c r="EY265" s="140" t="s">
        <v>166</v>
      </c>
      <c r="EZ265" s="140" t="s">
        <v>166</v>
      </c>
      <c r="FA265" s="205">
        <v>6.5</v>
      </c>
      <c r="FB265" s="140" t="s">
        <v>220</v>
      </c>
      <c r="FC265" s="205">
        <v>1</v>
      </c>
      <c r="FD265" s="205">
        <v>1</v>
      </c>
      <c r="FE265" s="215">
        <v>7.7329689301085303</v>
      </c>
      <c r="FF265" s="140" t="s">
        <v>221</v>
      </c>
      <c r="FG265" s="215">
        <v>3.3986744161429883E-2</v>
      </c>
      <c r="FH265" s="215">
        <v>3.7941765533700433E-2</v>
      </c>
      <c r="FI265" s="140">
        <v>907.54086718787096</v>
      </c>
      <c r="FK265" s="140" t="s">
        <v>166</v>
      </c>
      <c r="FL265" s="217">
        <f t="shared" si="222"/>
        <v>907.54086718787096</v>
      </c>
      <c r="FM265" s="266">
        <v>181.10845051471904</v>
      </c>
      <c r="FN265" s="266">
        <v>159.51034040113291</v>
      </c>
      <c r="FO265" s="140" t="s">
        <v>222</v>
      </c>
      <c r="FP265" s="140" t="s">
        <v>223</v>
      </c>
      <c r="FQ265" s="217" t="s">
        <v>166</v>
      </c>
      <c r="FR265" s="217" t="s">
        <v>166</v>
      </c>
      <c r="FS265" s="217" t="s">
        <v>166</v>
      </c>
      <c r="FT265" s="217" t="s">
        <v>166</v>
      </c>
      <c r="FU265" s="217" t="s">
        <v>166</v>
      </c>
      <c r="FV265" s="217" t="s">
        <v>166</v>
      </c>
      <c r="FW265" s="217" t="s">
        <v>166</v>
      </c>
      <c r="FX265" s="217" t="s">
        <v>166</v>
      </c>
      <c r="FY265" s="217" t="s">
        <v>166</v>
      </c>
      <c r="FZ265" s="217" t="s">
        <v>166</v>
      </c>
      <c r="GA265" s="217" t="s">
        <v>166</v>
      </c>
      <c r="GB265" s="217" t="s">
        <v>166</v>
      </c>
      <c r="GC265" s="202" t="s">
        <v>548</v>
      </c>
    </row>
    <row r="266" spans="1:185" s="140" customFormat="1" ht="17">
      <c r="A266" s="140" t="s">
        <v>162</v>
      </c>
      <c r="B266" s="143" t="s">
        <v>163</v>
      </c>
      <c r="C266" s="140" t="s">
        <v>164</v>
      </c>
      <c r="D266" s="140" t="s">
        <v>165</v>
      </c>
      <c r="E266" s="140">
        <v>2020</v>
      </c>
      <c r="F266" s="140" t="s">
        <v>184</v>
      </c>
      <c r="G266" s="240">
        <v>40516.803741455078</v>
      </c>
      <c r="H266" s="140">
        <v>2.8600000000000003</v>
      </c>
      <c r="I266" s="140">
        <v>2.8600000000000003</v>
      </c>
      <c r="J266" s="241">
        <v>1008.13796929734</v>
      </c>
      <c r="K266" s="266">
        <v>221.69480682302003</v>
      </c>
      <c r="L266" s="266">
        <v>183.40028713403296</v>
      </c>
      <c r="M266" s="140" t="b">
        <v>1</v>
      </c>
      <c r="N266" s="140">
        <v>1</v>
      </c>
      <c r="O266" s="302" t="s">
        <v>581</v>
      </c>
      <c r="P266" s="140" t="s">
        <v>166</v>
      </c>
      <c r="Q266" s="140" t="s">
        <v>166</v>
      </c>
      <c r="R266" s="140" t="s">
        <v>166</v>
      </c>
      <c r="S266" s="140" t="b">
        <v>1</v>
      </c>
      <c r="T266" s="140" t="b">
        <v>0</v>
      </c>
      <c r="U266" s="140" t="s">
        <v>166</v>
      </c>
      <c r="V266" s="140" t="b">
        <v>0</v>
      </c>
      <c r="W266" s="140" t="b">
        <v>0</v>
      </c>
      <c r="X266" s="140" t="s">
        <v>166</v>
      </c>
      <c r="Y266" s="202" t="s">
        <v>186</v>
      </c>
      <c r="Z266" s="140" t="s">
        <v>184</v>
      </c>
      <c r="AA266" s="274">
        <v>865</v>
      </c>
      <c r="AB266" s="140" t="s">
        <v>233</v>
      </c>
      <c r="AC266" s="140">
        <v>4</v>
      </c>
      <c r="AD266" s="140" t="s">
        <v>309</v>
      </c>
      <c r="AE266" s="140">
        <v>20</v>
      </c>
      <c r="AF266" s="140">
        <v>22</v>
      </c>
      <c r="AG266" s="140">
        <v>35.47</v>
      </c>
      <c r="AH266" s="140">
        <v>36.356999999999999</v>
      </c>
      <c r="AI266" s="140" t="s">
        <v>558</v>
      </c>
      <c r="AJ266" s="140" t="s">
        <v>559</v>
      </c>
      <c r="AK266" s="286">
        <v>18.4404</v>
      </c>
      <c r="AL266" s="286">
        <v>-179.55500000000001</v>
      </c>
      <c r="AM266" s="286">
        <v>11.3</v>
      </c>
      <c r="AN266" s="287" t="s">
        <v>166</v>
      </c>
      <c r="AO266" s="287">
        <v>-1518</v>
      </c>
      <c r="AP266" s="287">
        <v>-1400</v>
      </c>
      <c r="AQ266" s="140" t="s">
        <v>560</v>
      </c>
      <c r="AR266" s="140" t="s">
        <v>511</v>
      </c>
      <c r="AS266" s="240">
        <v>40.516803741455078</v>
      </c>
      <c r="AT266" s="140" t="s">
        <v>536</v>
      </c>
      <c r="AU266" s="140">
        <v>2.8600000000000003</v>
      </c>
      <c r="AV266" s="140">
        <v>2.8600000000000003</v>
      </c>
      <c r="AW266" s="140" t="s">
        <v>255</v>
      </c>
      <c r="AX266" s="140" t="s">
        <v>537</v>
      </c>
      <c r="AY266" s="140" t="s">
        <v>561</v>
      </c>
      <c r="AZ266" s="140" t="s">
        <v>166</v>
      </c>
      <c r="BA266" s="140" t="s">
        <v>166</v>
      </c>
      <c r="BB266" s="140" t="s">
        <v>166</v>
      </c>
      <c r="BC266" s="140" t="s">
        <v>166</v>
      </c>
      <c r="BD266" s="140" t="s">
        <v>166</v>
      </c>
      <c r="BE266" s="140" t="s">
        <v>166</v>
      </c>
      <c r="BF266" s="140" t="s">
        <v>166</v>
      </c>
      <c r="BG266" s="245" t="s">
        <v>229</v>
      </c>
      <c r="BH266" s="140" t="s">
        <v>192</v>
      </c>
      <c r="BI266" s="277">
        <v>245</v>
      </c>
      <c r="BJ266" s="277">
        <v>2.4750000000000001</v>
      </c>
      <c r="BK266" s="140" t="s">
        <v>544</v>
      </c>
      <c r="BL266" s="140" t="s">
        <v>194</v>
      </c>
      <c r="BM266" s="140" t="s">
        <v>195</v>
      </c>
      <c r="BN266" s="140" t="s">
        <v>575</v>
      </c>
      <c r="BO266" s="140">
        <v>2</v>
      </c>
      <c r="BP266" s="270">
        <v>6.3230294249683183E-2</v>
      </c>
      <c r="BQ266" s="299">
        <v>14.9066301168021</v>
      </c>
      <c r="BR266" s="140" t="s">
        <v>546</v>
      </c>
      <c r="BS266" s="140">
        <v>0.11667870340447049</v>
      </c>
      <c r="BT266" s="140">
        <v>1</v>
      </c>
      <c r="BU266" s="140" t="s">
        <v>197</v>
      </c>
      <c r="BV266" s="140" t="s">
        <v>166</v>
      </c>
      <c r="BW266" s="140">
        <v>0</v>
      </c>
      <c r="BX266" s="140" t="s">
        <v>197</v>
      </c>
      <c r="BY266" s="140" t="s">
        <v>166</v>
      </c>
      <c r="BZ266" s="140" t="s">
        <v>197</v>
      </c>
      <c r="CA266" s="140" t="s">
        <v>166</v>
      </c>
      <c r="CB266" s="210">
        <f t="shared" si="232"/>
        <v>14.9066301168021</v>
      </c>
      <c r="CC266" s="140" t="s">
        <v>196</v>
      </c>
      <c r="CD266" s="140">
        <f t="shared" si="233"/>
        <v>0.11667870340447049</v>
      </c>
      <c r="CE266" s="140" t="s">
        <v>199</v>
      </c>
      <c r="CF266" s="140" t="s">
        <v>166</v>
      </c>
      <c r="CG266" s="140" t="s">
        <v>474</v>
      </c>
      <c r="CH266" s="140" t="s">
        <v>166</v>
      </c>
      <c r="CI266" s="140" t="s">
        <v>166</v>
      </c>
      <c r="CJ266" s="210">
        <v>34.900046396831719</v>
      </c>
      <c r="CK266" s="140" t="s">
        <v>201</v>
      </c>
      <c r="CL266" s="140">
        <v>2</v>
      </c>
      <c r="CM266" s="140">
        <v>2</v>
      </c>
      <c r="CN266" s="140" t="s">
        <v>166</v>
      </c>
      <c r="CO266" s="294">
        <v>3.8892901134823501</v>
      </c>
      <c r="CP266" s="140" t="s">
        <v>546</v>
      </c>
      <c r="CQ266" s="140">
        <v>0.11667870340447049</v>
      </c>
      <c r="CR266" s="140">
        <v>0.11667870340447049</v>
      </c>
      <c r="CS266" s="291" t="s">
        <v>547</v>
      </c>
      <c r="CT266" s="250" t="s">
        <v>203</v>
      </c>
      <c r="CU266" s="250">
        <v>2.2000000000000002</v>
      </c>
      <c r="CV266" s="140" t="s">
        <v>204</v>
      </c>
      <c r="CW266" s="250" t="s">
        <v>166</v>
      </c>
      <c r="CX266" s="250" t="s">
        <v>166</v>
      </c>
      <c r="CY266" s="250" t="s">
        <v>166</v>
      </c>
      <c r="CZ266" s="250" t="s">
        <v>166</v>
      </c>
      <c r="DA266" s="292" t="s">
        <v>166</v>
      </c>
      <c r="DB266" s="250" t="s">
        <v>166</v>
      </c>
      <c r="DC266" s="250" t="s">
        <v>166</v>
      </c>
      <c r="DD266" s="250" t="s">
        <v>166</v>
      </c>
      <c r="DE266" s="250" t="s">
        <v>166</v>
      </c>
      <c r="DF266" s="250" t="s">
        <v>166</v>
      </c>
      <c r="DG266" s="250">
        <v>35</v>
      </c>
      <c r="DH266" s="250" t="s">
        <v>201</v>
      </c>
      <c r="DI266" s="250">
        <v>1</v>
      </c>
      <c r="DJ266" s="250" t="s">
        <v>206</v>
      </c>
      <c r="DK266" s="250">
        <v>17</v>
      </c>
      <c r="DL266" s="140" t="s">
        <v>166</v>
      </c>
      <c r="DM266" s="140" t="s">
        <v>166</v>
      </c>
      <c r="DN266" s="250" t="s">
        <v>207</v>
      </c>
      <c r="DO266" s="250">
        <v>38</v>
      </c>
      <c r="DP266" s="250" t="s">
        <v>208</v>
      </c>
      <c r="DQ266" s="250">
        <v>3</v>
      </c>
      <c r="DR266" s="250" t="s">
        <v>209</v>
      </c>
      <c r="DS266" s="140" t="s">
        <v>166</v>
      </c>
      <c r="DT266" s="140" t="s">
        <v>166</v>
      </c>
      <c r="DU266" s="140" t="s">
        <v>166</v>
      </c>
      <c r="DV266" s="140" t="s">
        <v>166</v>
      </c>
      <c r="DW266" s="250">
        <v>432.6</v>
      </c>
      <c r="DX266" s="140" t="s">
        <v>166</v>
      </c>
      <c r="DY266" s="140" t="s">
        <v>166</v>
      </c>
      <c r="DZ266" s="140" t="s">
        <v>210</v>
      </c>
      <c r="EA266" s="140" t="s">
        <v>211</v>
      </c>
      <c r="EB266" s="140" t="s">
        <v>212</v>
      </c>
      <c r="EC266" s="140" t="s">
        <v>166</v>
      </c>
      <c r="ED266" s="140" t="s">
        <v>213</v>
      </c>
      <c r="EE266" s="213" t="s">
        <v>214</v>
      </c>
      <c r="EF266" s="213" t="s">
        <v>214</v>
      </c>
      <c r="EG266" s="250">
        <v>1.0271999999999999</v>
      </c>
      <c r="EH266" s="250" t="s">
        <v>215</v>
      </c>
      <c r="EI266" s="250" t="s">
        <v>215</v>
      </c>
      <c r="EJ266" s="250" t="s">
        <v>216</v>
      </c>
      <c r="EK266" s="250" t="s">
        <v>215</v>
      </c>
      <c r="EL266" s="250" t="s">
        <v>215</v>
      </c>
      <c r="EM266" s="250" t="s">
        <v>217</v>
      </c>
      <c r="EN266" s="251" t="s">
        <v>214</v>
      </c>
      <c r="EO266" s="251" t="s">
        <v>214</v>
      </c>
      <c r="EP266" s="251" t="s">
        <v>214</v>
      </c>
      <c r="EQ266" s="251" t="s">
        <v>214</v>
      </c>
      <c r="ER266" s="250"/>
      <c r="ES266" s="250"/>
      <c r="ET266" s="140" t="s">
        <v>218</v>
      </c>
      <c r="EU266" s="250" t="s">
        <v>219</v>
      </c>
      <c r="EV266" s="250" t="s">
        <v>213</v>
      </c>
      <c r="EW266" s="140" t="s">
        <v>166</v>
      </c>
      <c r="EX266" s="140" t="s">
        <v>166</v>
      </c>
      <c r="EY266" s="140" t="s">
        <v>166</v>
      </c>
      <c r="EZ266" s="140" t="s">
        <v>166</v>
      </c>
      <c r="FA266" s="205">
        <v>6.5</v>
      </c>
      <c r="FB266" s="140" t="s">
        <v>220</v>
      </c>
      <c r="FC266" s="205">
        <v>1</v>
      </c>
      <c r="FD266" s="205">
        <v>1</v>
      </c>
      <c r="FE266" s="215">
        <v>7.7121045108307902</v>
      </c>
      <c r="FF266" s="140" t="s">
        <v>221</v>
      </c>
      <c r="FG266" s="215">
        <v>3.5816014705309485E-2</v>
      </c>
      <c r="FH266" s="215">
        <v>3.5597132454140201E-2</v>
      </c>
      <c r="FI266" s="140">
        <v>1008.13796929734</v>
      </c>
      <c r="FK266" s="140" t="s">
        <v>166</v>
      </c>
      <c r="FL266" s="217">
        <f t="shared" si="222"/>
        <v>1008.13796929734</v>
      </c>
      <c r="FM266" s="266">
        <v>221.69480682302003</v>
      </c>
      <c r="FN266" s="266">
        <v>183.40028713403296</v>
      </c>
      <c r="FO266" s="140" t="s">
        <v>222</v>
      </c>
      <c r="FP266" s="140" t="s">
        <v>223</v>
      </c>
      <c r="FQ266" s="217" t="s">
        <v>166</v>
      </c>
      <c r="FR266" s="217" t="s">
        <v>166</v>
      </c>
      <c r="FS266" s="217" t="s">
        <v>166</v>
      </c>
      <c r="FT266" s="217" t="s">
        <v>166</v>
      </c>
      <c r="FU266" s="217" t="s">
        <v>166</v>
      </c>
      <c r="FV266" s="217" t="s">
        <v>166</v>
      </c>
      <c r="FW266" s="217" t="s">
        <v>166</v>
      </c>
      <c r="FX266" s="217" t="s">
        <v>166</v>
      </c>
      <c r="FY266" s="217" t="s">
        <v>166</v>
      </c>
      <c r="FZ266" s="217" t="s">
        <v>166</v>
      </c>
      <c r="GA266" s="217" t="s">
        <v>166</v>
      </c>
      <c r="GB266" s="217" t="s">
        <v>166</v>
      </c>
      <c r="GC266" s="202" t="s">
        <v>548</v>
      </c>
    </row>
    <row r="267" spans="1:185" s="140" customFormat="1" ht="17">
      <c r="A267" s="140" t="s">
        <v>162</v>
      </c>
      <c r="B267" s="143" t="s">
        <v>163</v>
      </c>
      <c r="C267" s="140" t="s">
        <v>164</v>
      </c>
      <c r="D267" s="140" t="s">
        <v>165</v>
      </c>
      <c r="E267" s="140">
        <v>2020</v>
      </c>
      <c r="F267" s="140" t="s">
        <v>184</v>
      </c>
      <c r="G267" s="240">
        <v>40629.241943359375</v>
      </c>
      <c r="H267" s="140">
        <v>2.5500000000000003</v>
      </c>
      <c r="I267" s="140">
        <v>2.5500000000000003</v>
      </c>
      <c r="J267" s="241">
        <v>1130.0252327713999</v>
      </c>
      <c r="K267" s="266">
        <v>228.86900711007002</v>
      </c>
      <c r="L267" s="266">
        <v>188.87052249926501</v>
      </c>
      <c r="M267" s="140" t="b">
        <v>1</v>
      </c>
      <c r="N267" s="140">
        <v>1</v>
      </c>
      <c r="O267" s="302" t="s">
        <v>581</v>
      </c>
      <c r="P267" s="140" t="s">
        <v>166</v>
      </c>
      <c r="Q267" s="140" t="s">
        <v>166</v>
      </c>
      <c r="R267" s="140" t="s">
        <v>166</v>
      </c>
      <c r="S267" s="140" t="b">
        <v>1</v>
      </c>
      <c r="T267" s="140" t="b">
        <v>0</v>
      </c>
      <c r="U267" s="140" t="s">
        <v>166</v>
      </c>
      <c r="V267" s="140" t="b">
        <v>0</v>
      </c>
      <c r="W267" s="140" t="b">
        <v>0</v>
      </c>
      <c r="X267" s="140" t="s">
        <v>166</v>
      </c>
      <c r="Y267" s="202" t="s">
        <v>186</v>
      </c>
      <c r="Z267" s="140" t="s">
        <v>184</v>
      </c>
      <c r="AA267" s="274">
        <v>865</v>
      </c>
      <c r="AB267" s="140" t="s">
        <v>250</v>
      </c>
      <c r="AC267" s="140">
        <v>5</v>
      </c>
      <c r="AD267" s="140">
        <v>2</v>
      </c>
      <c r="AE267" s="140">
        <v>25</v>
      </c>
      <c r="AF267" s="140">
        <v>27</v>
      </c>
      <c r="AG267" s="140">
        <v>33.56</v>
      </c>
      <c r="AH267" s="140">
        <v>36.770000457763672</v>
      </c>
      <c r="AI267" s="140" t="s">
        <v>558</v>
      </c>
      <c r="AJ267" s="140" t="s">
        <v>559</v>
      </c>
      <c r="AK267" s="286">
        <v>18.4404</v>
      </c>
      <c r="AL267" s="286">
        <v>-179.55500000000001</v>
      </c>
      <c r="AM267" s="286">
        <v>11.3</v>
      </c>
      <c r="AN267" s="287" t="s">
        <v>166</v>
      </c>
      <c r="AO267" s="287">
        <v>-1518</v>
      </c>
      <c r="AP267" s="287">
        <v>-1400</v>
      </c>
      <c r="AQ267" s="140" t="s">
        <v>560</v>
      </c>
      <c r="AR267" s="140" t="s">
        <v>511</v>
      </c>
      <c r="AS267" s="240">
        <v>40.629241943359375</v>
      </c>
      <c r="AT267" s="140" t="s">
        <v>536</v>
      </c>
      <c r="AU267" s="140">
        <v>2.5500000000000003</v>
      </c>
      <c r="AV267" s="140">
        <v>2.5500000000000003</v>
      </c>
      <c r="AW267" s="140" t="s">
        <v>255</v>
      </c>
      <c r="AX267" s="140" t="s">
        <v>537</v>
      </c>
      <c r="AY267" s="140" t="s">
        <v>561</v>
      </c>
      <c r="AZ267" s="140" t="s">
        <v>166</v>
      </c>
      <c r="BA267" s="140" t="s">
        <v>166</v>
      </c>
      <c r="BB267" s="140" t="s">
        <v>166</v>
      </c>
      <c r="BC267" s="140" t="s">
        <v>166</v>
      </c>
      <c r="BD267" s="140" t="s">
        <v>166</v>
      </c>
      <c r="BE267" s="140" t="s">
        <v>166</v>
      </c>
      <c r="BF267" s="140" t="s">
        <v>166</v>
      </c>
      <c r="BG267" s="245" t="s">
        <v>229</v>
      </c>
      <c r="BH267" s="140" t="s">
        <v>192</v>
      </c>
      <c r="BI267" s="277">
        <v>309</v>
      </c>
      <c r="BJ267" s="277">
        <v>2.9449999999999998</v>
      </c>
      <c r="BK267" s="140" t="s">
        <v>544</v>
      </c>
      <c r="BL267" s="140" t="s">
        <v>194</v>
      </c>
      <c r="BM267" s="140" t="s">
        <v>195</v>
      </c>
      <c r="BN267" s="140" t="s">
        <v>576</v>
      </c>
      <c r="BO267" s="140">
        <v>2</v>
      </c>
      <c r="BP267" s="270">
        <v>5.9071832495039438E-2</v>
      </c>
      <c r="BQ267" s="299">
        <v>14.736748166711401</v>
      </c>
      <c r="BR267" s="140" t="s">
        <v>546</v>
      </c>
      <c r="BS267" s="140">
        <v>0.119139246205308</v>
      </c>
      <c r="BT267" s="140">
        <v>1</v>
      </c>
      <c r="BU267" s="140" t="s">
        <v>197</v>
      </c>
      <c r="BV267" s="140" t="s">
        <v>166</v>
      </c>
      <c r="BW267" s="140">
        <v>0</v>
      </c>
      <c r="BX267" s="140" t="s">
        <v>197</v>
      </c>
      <c r="BY267" s="140" t="s">
        <v>166</v>
      </c>
      <c r="BZ267" s="140" t="s">
        <v>197</v>
      </c>
      <c r="CA267" s="140" t="s">
        <v>166</v>
      </c>
      <c r="CB267" s="210">
        <f t="shared" si="232"/>
        <v>14.736748166711401</v>
      </c>
      <c r="CC267" s="140" t="s">
        <v>196</v>
      </c>
      <c r="CD267" s="140">
        <f t="shared" si="233"/>
        <v>0.119139246205308</v>
      </c>
      <c r="CE267" s="140" t="s">
        <v>199</v>
      </c>
      <c r="CF267" s="140" t="s">
        <v>166</v>
      </c>
      <c r="CG267" s="140" t="s">
        <v>474</v>
      </c>
      <c r="CH267" s="140" t="s">
        <v>166</v>
      </c>
      <c r="CI267" s="140" t="s">
        <v>166</v>
      </c>
      <c r="CJ267" s="210">
        <v>35.270298910546842</v>
      </c>
      <c r="CK267" s="140" t="s">
        <v>201</v>
      </c>
      <c r="CL267" s="140">
        <v>2</v>
      </c>
      <c r="CM267" s="140">
        <v>2</v>
      </c>
      <c r="CN267" s="140" t="s">
        <v>166</v>
      </c>
      <c r="CO267" s="294">
        <v>3.9713082068436001</v>
      </c>
      <c r="CP267" s="140" t="s">
        <v>546</v>
      </c>
      <c r="CQ267" s="140">
        <v>0.119139246205308</v>
      </c>
      <c r="CR267" s="140">
        <v>0.119139246205308</v>
      </c>
      <c r="CS267" s="291" t="s">
        <v>547</v>
      </c>
      <c r="CT267" s="250" t="s">
        <v>203</v>
      </c>
      <c r="CU267" s="250">
        <v>2.2000000000000002</v>
      </c>
      <c r="CV267" s="140" t="s">
        <v>204</v>
      </c>
      <c r="CW267" s="250" t="s">
        <v>166</v>
      </c>
      <c r="CX267" s="250" t="s">
        <v>166</v>
      </c>
      <c r="CY267" s="250" t="s">
        <v>166</v>
      </c>
      <c r="CZ267" s="250" t="s">
        <v>166</v>
      </c>
      <c r="DA267" s="292" t="s">
        <v>166</v>
      </c>
      <c r="DB267" s="250" t="s">
        <v>166</v>
      </c>
      <c r="DC267" s="250" t="s">
        <v>166</v>
      </c>
      <c r="DD267" s="250" t="s">
        <v>166</v>
      </c>
      <c r="DE267" s="250" t="s">
        <v>166</v>
      </c>
      <c r="DF267" s="250" t="s">
        <v>166</v>
      </c>
      <c r="DG267" s="250">
        <v>35</v>
      </c>
      <c r="DH267" s="250" t="s">
        <v>201</v>
      </c>
      <c r="DI267" s="250">
        <v>1</v>
      </c>
      <c r="DJ267" s="250" t="s">
        <v>206</v>
      </c>
      <c r="DK267" s="250">
        <v>17</v>
      </c>
      <c r="DL267" s="140" t="s">
        <v>166</v>
      </c>
      <c r="DM267" s="140" t="s">
        <v>166</v>
      </c>
      <c r="DN267" s="250" t="s">
        <v>207</v>
      </c>
      <c r="DO267" s="250">
        <v>38</v>
      </c>
      <c r="DP267" s="250" t="s">
        <v>208</v>
      </c>
      <c r="DQ267" s="250">
        <v>3</v>
      </c>
      <c r="DR267" s="250" t="s">
        <v>209</v>
      </c>
      <c r="DS267" s="140" t="s">
        <v>166</v>
      </c>
      <c r="DT267" s="140" t="s">
        <v>166</v>
      </c>
      <c r="DU267" s="140" t="s">
        <v>166</v>
      </c>
      <c r="DV267" s="140" t="s">
        <v>166</v>
      </c>
      <c r="DW267" s="250">
        <v>432.6</v>
      </c>
      <c r="DX267" s="140" t="s">
        <v>166</v>
      </c>
      <c r="DY267" s="140" t="s">
        <v>166</v>
      </c>
      <c r="DZ267" s="140" t="s">
        <v>210</v>
      </c>
      <c r="EA267" s="140" t="s">
        <v>211</v>
      </c>
      <c r="EB267" s="140" t="s">
        <v>212</v>
      </c>
      <c r="EC267" s="140" t="s">
        <v>166</v>
      </c>
      <c r="ED267" s="140" t="s">
        <v>213</v>
      </c>
      <c r="EE267" s="213" t="s">
        <v>214</v>
      </c>
      <c r="EF267" s="213" t="s">
        <v>214</v>
      </c>
      <c r="EG267" s="250">
        <v>1.0271999999999999</v>
      </c>
      <c r="EH267" s="250" t="s">
        <v>215</v>
      </c>
      <c r="EI267" s="250" t="s">
        <v>215</v>
      </c>
      <c r="EJ267" s="250" t="s">
        <v>216</v>
      </c>
      <c r="EK267" s="250" t="s">
        <v>215</v>
      </c>
      <c r="EL267" s="250" t="s">
        <v>215</v>
      </c>
      <c r="EM267" s="250" t="s">
        <v>217</v>
      </c>
      <c r="EN267" s="251" t="s">
        <v>214</v>
      </c>
      <c r="EO267" s="251" t="s">
        <v>214</v>
      </c>
      <c r="EP267" s="251" t="s">
        <v>214</v>
      </c>
      <c r="EQ267" s="251" t="s">
        <v>214</v>
      </c>
      <c r="ER267" s="250"/>
      <c r="ES267" s="250"/>
      <c r="ET267" s="140" t="s">
        <v>218</v>
      </c>
      <c r="EU267" s="250" t="s">
        <v>219</v>
      </c>
      <c r="EV267" s="250" t="s">
        <v>213</v>
      </c>
      <c r="EW267" s="140" t="s">
        <v>166</v>
      </c>
      <c r="EX267" s="140" t="s">
        <v>166</v>
      </c>
      <c r="EY267" s="140" t="s">
        <v>166</v>
      </c>
      <c r="EZ267" s="140" t="s">
        <v>166</v>
      </c>
      <c r="FA267" s="205">
        <v>6.5</v>
      </c>
      <c r="FB267" s="140" t="s">
        <v>220</v>
      </c>
      <c r="FC267" s="205">
        <v>1</v>
      </c>
      <c r="FD267" s="205">
        <v>1</v>
      </c>
      <c r="FE267" s="215">
        <v>7.6855819128205196</v>
      </c>
      <c r="FF267" s="140" t="s">
        <v>221</v>
      </c>
      <c r="FG267" s="215">
        <v>3.411280014852025E-2</v>
      </c>
      <c r="FH267" s="215">
        <v>3.5534094784689607E-2</v>
      </c>
      <c r="FI267" s="140">
        <v>1130.0252327713999</v>
      </c>
      <c r="FK267" s="140" t="s">
        <v>166</v>
      </c>
      <c r="FL267" s="217">
        <f t="shared" si="222"/>
        <v>1130.0252327713999</v>
      </c>
      <c r="FM267" s="266">
        <v>228.86900711007002</v>
      </c>
      <c r="FN267" s="266">
        <v>188.87052249926501</v>
      </c>
      <c r="FO267" s="140" t="s">
        <v>222</v>
      </c>
      <c r="FP267" s="140" t="s">
        <v>223</v>
      </c>
      <c r="FQ267" s="217" t="s">
        <v>166</v>
      </c>
      <c r="FR267" s="217" t="s">
        <v>166</v>
      </c>
      <c r="FS267" s="217" t="s">
        <v>166</v>
      </c>
      <c r="FT267" s="217" t="s">
        <v>166</v>
      </c>
      <c r="FU267" s="217" t="s">
        <v>166</v>
      </c>
      <c r="FV267" s="217" t="s">
        <v>166</v>
      </c>
      <c r="FW267" s="217" t="s">
        <v>166</v>
      </c>
      <c r="FX267" s="217" t="s">
        <v>166</v>
      </c>
      <c r="FY267" s="217" t="s">
        <v>166</v>
      </c>
      <c r="FZ267" s="217" t="s">
        <v>166</v>
      </c>
      <c r="GA267" s="217" t="s">
        <v>166</v>
      </c>
      <c r="GB267" s="217" t="s">
        <v>166</v>
      </c>
      <c r="GC267" s="202" t="s">
        <v>548</v>
      </c>
    </row>
    <row r="268" spans="1:185" s="140" customFormat="1" ht="17">
      <c r="A268" s="140" t="s">
        <v>162</v>
      </c>
      <c r="B268" s="143" t="s">
        <v>163</v>
      </c>
      <c r="C268" s="140" t="s">
        <v>164</v>
      </c>
      <c r="D268" s="140" t="s">
        <v>165</v>
      </c>
      <c r="E268" s="140">
        <v>2020</v>
      </c>
      <c r="F268" s="140" t="s">
        <v>184</v>
      </c>
      <c r="G268" s="240">
        <v>40810.317993164062</v>
      </c>
      <c r="H268" s="140">
        <v>1.35</v>
      </c>
      <c r="I268" s="140">
        <v>1.35</v>
      </c>
      <c r="J268" s="241">
        <v>1090.9912389998201</v>
      </c>
      <c r="K268" s="266">
        <v>235.51648341616988</v>
      </c>
      <c r="L268" s="266">
        <v>196.29773201986416</v>
      </c>
      <c r="M268" s="140" t="b">
        <v>1</v>
      </c>
      <c r="N268" s="140">
        <v>1</v>
      </c>
      <c r="O268" s="302" t="s">
        <v>581</v>
      </c>
      <c r="P268" s="140" t="s">
        <v>166</v>
      </c>
      <c r="Q268" s="140" t="s">
        <v>166</v>
      </c>
      <c r="R268" s="140" t="s">
        <v>166</v>
      </c>
      <c r="S268" s="140" t="b">
        <v>1</v>
      </c>
      <c r="T268" s="140" t="b">
        <v>0</v>
      </c>
      <c r="U268" s="140" t="s">
        <v>166</v>
      </c>
      <c r="V268" s="140" t="b">
        <v>0</v>
      </c>
      <c r="W268" s="140" t="b">
        <v>0</v>
      </c>
      <c r="X268" s="140" t="s">
        <v>166</v>
      </c>
      <c r="Y268" s="202" t="s">
        <v>186</v>
      </c>
      <c r="Z268" s="140" t="s">
        <v>184</v>
      </c>
      <c r="AA268" s="274">
        <v>865</v>
      </c>
      <c r="AB268" s="140" t="s">
        <v>250</v>
      </c>
      <c r="AC268" s="140">
        <v>5</v>
      </c>
      <c r="AD268" s="140">
        <v>2</v>
      </c>
      <c r="AE268" s="140">
        <v>105</v>
      </c>
      <c r="AF268" s="140">
        <v>107</v>
      </c>
      <c r="AG268" s="140">
        <v>34.36</v>
      </c>
      <c r="AH268" s="140">
        <v>37.569999694824219</v>
      </c>
      <c r="AI268" s="140" t="s">
        <v>558</v>
      </c>
      <c r="AJ268" s="140" t="s">
        <v>559</v>
      </c>
      <c r="AK268" s="286">
        <v>18.4404</v>
      </c>
      <c r="AL268" s="286">
        <v>-179.55500000000001</v>
      </c>
      <c r="AM268" s="286">
        <v>11.3</v>
      </c>
      <c r="AN268" s="287" t="s">
        <v>166</v>
      </c>
      <c r="AO268" s="287">
        <v>-1518</v>
      </c>
      <c r="AP268" s="287">
        <v>-1400</v>
      </c>
      <c r="AQ268" s="140" t="s">
        <v>560</v>
      </c>
      <c r="AR268" s="140" t="s">
        <v>511</v>
      </c>
      <c r="AS268" s="240">
        <v>40.810317993164062</v>
      </c>
      <c r="AT268" s="140" t="s">
        <v>536</v>
      </c>
      <c r="AU268" s="140">
        <v>1.35</v>
      </c>
      <c r="AV268" s="140">
        <v>1.35</v>
      </c>
      <c r="AW268" s="140" t="s">
        <v>255</v>
      </c>
      <c r="AX268" s="140" t="s">
        <v>537</v>
      </c>
      <c r="AY268" s="140" t="s">
        <v>561</v>
      </c>
      <c r="AZ268" s="140" t="s">
        <v>166</v>
      </c>
      <c r="BA268" s="140" t="s">
        <v>166</v>
      </c>
      <c r="BB268" s="140" t="s">
        <v>166</v>
      </c>
      <c r="BC268" s="140" t="s">
        <v>166</v>
      </c>
      <c r="BD268" s="140" t="s">
        <v>166</v>
      </c>
      <c r="BE268" s="140" t="s">
        <v>166</v>
      </c>
      <c r="BF268" s="140" t="s">
        <v>166</v>
      </c>
      <c r="BG268" s="245" t="s">
        <v>229</v>
      </c>
      <c r="BH268" s="140" t="s">
        <v>192</v>
      </c>
      <c r="BI268" s="277">
        <v>233</v>
      </c>
      <c r="BJ268" s="277">
        <v>2.3109999999999999</v>
      </c>
      <c r="BK268" s="140" t="s">
        <v>544</v>
      </c>
      <c r="BL268" s="140" t="s">
        <v>194</v>
      </c>
      <c r="BM268" s="140" t="s">
        <v>195</v>
      </c>
      <c r="BN268" s="140" t="s">
        <v>577</v>
      </c>
      <c r="BO268" s="140">
        <v>2</v>
      </c>
      <c r="BP268" s="270">
        <v>0.57889264142361618</v>
      </c>
      <c r="BQ268" s="299">
        <v>14.822998009747399</v>
      </c>
      <c r="BR268" s="140" t="s">
        <v>546</v>
      </c>
      <c r="BS268" s="140">
        <v>0.12261441973860421</v>
      </c>
      <c r="BT268" s="140">
        <v>1</v>
      </c>
      <c r="BU268" s="140" t="s">
        <v>197</v>
      </c>
      <c r="BV268" s="140" t="s">
        <v>166</v>
      </c>
      <c r="BW268" s="140">
        <v>0</v>
      </c>
      <c r="BX268" s="140" t="s">
        <v>197</v>
      </c>
      <c r="BY268" s="140" t="s">
        <v>166</v>
      </c>
      <c r="BZ268" s="140" t="s">
        <v>197</v>
      </c>
      <c r="CA268" s="140" t="s">
        <v>166</v>
      </c>
      <c r="CB268" s="210">
        <f t="shared" si="232"/>
        <v>14.822998009747399</v>
      </c>
      <c r="CC268" s="140" t="s">
        <v>196</v>
      </c>
      <c r="CD268" s="140">
        <f t="shared" si="233"/>
        <v>0.12261441973860421</v>
      </c>
      <c r="CE268" s="140" t="s">
        <v>199</v>
      </c>
      <c r="CF268" s="140" t="s">
        <v>166</v>
      </c>
      <c r="CG268" s="140" t="s">
        <v>474</v>
      </c>
      <c r="CH268" s="140" t="s">
        <v>166</v>
      </c>
      <c r="CI268" s="140" t="s">
        <v>166</v>
      </c>
      <c r="CJ268" s="210">
        <v>35.780406204382146</v>
      </c>
      <c r="CK268" s="140" t="s">
        <v>201</v>
      </c>
      <c r="CL268" s="140">
        <v>2</v>
      </c>
      <c r="CM268" s="140">
        <v>2</v>
      </c>
      <c r="CN268" s="140" t="s">
        <v>166</v>
      </c>
      <c r="CO268" s="294">
        <v>4.0871473246201404</v>
      </c>
      <c r="CP268" s="140" t="s">
        <v>546</v>
      </c>
      <c r="CQ268" s="140">
        <v>0.12261441973860421</v>
      </c>
      <c r="CR268" s="140">
        <v>0.12261441973860421</v>
      </c>
      <c r="CS268" s="291" t="s">
        <v>547</v>
      </c>
      <c r="CT268" s="250" t="s">
        <v>203</v>
      </c>
      <c r="CU268" s="250">
        <v>2.2000000000000002</v>
      </c>
      <c r="CV268" s="140" t="s">
        <v>204</v>
      </c>
      <c r="CW268" s="250" t="s">
        <v>166</v>
      </c>
      <c r="CX268" s="250" t="s">
        <v>166</v>
      </c>
      <c r="CY268" s="250" t="s">
        <v>166</v>
      </c>
      <c r="CZ268" s="250" t="s">
        <v>166</v>
      </c>
      <c r="DA268" s="292" t="s">
        <v>166</v>
      </c>
      <c r="DB268" s="250" t="s">
        <v>166</v>
      </c>
      <c r="DC268" s="250" t="s">
        <v>166</v>
      </c>
      <c r="DD268" s="250" t="s">
        <v>166</v>
      </c>
      <c r="DE268" s="250" t="s">
        <v>166</v>
      </c>
      <c r="DF268" s="250" t="s">
        <v>166</v>
      </c>
      <c r="DG268" s="250">
        <v>35</v>
      </c>
      <c r="DH268" s="250" t="s">
        <v>201</v>
      </c>
      <c r="DI268" s="250">
        <v>1</v>
      </c>
      <c r="DJ268" s="250" t="s">
        <v>206</v>
      </c>
      <c r="DK268" s="250">
        <v>17</v>
      </c>
      <c r="DL268" s="140" t="s">
        <v>166</v>
      </c>
      <c r="DM268" s="140" t="s">
        <v>166</v>
      </c>
      <c r="DN268" s="250" t="s">
        <v>207</v>
      </c>
      <c r="DO268" s="250">
        <v>38</v>
      </c>
      <c r="DP268" s="250" t="s">
        <v>208</v>
      </c>
      <c r="DQ268" s="250">
        <v>3</v>
      </c>
      <c r="DR268" s="250" t="s">
        <v>209</v>
      </c>
      <c r="DS268" s="140" t="s">
        <v>166</v>
      </c>
      <c r="DT268" s="140" t="s">
        <v>166</v>
      </c>
      <c r="DU268" s="140" t="s">
        <v>166</v>
      </c>
      <c r="DV268" s="140" t="s">
        <v>166</v>
      </c>
      <c r="DW268" s="250">
        <v>432.6</v>
      </c>
      <c r="DX268" s="140" t="s">
        <v>166</v>
      </c>
      <c r="DY268" s="140" t="s">
        <v>166</v>
      </c>
      <c r="DZ268" s="140" t="s">
        <v>210</v>
      </c>
      <c r="EA268" s="140" t="s">
        <v>211</v>
      </c>
      <c r="EB268" s="140" t="s">
        <v>212</v>
      </c>
      <c r="EC268" s="140" t="s">
        <v>166</v>
      </c>
      <c r="ED268" s="140" t="s">
        <v>213</v>
      </c>
      <c r="EE268" s="213" t="s">
        <v>214</v>
      </c>
      <c r="EF268" s="213" t="s">
        <v>214</v>
      </c>
      <c r="EG268" s="250">
        <v>1.0271999999999999</v>
      </c>
      <c r="EH268" s="250" t="s">
        <v>215</v>
      </c>
      <c r="EI268" s="250" t="s">
        <v>215</v>
      </c>
      <c r="EJ268" s="250" t="s">
        <v>216</v>
      </c>
      <c r="EK268" s="250" t="s">
        <v>215</v>
      </c>
      <c r="EL268" s="250" t="s">
        <v>215</v>
      </c>
      <c r="EM268" s="250" t="s">
        <v>217</v>
      </c>
      <c r="EN268" s="251" t="s">
        <v>214</v>
      </c>
      <c r="EO268" s="251" t="s">
        <v>214</v>
      </c>
      <c r="EP268" s="251" t="s">
        <v>214</v>
      </c>
      <c r="EQ268" s="251" t="s">
        <v>214</v>
      </c>
      <c r="ER268" s="250"/>
      <c r="ES268" s="250"/>
      <c r="ET268" s="140" t="s">
        <v>218</v>
      </c>
      <c r="EU268" s="250" t="s">
        <v>219</v>
      </c>
      <c r="EV268" s="250" t="s">
        <v>213</v>
      </c>
      <c r="EW268" s="140" t="s">
        <v>166</v>
      </c>
      <c r="EX268" s="140" t="s">
        <v>166</v>
      </c>
      <c r="EY268" s="140" t="s">
        <v>166</v>
      </c>
      <c r="EZ268" s="140" t="s">
        <v>166</v>
      </c>
      <c r="FA268" s="205">
        <v>6.5</v>
      </c>
      <c r="FB268" s="140" t="s">
        <v>220</v>
      </c>
      <c r="FC268" s="205">
        <v>1</v>
      </c>
      <c r="FD268" s="205">
        <v>1</v>
      </c>
      <c r="FE268" s="215">
        <v>7.6896390822013903</v>
      </c>
      <c r="FF268" s="140" t="s">
        <v>221</v>
      </c>
      <c r="FG268" s="215">
        <v>3.5090992545329769E-2</v>
      </c>
      <c r="FH268" s="215">
        <v>3.5848306355320325E-2</v>
      </c>
      <c r="FI268" s="140">
        <v>1090.9912389998201</v>
      </c>
      <c r="FK268" s="140" t="s">
        <v>166</v>
      </c>
      <c r="FL268" s="217">
        <f t="shared" si="222"/>
        <v>1090.9912389998201</v>
      </c>
      <c r="FM268" s="266">
        <v>235.51648341616988</v>
      </c>
      <c r="FN268" s="266">
        <v>196.29773201986416</v>
      </c>
      <c r="FO268" s="140" t="s">
        <v>222</v>
      </c>
      <c r="FP268" s="140" t="s">
        <v>223</v>
      </c>
      <c r="FQ268" s="217" t="s">
        <v>166</v>
      </c>
      <c r="FR268" s="217" t="s">
        <v>166</v>
      </c>
      <c r="FS268" s="217" t="s">
        <v>166</v>
      </c>
      <c r="FT268" s="217" t="s">
        <v>166</v>
      </c>
      <c r="FU268" s="217" t="s">
        <v>166</v>
      </c>
      <c r="FV268" s="217" t="s">
        <v>166</v>
      </c>
      <c r="FW268" s="217" t="s">
        <v>166</v>
      </c>
      <c r="FX268" s="217" t="s">
        <v>166</v>
      </c>
      <c r="FY268" s="217" t="s">
        <v>166</v>
      </c>
      <c r="FZ268" s="217" t="s">
        <v>166</v>
      </c>
      <c r="GA268" s="217" t="s">
        <v>166</v>
      </c>
      <c r="GB268" s="217" t="s">
        <v>166</v>
      </c>
      <c r="GC268" s="202" t="s">
        <v>548</v>
      </c>
    </row>
    <row r="269" spans="1:185" s="140" customFormat="1" ht="17">
      <c r="A269" s="140" t="s">
        <v>162</v>
      </c>
      <c r="B269" s="143" t="s">
        <v>163</v>
      </c>
      <c r="C269" s="140" t="s">
        <v>164</v>
      </c>
      <c r="D269" s="140" t="s">
        <v>165</v>
      </c>
      <c r="E269" s="140">
        <v>2020</v>
      </c>
      <c r="F269" s="140" t="s">
        <v>184</v>
      </c>
      <c r="G269" s="240">
        <v>40920.524597167969</v>
      </c>
      <c r="H269" s="140">
        <v>1.35</v>
      </c>
      <c r="I269" s="140">
        <v>1.35</v>
      </c>
      <c r="J269" s="241">
        <v>944.4743975746029</v>
      </c>
      <c r="K269" s="266">
        <v>182.71755464496698</v>
      </c>
      <c r="L269" s="266">
        <v>166.40382655034296</v>
      </c>
      <c r="M269" s="140" t="b">
        <v>1</v>
      </c>
      <c r="N269" s="140">
        <v>1</v>
      </c>
      <c r="O269" s="302" t="s">
        <v>581</v>
      </c>
      <c r="P269" s="140" t="s">
        <v>166</v>
      </c>
      <c r="Q269" s="140" t="s">
        <v>166</v>
      </c>
      <c r="R269" s="140" t="s">
        <v>166</v>
      </c>
      <c r="S269" s="140" t="b">
        <v>1</v>
      </c>
      <c r="T269" s="140" t="b">
        <v>0</v>
      </c>
      <c r="U269" s="140" t="s">
        <v>166</v>
      </c>
      <c r="V269" s="140" t="b">
        <v>0</v>
      </c>
      <c r="W269" s="140" t="b">
        <v>0</v>
      </c>
      <c r="X269" s="140" t="s">
        <v>166</v>
      </c>
      <c r="Y269" s="202" t="s">
        <v>186</v>
      </c>
      <c r="Z269" s="140" t="s">
        <v>184</v>
      </c>
      <c r="AA269" s="284">
        <v>865</v>
      </c>
      <c r="AB269" s="140" t="s">
        <v>250</v>
      </c>
      <c r="AC269" s="140">
        <v>5</v>
      </c>
      <c r="AD269" s="140">
        <v>3</v>
      </c>
      <c r="AE269" s="140">
        <v>25</v>
      </c>
      <c r="AF269" s="140">
        <v>27</v>
      </c>
      <c r="AG269" s="140">
        <v>35.06</v>
      </c>
      <c r="AH269" s="140">
        <v>38.270000457763672</v>
      </c>
      <c r="AI269" s="140" t="s">
        <v>558</v>
      </c>
      <c r="AJ269" s="140" t="s">
        <v>559</v>
      </c>
      <c r="AK269" s="286">
        <v>18.4404</v>
      </c>
      <c r="AL269" s="286">
        <v>-179.55500000000001</v>
      </c>
      <c r="AM269" s="286">
        <v>11.3</v>
      </c>
      <c r="AN269" s="287" t="s">
        <v>166</v>
      </c>
      <c r="AO269" s="287">
        <v>-1518</v>
      </c>
      <c r="AP269" s="287">
        <v>-1400</v>
      </c>
      <c r="AQ269" s="140" t="s">
        <v>560</v>
      </c>
      <c r="AR269" s="140" t="s">
        <v>511</v>
      </c>
      <c r="AS269" s="240">
        <v>40.920524597167969</v>
      </c>
      <c r="AT269" s="140" t="s">
        <v>536</v>
      </c>
      <c r="AU269" s="140">
        <v>1.35</v>
      </c>
      <c r="AV269" s="140">
        <v>1.35</v>
      </c>
      <c r="AW269" s="140" t="s">
        <v>255</v>
      </c>
      <c r="AX269" s="140" t="s">
        <v>537</v>
      </c>
      <c r="AY269" s="140" t="s">
        <v>561</v>
      </c>
      <c r="AZ269" s="140" t="s">
        <v>166</v>
      </c>
      <c r="BA269" s="140" t="s">
        <v>166</v>
      </c>
      <c r="BB269" s="140" t="s">
        <v>166</v>
      </c>
      <c r="BC269" s="140" t="s">
        <v>166</v>
      </c>
      <c r="BD269" s="140" t="s">
        <v>166</v>
      </c>
      <c r="BE269" s="140" t="s">
        <v>166</v>
      </c>
      <c r="BF269" s="140" t="s">
        <v>166</v>
      </c>
      <c r="BG269" s="245" t="s">
        <v>229</v>
      </c>
      <c r="BH269" s="140" t="s">
        <v>192</v>
      </c>
      <c r="BI269" s="277" t="s">
        <v>542</v>
      </c>
      <c r="BJ269" s="289" t="s">
        <v>543</v>
      </c>
      <c r="BK269" s="140" t="s">
        <v>544</v>
      </c>
      <c r="BL269" s="140" t="s">
        <v>194</v>
      </c>
      <c r="BM269" s="140" t="s">
        <v>195</v>
      </c>
      <c r="BN269" s="140" t="s">
        <v>578</v>
      </c>
      <c r="BO269" s="140">
        <v>2</v>
      </c>
      <c r="BP269" s="270">
        <v>0.23823731638247381</v>
      </c>
      <c r="BQ269" s="294">
        <v>15.0520442263749</v>
      </c>
      <c r="BR269" s="140" t="s">
        <v>546</v>
      </c>
      <c r="BS269" s="140">
        <v>0.1192646007315762</v>
      </c>
      <c r="BT269" s="140">
        <v>1</v>
      </c>
      <c r="BU269" s="140" t="s">
        <v>197</v>
      </c>
      <c r="BV269" s="140" t="s">
        <v>166</v>
      </c>
      <c r="BW269" s="140">
        <v>0</v>
      </c>
      <c r="BX269" s="140" t="s">
        <v>197</v>
      </c>
      <c r="BY269" s="140" t="s">
        <v>166</v>
      </c>
      <c r="BZ269" s="140" t="s">
        <v>197</v>
      </c>
      <c r="CA269" s="140" t="s">
        <v>166</v>
      </c>
      <c r="CB269" s="210">
        <f t="shared" si="232"/>
        <v>15.0520442263749</v>
      </c>
      <c r="CC269" s="140" t="s">
        <v>196</v>
      </c>
      <c r="CD269" s="140">
        <f t="shared" si="233"/>
        <v>0.1192646007315762</v>
      </c>
      <c r="CE269" s="140" t="s">
        <v>199</v>
      </c>
      <c r="CF269" s="140" t="s">
        <v>166</v>
      </c>
      <c r="CG269" s="140" t="s">
        <v>474</v>
      </c>
      <c r="CH269" s="140" t="s">
        <v>166</v>
      </c>
      <c r="CI269" s="140" t="s">
        <v>166</v>
      </c>
      <c r="CJ269" s="210">
        <v>35.288956476711959</v>
      </c>
      <c r="CK269" s="140" t="s">
        <v>201</v>
      </c>
      <c r="CL269" s="140">
        <v>2</v>
      </c>
      <c r="CM269" s="140">
        <v>2</v>
      </c>
      <c r="CN269" s="140" t="s">
        <v>166</v>
      </c>
      <c r="CO269" s="294">
        <v>3.9754866910525402</v>
      </c>
      <c r="CP269" s="140" t="s">
        <v>546</v>
      </c>
      <c r="CQ269" s="140">
        <v>0.1192646007315762</v>
      </c>
      <c r="CR269" s="140">
        <v>0.1192646007315762</v>
      </c>
      <c r="CS269" s="291" t="s">
        <v>547</v>
      </c>
      <c r="CT269" s="250" t="s">
        <v>203</v>
      </c>
      <c r="CU269" s="250">
        <v>2.2000000000000002</v>
      </c>
      <c r="CV269" s="140" t="s">
        <v>204</v>
      </c>
      <c r="CW269" s="250" t="s">
        <v>166</v>
      </c>
      <c r="CX269" s="250" t="s">
        <v>166</v>
      </c>
      <c r="CY269" s="250" t="s">
        <v>166</v>
      </c>
      <c r="CZ269" s="250" t="s">
        <v>166</v>
      </c>
      <c r="DA269" s="292" t="s">
        <v>166</v>
      </c>
      <c r="DB269" s="250" t="s">
        <v>166</v>
      </c>
      <c r="DC269" s="250" t="s">
        <v>166</v>
      </c>
      <c r="DD269" s="250" t="s">
        <v>166</v>
      </c>
      <c r="DE269" s="250" t="s">
        <v>166</v>
      </c>
      <c r="DF269" s="250" t="s">
        <v>166</v>
      </c>
      <c r="DG269" s="250">
        <v>35</v>
      </c>
      <c r="DH269" s="250" t="s">
        <v>201</v>
      </c>
      <c r="DI269" s="250">
        <v>1</v>
      </c>
      <c r="DJ269" s="250" t="s">
        <v>206</v>
      </c>
      <c r="DK269" s="250">
        <v>17</v>
      </c>
      <c r="DL269" s="140" t="s">
        <v>166</v>
      </c>
      <c r="DM269" s="140" t="s">
        <v>166</v>
      </c>
      <c r="DN269" s="250" t="s">
        <v>207</v>
      </c>
      <c r="DO269" s="250">
        <v>38</v>
      </c>
      <c r="DP269" s="250" t="s">
        <v>208</v>
      </c>
      <c r="DQ269" s="250">
        <v>3</v>
      </c>
      <c r="DR269" s="250" t="s">
        <v>209</v>
      </c>
      <c r="DS269" s="140" t="s">
        <v>166</v>
      </c>
      <c r="DT269" s="140" t="s">
        <v>166</v>
      </c>
      <c r="DU269" s="140" t="s">
        <v>166</v>
      </c>
      <c r="DV269" s="140" t="s">
        <v>166</v>
      </c>
      <c r="DW269" s="250">
        <v>432.6</v>
      </c>
      <c r="DX269" s="140" t="s">
        <v>166</v>
      </c>
      <c r="DY269" s="140" t="s">
        <v>166</v>
      </c>
      <c r="DZ269" s="140" t="s">
        <v>210</v>
      </c>
      <c r="EA269" s="140" t="s">
        <v>211</v>
      </c>
      <c r="EB269" s="140" t="s">
        <v>212</v>
      </c>
      <c r="EC269" s="140" t="s">
        <v>166</v>
      </c>
      <c r="ED269" s="140" t="s">
        <v>213</v>
      </c>
      <c r="EE269" s="213" t="s">
        <v>214</v>
      </c>
      <c r="EF269" s="213" t="s">
        <v>214</v>
      </c>
      <c r="EG269" s="250">
        <v>1.0271999999999999</v>
      </c>
      <c r="EH269" s="250" t="s">
        <v>215</v>
      </c>
      <c r="EI269" s="250" t="s">
        <v>215</v>
      </c>
      <c r="EJ269" s="250" t="s">
        <v>216</v>
      </c>
      <c r="EK269" s="250" t="s">
        <v>215</v>
      </c>
      <c r="EL269" s="250" t="s">
        <v>215</v>
      </c>
      <c r="EM269" s="250" t="s">
        <v>217</v>
      </c>
      <c r="EN269" s="251" t="s">
        <v>214</v>
      </c>
      <c r="EO269" s="251" t="s">
        <v>214</v>
      </c>
      <c r="EP269" s="251" t="s">
        <v>214</v>
      </c>
      <c r="EQ269" s="251" t="s">
        <v>214</v>
      </c>
      <c r="ER269" s="250"/>
      <c r="ES269" s="250"/>
      <c r="ET269" s="140" t="s">
        <v>218</v>
      </c>
      <c r="EU269" s="250" t="s">
        <v>219</v>
      </c>
      <c r="EV269" s="250" t="s">
        <v>213</v>
      </c>
      <c r="EW269" s="140" t="s">
        <v>166</v>
      </c>
      <c r="EX269" s="140" t="s">
        <v>166</v>
      </c>
      <c r="EY269" s="140" t="s">
        <v>166</v>
      </c>
      <c r="EZ269" s="140" t="s">
        <v>166</v>
      </c>
      <c r="FA269" s="205">
        <v>6.5</v>
      </c>
      <c r="FB269" s="140" t="s">
        <v>220</v>
      </c>
      <c r="FC269" s="205">
        <v>1</v>
      </c>
      <c r="FD269" s="205">
        <v>1</v>
      </c>
      <c r="FE269" s="215">
        <v>7.7250288822113999</v>
      </c>
      <c r="FF269" s="140" t="s">
        <v>221</v>
      </c>
      <c r="FG269" s="215">
        <v>3.6824911207290256E-2</v>
      </c>
      <c r="FH269" s="215">
        <v>3.4465849913090096E-2</v>
      </c>
      <c r="FI269" s="140">
        <v>944.4743975746029</v>
      </c>
      <c r="FK269" s="140" t="s">
        <v>166</v>
      </c>
      <c r="FL269" s="217">
        <f t="shared" si="222"/>
        <v>944.4743975746029</v>
      </c>
      <c r="FM269" s="266">
        <v>182.71755464496698</v>
      </c>
      <c r="FN269" s="266">
        <v>166.40382655034296</v>
      </c>
      <c r="FO269" s="140" t="s">
        <v>222</v>
      </c>
      <c r="FP269" s="140" t="s">
        <v>223</v>
      </c>
      <c r="FQ269" s="217" t="s">
        <v>166</v>
      </c>
      <c r="FR269" s="217" t="s">
        <v>166</v>
      </c>
      <c r="FS269" s="217" t="s">
        <v>166</v>
      </c>
      <c r="FT269" s="217" t="s">
        <v>166</v>
      </c>
      <c r="FU269" s="217" t="s">
        <v>166</v>
      </c>
      <c r="FV269" s="217" t="s">
        <v>166</v>
      </c>
      <c r="FW269" s="217" t="s">
        <v>166</v>
      </c>
      <c r="FX269" s="217" t="s">
        <v>166</v>
      </c>
      <c r="FY269" s="217" t="s">
        <v>166</v>
      </c>
      <c r="FZ269" s="217" t="s">
        <v>166</v>
      </c>
      <c r="GA269" s="217" t="s">
        <v>166</v>
      </c>
      <c r="GB269" s="217" t="s">
        <v>166</v>
      </c>
      <c r="GC269" s="202" t="s">
        <v>548</v>
      </c>
    </row>
    <row r="270" spans="1:185" s="140" customFormat="1" ht="17">
      <c r="A270" s="140" t="s">
        <v>162</v>
      </c>
      <c r="B270" s="143" t="s">
        <v>163</v>
      </c>
      <c r="C270" s="140" t="s">
        <v>164</v>
      </c>
      <c r="D270" s="140" t="s">
        <v>165</v>
      </c>
      <c r="E270" s="140">
        <v>2020</v>
      </c>
      <c r="F270" s="140" t="s">
        <v>184</v>
      </c>
      <c r="G270" s="240">
        <v>41129.554748535156</v>
      </c>
      <c r="H270" s="140">
        <v>1.74</v>
      </c>
      <c r="I270" s="140">
        <v>1.74</v>
      </c>
      <c r="J270" s="241">
        <v>863.22112122716703</v>
      </c>
      <c r="K270" s="266">
        <v>163.47739528061311</v>
      </c>
      <c r="L270" s="266">
        <v>151.04255999462112</v>
      </c>
      <c r="M270" s="140" t="b">
        <v>1</v>
      </c>
      <c r="N270" s="140">
        <v>1</v>
      </c>
      <c r="O270" s="302" t="s">
        <v>581</v>
      </c>
      <c r="P270" s="140" t="s">
        <v>166</v>
      </c>
      <c r="Q270" s="140" t="s">
        <v>166</v>
      </c>
      <c r="R270" s="140" t="s">
        <v>166</v>
      </c>
      <c r="S270" s="140" t="b">
        <v>1</v>
      </c>
      <c r="T270" s="140" t="b">
        <v>0</v>
      </c>
      <c r="U270" s="140" t="s">
        <v>166</v>
      </c>
      <c r="V270" s="140" t="b">
        <v>0</v>
      </c>
      <c r="W270" s="140" t="b">
        <v>0</v>
      </c>
      <c r="X270" s="140" t="s">
        <v>166</v>
      </c>
      <c r="Y270" s="202" t="s">
        <v>186</v>
      </c>
      <c r="Z270" s="140" t="s">
        <v>184</v>
      </c>
      <c r="AA270" s="274">
        <v>865</v>
      </c>
      <c r="AB270" s="140" t="s">
        <v>250</v>
      </c>
      <c r="AC270" s="140">
        <v>5</v>
      </c>
      <c r="AD270" s="140">
        <v>4</v>
      </c>
      <c r="AE270" s="140">
        <v>15</v>
      </c>
      <c r="AF270" s="140">
        <v>17</v>
      </c>
      <c r="AG270" s="140">
        <v>36.46</v>
      </c>
      <c r="AH270" s="140">
        <v>39.669998168945312</v>
      </c>
      <c r="AI270" s="140" t="s">
        <v>558</v>
      </c>
      <c r="AJ270" s="140" t="s">
        <v>559</v>
      </c>
      <c r="AK270" s="286">
        <v>18.4404</v>
      </c>
      <c r="AL270" s="286">
        <v>-179.55500000000001</v>
      </c>
      <c r="AM270" s="286">
        <v>11.3</v>
      </c>
      <c r="AN270" s="287" t="s">
        <v>166</v>
      </c>
      <c r="AO270" s="287">
        <v>-1518</v>
      </c>
      <c r="AP270" s="287">
        <v>-1400</v>
      </c>
      <c r="AQ270" s="140" t="s">
        <v>560</v>
      </c>
      <c r="AR270" s="140" t="s">
        <v>511</v>
      </c>
      <c r="AS270" s="240">
        <v>41.129554748535156</v>
      </c>
      <c r="AT270" s="140" t="s">
        <v>536</v>
      </c>
      <c r="AU270" s="140">
        <v>1.74</v>
      </c>
      <c r="AV270" s="140">
        <v>1.74</v>
      </c>
      <c r="AW270" s="140" t="s">
        <v>255</v>
      </c>
      <c r="AX270" s="140" t="s">
        <v>537</v>
      </c>
      <c r="AY270" s="140" t="s">
        <v>561</v>
      </c>
      <c r="AZ270" s="140" t="s">
        <v>166</v>
      </c>
      <c r="BA270" s="140" t="s">
        <v>166</v>
      </c>
      <c r="BB270" s="140" t="s">
        <v>166</v>
      </c>
      <c r="BC270" s="140" t="s">
        <v>166</v>
      </c>
      <c r="BD270" s="140" t="s">
        <v>166</v>
      </c>
      <c r="BE270" s="140" t="s">
        <v>166</v>
      </c>
      <c r="BF270" s="140" t="s">
        <v>166</v>
      </c>
      <c r="BG270" s="245" t="s">
        <v>229</v>
      </c>
      <c r="BH270" s="140" t="s">
        <v>192</v>
      </c>
      <c r="BI270" s="277">
        <v>234</v>
      </c>
      <c r="BJ270" s="277">
        <v>2.504</v>
      </c>
      <c r="BK270" s="140" t="s">
        <v>544</v>
      </c>
      <c r="BL270" s="140" t="s">
        <v>194</v>
      </c>
      <c r="BM270" s="140" t="s">
        <v>195</v>
      </c>
      <c r="BN270" s="140" t="s">
        <v>579</v>
      </c>
      <c r="BO270" s="140">
        <v>2</v>
      </c>
      <c r="BP270" s="270">
        <v>0.43503437941077999</v>
      </c>
      <c r="BQ270" s="299">
        <v>15.1901142346884</v>
      </c>
      <c r="BR270" s="140" t="s">
        <v>546</v>
      </c>
      <c r="BS270" s="140">
        <v>0.11794924836073979</v>
      </c>
      <c r="BT270" s="140">
        <v>1</v>
      </c>
      <c r="BU270" s="140" t="s">
        <v>197</v>
      </c>
      <c r="BV270" s="140" t="s">
        <v>166</v>
      </c>
      <c r="BW270" s="140">
        <v>0</v>
      </c>
      <c r="BX270" s="140" t="s">
        <v>197</v>
      </c>
      <c r="BY270" s="140" t="s">
        <v>166</v>
      </c>
      <c r="BZ270" s="140" t="s">
        <v>197</v>
      </c>
      <c r="CA270" s="140" t="s">
        <v>166</v>
      </c>
      <c r="CB270" s="210">
        <f t="shared" si="232"/>
        <v>15.1901142346884</v>
      </c>
      <c r="CC270" s="140" t="s">
        <v>196</v>
      </c>
      <c r="CD270" s="140">
        <f t="shared" si="233"/>
        <v>0.11794924836073979</v>
      </c>
      <c r="CE270" s="140" t="s">
        <v>199</v>
      </c>
      <c r="CF270" s="140" t="s">
        <v>166</v>
      </c>
      <c r="CG270" s="140" t="s">
        <v>474</v>
      </c>
      <c r="CH270" s="140" t="s">
        <v>166</v>
      </c>
      <c r="CI270" s="140" t="s">
        <v>166</v>
      </c>
      <c r="CJ270" s="210">
        <v>35.092197428999746</v>
      </c>
      <c r="CK270" s="140" t="s">
        <v>201</v>
      </c>
      <c r="CL270" s="140">
        <v>2</v>
      </c>
      <c r="CM270" s="140">
        <v>2</v>
      </c>
      <c r="CN270" s="140" t="s">
        <v>166</v>
      </c>
      <c r="CO270" s="294">
        <v>3.9316416120246598</v>
      </c>
      <c r="CP270" s="140" t="s">
        <v>546</v>
      </c>
      <c r="CQ270" s="140">
        <v>0.11794924836073979</v>
      </c>
      <c r="CR270" s="140">
        <v>0.11794924836073979</v>
      </c>
      <c r="CS270" s="291" t="s">
        <v>547</v>
      </c>
      <c r="CT270" s="250" t="s">
        <v>203</v>
      </c>
      <c r="CU270" s="250">
        <v>2.2000000000000002</v>
      </c>
      <c r="CV270" s="140" t="s">
        <v>204</v>
      </c>
      <c r="CW270" s="250" t="s">
        <v>166</v>
      </c>
      <c r="CX270" s="250" t="s">
        <v>166</v>
      </c>
      <c r="CY270" s="250" t="s">
        <v>166</v>
      </c>
      <c r="CZ270" s="250" t="s">
        <v>166</v>
      </c>
      <c r="DA270" s="292" t="s">
        <v>166</v>
      </c>
      <c r="DB270" s="250" t="s">
        <v>166</v>
      </c>
      <c r="DC270" s="250" t="s">
        <v>166</v>
      </c>
      <c r="DD270" s="250" t="s">
        <v>166</v>
      </c>
      <c r="DE270" s="250" t="s">
        <v>166</v>
      </c>
      <c r="DF270" s="250" t="s">
        <v>166</v>
      </c>
      <c r="DG270" s="250">
        <v>35</v>
      </c>
      <c r="DH270" s="250" t="s">
        <v>201</v>
      </c>
      <c r="DI270" s="250">
        <v>1</v>
      </c>
      <c r="DJ270" s="250" t="s">
        <v>206</v>
      </c>
      <c r="DK270" s="250">
        <v>17</v>
      </c>
      <c r="DL270" s="140" t="s">
        <v>166</v>
      </c>
      <c r="DM270" s="140" t="s">
        <v>166</v>
      </c>
      <c r="DN270" s="250" t="s">
        <v>207</v>
      </c>
      <c r="DO270" s="250">
        <v>38</v>
      </c>
      <c r="DP270" s="250" t="s">
        <v>208</v>
      </c>
      <c r="DQ270" s="250">
        <v>3</v>
      </c>
      <c r="DR270" s="250" t="s">
        <v>209</v>
      </c>
      <c r="DS270" s="140" t="s">
        <v>166</v>
      </c>
      <c r="DT270" s="140" t="s">
        <v>166</v>
      </c>
      <c r="DU270" s="140" t="s">
        <v>166</v>
      </c>
      <c r="DV270" s="140" t="s">
        <v>166</v>
      </c>
      <c r="DW270" s="250">
        <v>432.6</v>
      </c>
      <c r="DX270" s="140" t="s">
        <v>166</v>
      </c>
      <c r="DY270" s="140" t="s">
        <v>166</v>
      </c>
      <c r="DZ270" s="140" t="s">
        <v>210</v>
      </c>
      <c r="EA270" s="140" t="s">
        <v>211</v>
      </c>
      <c r="EB270" s="140" t="s">
        <v>212</v>
      </c>
      <c r="EC270" s="140" t="s">
        <v>166</v>
      </c>
      <c r="ED270" s="140" t="s">
        <v>213</v>
      </c>
      <c r="EE270" s="213" t="s">
        <v>214</v>
      </c>
      <c r="EF270" s="213" t="s">
        <v>214</v>
      </c>
      <c r="EG270" s="250">
        <v>1.0271999999999999</v>
      </c>
      <c r="EH270" s="250" t="s">
        <v>215</v>
      </c>
      <c r="EI270" s="250" t="s">
        <v>215</v>
      </c>
      <c r="EJ270" s="250" t="s">
        <v>216</v>
      </c>
      <c r="EK270" s="250" t="s">
        <v>215</v>
      </c>
      <c r="EL270" s="250" t="s">
        <v>215</v>
      </c>
      <c r="EM270" s="250" t="s">
        <v>217</v>
      </c>
      <c r="EN270" s="251" t="s">
        <v>214</v>
      </c>
      <c r="EO270" s="251" t="s">
        <v>214</v>
      </c>
      <c r="EP270" s="251" t="s">
        <v>214</v>
      </c>
      <c r="EQ270" s="251" t="s">
        <v>214</v>
      </c>
      <c r="ER270" s="250"/>
      <c r="ES270" s="250"/>
      <c r="ET270" s="140" t="s">
        <v>218</v>
      </c>
      <c r="EU270" s="250" t="s">
        <v>219</v>
      </c>
      <c r="EV270" s="250" t="s">
        <v>213</v>
      </c>
      <c r="EW270" s="140" t="s">
        <v>166</v>
      </c>
      <c r="EX270" s="140" t="s">
        <v>166</v>
      </c>
      <c r="EY270" s="140" t="s">
        <v>166</v>
      </c>
      <c r="EZ270" s="140" t="s">
        <v>166</v>
      </c>
      <c r="FA270" s="205">
        <v>6.5</v>
      </c>
      <c r="FB270" s="140" t="s">
        <v>220</v>
      </c>
      <c r="FC270" s="205">
        <v>1</v>
      </c>
      <c r="FD270" s="205">
        <v>1</v>
      </c>
      <c r="FE270" s="215">
        <v>7.7437616095372004</v>
      </c>
      <c r="FF270" s="140" t="s">
        <v>221</v>
      </c>
      <c r="FG270" s="215">
        <v>3.3056947541169279E-2</v>
      </c>
      <c r="FH270" s="215">
        <v>3.2187546274020207E-2</v>
      </c>
      <c r="FI270" s="140">
        <v>863.22112122716703</v>
      </c>
      <c r="FK270" s="140" t="s">
        <v>166</v>
      </c>
      <c r="FL270" s="217">
        <f t="shared" si="222"/>
        <v>863.22112122716703</v>
      </c>
      <c r="FM270" s="266">
        <v>163.47739528061311</v>
      </c>
      <c r="FN270" s="266">
        <v>151.04255999462112</v>
      </c>
      <c r="FO270" s="140" t="s">
        <v>222</v>
      </c>
      <c r="FP270" s="140" t="s">
        <v>223</v>
      </c>
      <c r="FQ270" s="217" t="s">
        <v>166</v>
      </c>
      <c r="FR270" s="217" t="s">
        <v>166</v>
      </c>
      <c r="FS270" s="217" t="s">
        <v>166</v>
      </c>
      <c r="FT270" s="217" t="s">
        <v>166</v>
      </c>
      <c r="FU270" s="217" t="s">
        <v>166</v>
      </c>
      <c r="FV270" s="217" t="s">
        <v>166</v>
      </c>
      <c r="FW270" s="217" t="s">
        <v>166</v>
      </c>
      <c r="FX270" s="217" t="s">
        <v>166</v>
      </c>
      <c r="FY270" s="217" t="s">
        <v>166</v>
      </c>
      <c r="FZ270" s="217" t="s">
        <v>166</v>
      </c>
      <c r="GA270" s="217" t="s">
        <v>166</v>
      </c>
      <c r="GB270" s="217" t="s">
        <v>166</v>
      </c>
      <c r="GC270" s="202" t="s">
        <v>548</v>
      </c>
    </row>
    <row r="271" spans="1:185" s="140" customFormat="1" ht="17">
      <c r="A271" s="140" t="s">
        <v>162</v>
      </c>
      <c r="B271" s="143" t="s">
        <v>163</v>
      </c>
      <c r="C271" s="140" t="s">
        <v>164</v>
      </c>
      <c r="D271" s="140" t="s">
        <v>165</v>
      </c>
      <c r="E271" s="140">
        <v>2020</v>
      </c>
      <c r="F271" s="140" t="s">
        <v>184</v>
      </c>
      <c r="G271" s="240">
        <v>41529.5</v>
      </c>
      <c r="H271" s="140">
        <v>5.71</v>
      </c>
      <c r="I271" s="140">
        <v>5.71</v>
      </c>
      <c r="J271" s="241">
        <v>830.59239670970601</v>
      </c>
      <c r="K271" s="266">
        <v>169.67971705883394</v>
      </c>
      <c r="L271" s="266">
        <v>143.35192091197507</v>
      </c>
      <c r="M271" s="140" t="b">
        <v>1</v>
      </c>
      <c r="N271" s="140">
        <v>1</v>
      </c>
      <c r="O271" s="302" t="s">
        <v>581</v>
      </c>
      <c r="P271" s="140" t="s">
        <v>166</v>
      </c>
      <c r="Q271" s="140" t="s">
        <v>166</v>
      </c>
      <c r="R271" s="140" t="s">
        <v>166</v>
      </c>
      <c r="S271" s="140" t="b">
        <v>1</v>
      </c>
      <c r="T271" s="140" t="b">
        <v>0</v>
      </c>
      <c r="U271" s="140" t="s">
        <v>166</v>
      </c>
      <c r="V271" s="140" t="b">
        <v>0</v>
      </c>
      <c r="W271" s="140" t="b">
        <v>0</v>
      </c>
      <c r="X271" s="140" t="s">
        <v>166</v>
      </c>
      <c r="Y271" s="202" t="s">
        <v>186</v>
      </c>
      <c r="Z271" s="140" t="s">
        <v>184</v>
      </c>
      <c r="AA271" s="284">
        <v>865</v>
      </c>
      <c r="AB271" s="140" t="s">
        <v>250</v>
      </c>
      <c r="AC271" s="140">
        <v>5</v>
      </c>
      <c r="AD271" s="140">
        <v>5</v>
      </c>
      <c r="AE271" s="140">
        <v>107</v>
      </c>
      <c r="AF271" s="140">
        <v>116</v>
      </c>
      <c r="AG271" s="140">
        <v>38.914999999999999</v>
      </c>
      <c r="AH271" s="221">
        <v>42.134999999999998</v>
      </c>
      <c r="AI271" s="140" t="s">
        <v>558</v>
      </c>
      <c r="AJ271" s="140" t="s">
        <v>559</v>
      </c>
      <c r="AK271" s="286">
        <v>18.4404</v>
      </c>
      <c r="AL271" s="286">
        <v>-179.55500000000001</v>
      </c>
      <c r="AM271" s="286">
        <v>11.3</v>
      </c>
      <c r="AN271" s="287" t="s">
        <v>166</v>
      </c>
      <c r="AO271" s="287">
        <v>-1518</v>
      </c>
      <c r="AP271" s="287">
        <v>-1400</v>
      </c>
      <c r="AQ271" s="140" t="s">
        <v>560</v>
      </c>
      <c r="AR271" s="140" t="s">
        <v>511</v>
      </c>
      <c r="AS271" s="240">
        <v>41.529499999999999</v>
      </c>
      <c r="AT271" s="140" t="s">
        <v>536</v>
      </c>
      <c r="AU271" s="140">
        <v>5.71</v>
      </c>
      <c r="AV271" s="140">
        <v>5.71</v>
      </c>
      <c r="AW271" s="140" t="s">
        <v>255</v>
      </c>
      <c r="AX271" s="140" t="s">
        <v>537</v>
      </c>
      <c r="AY271" s="140" t="s">
        <v>561</v>
      </c>
      <c r="AZ271" s="140" t="s">
        <v>166</v>
      </c>
      <c r="BA271" s="140" t="s">
        <v>166</v>
      </c>
      <c r="BB271" s="140" t="s">
        <v>166</v>
      </c>
      <c r="BC271" s="140" t="s">
        <v>166</v>
      </c>
      <c r="BD271" s="140" t="s">
        <v>166</v>
      </c>
      <c r="BE271" s="140" t="s">
        <v>166</v>
      </c>
      <c r="BF271" s="140" t="s">
        <v>166</v>
      </c>
      <c r="BG271" s="245" t="s">
        <v>541</v>
      </c>
      <c r="BH271" s="140" t="s">
        <v>192</v>
      </c>
      <c r="BI271" s="277" t="s">
        <v>542</v>
      </c>
      <c r="BJ271" s="289" t="s">
        <v>543</v>
      </c>
      <c r="BK271" s="140" t="s">
        <v>544</v>
      </c>
      <c r="BL271" s="140" t="s">
        <v>194</v>
      </c>
      <c r="BM271" s="140" t="s">
        <v>195</v>
      </c>
      <c r="BN271" s="140" t="s">
        <v>542</v>
      </c>
      <c r="BO271" s="140">
        <v>2</v>
      </c>
      <c r="BP271" s="270" t="s">
        <v>542</v>
      </c>
      <c r="BQ271" s="299">
        <v>15.35</v>
      </c>
      <c r="BR271" s="140" t="s">
        <v>546</v>
      </c>
      <c r="BS271" s="140">
        <v>0.13799999999999998</v>
      </c>
      <c r="BT271" s="140">
        <v>1</v>
      </c>
      <c r="BU271" s="140" t="s">
        <v>197</v>
      </c>
      <c r="BV271" s="140" t="s">
        <v>166</v>
      </c>
      <c r="BW271" s="140">
        <v>0</v>
      </c>
      <c r="BX271" s="140" t="s">
        <v>197</v>
      </c>
      <c r="BY271" s="140" t="s">
        <v>166</v>
      </c>
      <c r="BZ271" s="140" t="s">
        <v>197</v>
      </c>
      <c r="CA271" s="140" t="s">
        <v>166</v>
      </c>
      <c r="CB271" s="210">
        <f t="shared" si="232"/>
        <v>15.35</v>
      </c>
      <c r="CC271" s="140" t="s">
        <v>196</v>
      </c>
      <c r="CD271" s="140">
        <f t="shared" si="233"/>
        <v>0.13799999999999998</v>
      </c>
      <c r="CE271" s="140" t="s">
        <v>199</v>
      </c>
      <c r="CF271" s="140" t="s">
        <v>166</v>
      </c>
      <c r="CG271" s="140" t="s">
        <v>474</v>
      </c>
      <c r="CH271" s="140" t="s">
        <v>166</v>
      </c>
      <c r="CI271" s="140" t="s">
        <v>166</v>
      </c>
      <c r="CJ271" s="210">
        <v>37.877650055645944</v>
      </c>
      <c r="CK271" s="140" t="s">
        <v>201</v>
      </c>
      <c r="CL271" s="140">
        <v>2</v>
      </c>
      <c r="CM271" s="140">
        <v>2</v>
      </c>
      <c r="CN271" s="140" t="s">
        <v>166</v>
      </c>
      <c r="CO271" s="294">
        <v>4.5999999999999996</v>
      </c>
      <c r="CP271" s="140" t="s">
        <v>546</v>
      </c>
      <c r="CQ271" s="140">
        <v>0.13799999999999998</v>
      </c>
      <c r="CR271" s="140">
        <v>0.13799999999999998</v>
      </c>
      <c r="CS271" s="291" t="s">
        <v>547</v>
      </c>
      <c r="CT271" s="250" t="s">
        <v>203</v>
      </c>
      <c r="CU271" s="250">
        <v>2.2000000000000002</v>
      </c>
      <c r="CV271" s="140" t="s">
        <v>204</v>
      </c>
      <c r="CW271" s="250" t="s">
        <v>166</v>
      </c>
      <c r="CX271" s="250" t="s">
        <v>166</v>
      </c>
      <c r="CY271" s="250" t="s">
        <v>166</v>
      </c>
      <c r="CZ271" s="250" t="s">
        <v>166</v>
      </c>
      <c r="DA271" s="292" t="s">
        <v>166</v>
      </c>
      <c r="DB271" s="250" t="s">
        <v>166</v>
      </c>
      <c r="DC271" s="250" t="s">
        <v>166</v>
      </c>
      <c r="DD271" s="250" t="s">
        <v>166</v>
      </c>
      <c r="DE271" s="250" t="s">
        <v>166</v>
      </c>
      <c r="DF271" s="250" t="s">
        <v>166</v>
      </c>
      <c r="DG271" s="250">
        <v>35</v>
      </c>
      <c r="DH271" s="250" t="s">
        <v>201</v>
      </c>
      <c r="DI271" s="250">
        <v>1</v>
      </c>
      <c r="DJ271" s="250" t="s">
        <v>206</v>
      </c>
      <c r="DK271" s="250">
        <v>17</v>
      </c>
      <c r="DL271" s="140" t="s">
        <v>166</v>
      </c>
      <c r="DM271" s="140" t="s">
        <v>166</v>
      </c>
      <c r="DN271" s="250" t="s">
        <v>207</v>
      </c>
      <c r="DO271" s="250">
        <v>38</v>
      </c>
      <c r="DP271" s="250" t="s">
        <v>208</v>
      </c>
      <c r="DQ271" s="250">
        <v>3</v>
      </c>
      <c r="DR271" s="250" t="s">
        <v>209</v>
      </c>
      <c r="DS271" s="140" t="s">
        <v>166</v>
      </c>
      <c r="DT271" s="140" t="s">
        <v>166</v>
      </c>
      <c r="DU271" s="140" t="s">
        <v>166</v>
      </c>
      <c r="DV271" s="140" t="s">
        <v>166</v>
      </c>
      <c r="DW271" s="250">
        <v>432.6</v>
      </c>
      <c r="DX271" s="140" t="s">
        <v>166</v>
      </c>
      <c r="DY271" s="140" t="s">
        <v>166</v>
      </c>
      <c r="DZ271" s="140" t="s">
        <v>210</v>
      </c>
      <c r="EA271" s="140" t="s">
        <v>211</v>
      </c>
      <c r="EB271" s="140" t="s">
        <v>212</v>
      </c>
      <c r="EC271" s="140" t="s">
        <v>166</v>
      </c>
      <c r="ED271" s="140" t="s">
        <v>213</v>
      </c>
      <c r="EE271" s="213" t="s">
        <v>214</v>
      </c>
      <c r="EF271" s="213" t="s">
        <v>214</v>
      </c>
      <c r="EG271" s="250">
        <v>1.0271999999999999</v>
      </c>
      <c r="EH271" s="250" t="s">
        <v>215</v>
      </c>
      <c r="EI271" s="250" t="s">
        <v>215</v>
      </c>
      <c r="EJ271" s="250" t="s">
        <v>216</v>
      </c>
      <c r="EK271" s="250" t="s">
        <v>215</v>
      </c>
      <c r="EL271" s="250" t="s">
        <v>215</v>
      </c>
      <c r="EM271" s="250" t="s">
        <v>217</v>
      </c>
      <c r="EN271" s="251" t="s">
        <v>214</v>
      </c>
      <c r="EO271" s="251" t="s">
        <v>214</v>
      </c>
      <c r="EP271" s="251" t="s">
        <v>214</v>
      </c>
      <c r="EQ271" s="251" t="s">
        <v>214</v>
      </c>
      <c r="ER271" s="250"/>
      <c r="ES271" s="250"/>
      <c r="ET271" s="140" t="s">
        <v>218</v>
      </c>
      <c r="EU271" s="250" t="s">
        <v>219</v>
      </c>
      <c r="EV271" s="250" t="s">
        <v>213</v>
      </c>
      <c r="EW271" s="140" t="s">
        <v>166</v>
      </c>
      <c r="EX271" s="140" t="s">
        <v>166</v>
      </c>
      <c r="EY271" s="140" t="s">
        <v>166</v>
      </c>
      <c r="EZ271" s="140" t="s">
        <v>166</v>
      </c>
      <c r="FA271" s="205">
        <v>6.5</v>
      </c>
      <c r="FB271" s="140" t="s">
        <v>220</v>
      </c>
      <c r="FC271" s="205">
        <v>1</v>
      </c>
      <c r="FD271" s="205">
        <v>1</v>
      </c>
      <c r="FE271" s="215">
        <v>7.7343363909691396</v>
      </c>
      <c r="FF271" s="140" t="s">
        <v>221</v>
      </c>
      <c r="FG271" s="215">
        <v>3.4502328487690193E-2</v>
      </c>
      <c r="FH271" s="215">
        <v>3.4394399865870007E-2</v>
      </c>
      <c r="FI271" s="140">
        <v>830.59239670970601</v>
      </c>
      <c r="FK271" s="140" t="s">
        <v>166</v>
      </c>
      <c r="FL271" s="217">
        <f t="shared" si="222"/>
        <v>830.59239670970601</v>
      </c>
      <c r="FM271" s="266">
        <v>169.67971705883394</v>
      </c>
      <c r="FN271" s="266">
        <v>143.35192091197507</v>
      </c>
      <c r="FO271" s="140" t="s">
        <v>222</v>
      </c>
      <c r="FP271" s="140" t="s">
        <v>223</v>
      </c>
      <c r="FQ271" s="217" t="s">
        <v>166</v>
      </c>
      <c r="FR271" s="217" t="s">
        <v>166</v>
      </c>
      <c r="FS271" s="217" t="s">
        <v>166</v>
      </c>
      <c r="FT271" s="217" t="s">
        <v>166</v>
      </c>
      <c r="FU271" s="217" t="s">
        <v>166</v>
      </c>
      <c r="FV271" s="217" t="s">
        <v>166</v>
      </c>
      <c r="FW271" s="217" t="s">
        <v>166</v>
      </c>
      <c r="FX271" s="217" t="s">
        <v>166</v>
      </c>
      <c r="FY271" s="217" t="s">
        <v>166</v>
      </c>
      <c r="FZ271" s="217" t="s">
        <v>166</v>
      </c>
      <c r="GA271" s="217" t="s">
        <v>166</v>
      </c>
      <c r="GB271" s="217" t="s">
        <v>166</v>
      </c>
      <c r="GC271" s="202" t="s">
        <v>548</v>
      </c>
    </row>
  </sheetData>
  <mergeCells count="1">
    <mergeCell ref="S2:W2"/>
  </mergeCells>
  <hyperlinks>
    <hyperlink ref="B4" r:id="rId1" xr:uid="{24A31B4E-1D2F-BF41-A82B-1F0DA0F95094}"/>
    <hyperlink ref="B5" r:id="rId2" xr:uid="{33F3B3E8-51AC-B94B-8A34-F1AEACFFC2C6}"/>
    <hyperlink ref="B6" r:id="rId3" xr:uid="{BF66258C-BB57-B141-B404-028B98E06E20}"/>
    <hyperlink ref="B7" r:id="rId4" xr:uid="{D7EAA994-0D80-254E-976C-0FC71C91F85B}"/>
    <hyperlink ref="B8" r:id="rId5" xr:uid="{1D346B07-2BCC-FD4D-B713-F152523E6393}"/>
    <hyperlink ref="B14" r:id="rId6" xr:uid="{335F2FDB-EC87-1B40-8804-0C36D2033FB2}"/>
    <hyperlink ref="B15" r:id="rId7" xr:uid="{F68B2EDD-8E92-2346-8260-898BC326B807}"/>
    <hyperlink ref="B16" r:id="rId8" xr:uid="{E978D1BD-6B31-B043-A366-103CF1F9D1B2}"/>
    <hyperlink ref="B17" r:id="rId9" xr:uid="{93F99EE6-A908-B442-8546-700A5B6BA42A}"/>
    <hyperlink ref="B18" r:id="rId10" xr:uid="{BD9CD493-3ACF-164F-A846-DEE98499E0B6}"/>
    <hyperlink ref="B19" r:id="rId11" xr:uid="{082182C6-83E5-CB41-8E2A-4F64FAC9E52A}"/>
    <hyperlink ref="B20" r:id="rId12" xr:uid="{5FA1DE09-1280-C24C-8F5E-50A3E34F2EC3}"/>
    <hyperlink ref="B21" r:id="rId13" xr:uid="{F843AD6E-3722-EB42-8219-A83090AE06D3}"/>
    <hyperlink ref="B22" r:id="rId14" xr:uid="{995E997B-95C9-2F42-BCE0-8A13EB09D98C}"/>
    <hyperlink ref="B9" r:id="rId15" xr:uid="{E0A39FE8-471C-7441-9A62-37763C4A5045}"/>
    <hyperlink ref="B10" r:id="rId16" xr:uid="{86F3C454-C2FC-3749-929E-F7D2552ADC4D}"/>
    <hyperlink ref="B11" r:id="rId17" xr:uid="{C28712BC-83F7-DE41-8320-84E4070BA9B8}"/>
    <hyperlink ref="B12" r:id="rId18" xr:uid="{2CD232C1-5D4B-D04E-B968-48923F410D37}"/>
    <hyperlink ref="B13" r:id="rId19" xr:uid="{5F4F5A6E-FA41-0441-97E2-4B2407DB8077}"/>
    <hyperlink ref="B23" r:id="rId20" xr:uid="{287B43FB-07CA-C941-8E2E-5DC726125319}"/>
    <hyperlink ref="B27" r:id="rId21" xr:uid="{E8002287-A4C4-B54A-B99A-A73FB3083937}"/>
    <hyperlink ref="B31" r:id="rId22" xr:uid="{4F5F2C01-2D07-374F-A51A-B1F444916C2B}"/>
    <hyperlink ref="B35" r:id="rId23" xr:uid="{C73418EC-C6A0-0840-9B99-A53573BCC029}"/>
    <hyperlink ref="B39" r:id="rId24" xr:uid="{DBEBAA3A-604F-5A4E-B9C2-5B86DC0BE2EA}"/>
    <hyperlink ref="B43" r:id="rId25" xr:uid="{11CD1F82-9A54-DD46-ACDF-50A99B39588A}"/>
    <hyperlink ref="B47" r:id="rId26" xr:uid="{3C21C92F-768E-BF4A-8F85-14003383DBAD}"/>
    <hyperlink ref="B51" r:id="rId27" xr:uid="{549B4E16-33BF-EC44-BE80-D2BABE096D4D}"/>
    <hyperlink ref="B55" r:id="rId28" xr:uid="{CB8F91FC-8E4E-BA42-BE01-7C1FE56DCA8B}"/>
    <hyperlink ref="B59" r:id="rId29" xr:uid="{4726CAB1-BA72-E44B-9072-AE04340C0F0E}"/>
    <hyperlink ref="B63" r:id="rId30" xr:uid="{AD9219E3-C035-AC41-9363-C38123AFB044}"/>
    <hyperlink ref="B67" r:id="rId31" xr:uid="{4924EA88-91CC-244F-A17E-3C982F785DCD}"/>
    <hyperlink ref="B71" r:id="rId32" xr:uid="{76D11EAD-AB5B-C245-89D4-D04A3506FE93}"/>
    <hyperlink ref="B75" r:id="rId33" xr:uid="{777E34F3-DB6A-E342-8393-B581A91B583A}"/>
    <hyperlink ref="B24" r:id="rId34" xr:uid="{3A66BEBE-F538-414C-8254-FF381A5AC2B3}"/>
    <hyperlink ref="B28" r:id="rId35" xr:uid="{D71630F4-DED8-604B-923C-93729CDB5D14}"/>
    <hyperlink ref="B32" r:id="rId36" xr:uid="{C3C64EEE-D93D-2C40-B68F-7054A6108D6E}"/>
    <hyperlink ref="B36" r:id="rId37" xr:uid="{FFABCD50-8DED-A942-AF3C-30425E4978D9}"/>
    <hyperlink ref="B40" r:id="rId38" xr:uid="{F00F479D-5514-FA4C-8228-A5576CD56F98}"/>
    <hyperlink ref="B44" r:id="rId39" xr:uid="{C7A6C5C6-0B7C-9A40-9660-4C46C5758BF1}"/>
    <hyperlink ref="B48" r:id="rId40" xr:uid="{ECEE7608-44B5-534A-84E4-3A06BEA1A69D}"/>
    <hyperlink ref="B52" r:id="rId41" xr:uid="{8E1DA0B0-88F3-E146-9A85-41F67F626777}"/>
    <hyperlink ref="B56" r:id="rId42" xr:uid="{1C2222D0-7939-0F4E-A048-39B89CDE3C97}"/>
    <hyperlink ref="B60" r:id="rId43" xr:uid="{0C00383B-418A-4D4F-9A2A-0CB185249B3D}"/>
    <hyperlink ref="B64" r:id="rId44" xr:uid="{1C8767AB-F34A-F547-BF6B-39BF716145D0}"/>
    <hyperlink ref="B68" r:id="rId45" xr:uid="{295B4A0E-DFDE-7B43-A479-5343D5677F8C}"/>
    <hyperlink ref="B72" r:id="rId46" xr:uid="{B67F1F9A-2199-304C-9B9B-C4AC5B510C98}"/>
    <hyperlink ref="B76" r:id="rId47" xr:uid="{47C6D70E-3850-EB46-98B7-4E9020AE9D06}"/>
    <hyperlink ref="B25" r:id="rId48" xr:uid="{148994A1-3C43-CD43-9E1B-837193545AF4}"/>
    <hyperlink ref="B29" r:id="rId49" xr:uid="{F6268285-DC29-534E-9C5C-F54516845270}"/>
    <hyperlink ref="B33" r:id="rId50" xr:uid="{4777F075-DB53-CA41-BA64-523CFA1491C0}"/>
    <hyperlink ref="B37" r:id="rId51" xr:uid="{4C6EC678-FC88-F54E-8B11-699C9F850996}"/>
    <hyperlink ref="B41" r:id="rId52" xr:uid="{36441EFB-C1B1-5C4B-BD8F-22A53FDDF57A}"/>
    <hyperlink ref="B45" r:id="rId53" xr:uid="{36AF23FF-4108-2847-A0E8-70A506ABFD8D}"/>
    <hyperlink ref="B49" r:id="rId54" xr:uid="{BE5725E0-E1D4-C940-9F98-BC2EF5FF105A}"/>
    <hyperlink ref="B53" r:id="rId55" xr:uid="{381A6FC6-7F99-4541-81A4-AC1E8301E2AD}"/>
    <hyperlink ref="B57" r:id="rId56" xr:uid="{18B44296-EA20-614C-83D4-6A2718CB7ACF}"/>
    <hyperlink ref="B61" r:id="rId57" xr:uid="{9361626A-7823-5F4C-81C7-1F7FB13EF989}"/>
    <hyperlink ref="B65" r:id="rId58" xr:uid="{2D4F33F7-DE45-254A-A3A4-201704C717C1}"/>
    <hyperlink ref="B69" r:id="rId59" xr:uid="{D9D8668B-80A4-194B-8307-DC90724F22A0}"/>
    <hyperlink ref="B73" r:id="rId60" xr:uid="{B4BBE336-A67D-254C-AC04-5320AC2C5006}"/>
    <hyperlink ref="B26" r:id="rId61" xr:uid="{EB121D00-4FA7-8B4E-B155-D28BF57198C7}"/>
    <hyperlink ref="B30" r:id="rId62" xr:uid="{AB1C1D7F-BE0C-324B-95A5-C7D76C822E8B}"/>
    <hyperlink ref="B34" r:id="rId63" xr:uid="{4FE7FB63-8EC7-A04B-ADE3-F4FDA181B92B}"/>
    <hyperlink ref="B38" r:id="rId64" xr:uid="{A4875728-645D-DF42-BB98-24886F698A6F}"/>
    <hyperlink ref="B42" r:id="rId65" xr:uid="{895DC592-5E09-D948-8C78-B1F35EF69DB0}"/>
    <hyperlink ref="B46" r:id="rId66" xr:uid="{2C3AD509-7750-FC49-B245-3F9A4681CAFD}"/>
    <hyperlink ref="B50" r:id="rId67" xr:uid="{80B6AEDC-D555-5F4B-80B1-7BEF8AF5AD99}"/>
    <hyperlink ref="B54" r:id="rId68" xr:uid="{841C9BAA-E6A1-3641-94CB-1A1A2553B207}"/>
    <hyperlink ref="B58" r:id="rId69" xr:uid="{68FA607B-A87E-A249-8626-2C0ADD9712CF}"/>
    <hyperlink ref="B62" r:id="rId70" xr:uid="{C511521E-8AA5-B44F-A19E-0F913421952F}"/>
    <hyperlink ref="B66" r:id="rId71" xr:uid="{0958AA73-4849-CA4D-A86C-D3A73FDAA804}"/>
    <hyperlink ref="B70" r:id="rId72" xr:uid="{535D1F37-CE04-D247-A4A4-C7992B0F19EB}"/>
    <hyperlink ref="B74" r:id="rId73" xr:uid="{BA29DF48-FE34-E94C-B898-40BF7AD94CA4}"/>
    <hyperlink ref="B78" r:id="rId74" xr:uid="{C9BF0961-A3A2-D947-AC11-2048A733AB38}"/>
    <hyperlink ref="B80" r:id="rId75" xr:uid="{26EA46C9-4404-124D-A9F2-24F277E920FE}"/>
    <hyperlink ref="B82" r:id="rId76" xr:uid="{5855ACE7-C9F7-344F-9DB0-C37540750EA6}"/>
    <hyperlink ref="B84" r:id="rId77" xr:uid="{B7552F6B-36B2-1A4C-BC47-E285B04706C5}"/>
    <hyperlink ref="B86" r:id="rId78" xr:uid="{5F969284-7B67-8644-88A2-84E500704BC5}"/>
    <hyperlink ref="B88" r:id="rId79" xr:uid="{D7793F41-2648-C948-8BA3-E991801460D6}"/>
    <hyperlink ref="B90" r:id="rId80" xr:uid="{B8C12BE0-6D43-D442-94AA-F938A4290023}"/>
    <hyperlink ref="B92" r:id="rId81" xr:uid="{590FBAAC-DCA0-0645-ABCA-AFF46E0A81EE}"/>
    <hyperlink ref="B94" r:id="rId82" xr:uid="{BF912904-CA31-FB4C-9DC4-FF1FE307A6E4}"/>
    <hyperlink ref="B96" r:id="rId83" xr:uid="{3A93BEA8-AE7D-D44F-9FD0-A6CA48699B05}"/>
    <hyperlink ref="B98" r:id="rId84" xr:uid="{AC8540A0-9A15-F749-AD28-431F13FFF008}"/>
    <hyperlink ref="B100" r:id="rId85" xr:uid="{C3A26B7A-1465-1047-A87A-C961B47FFBDF}"/>
    <hyperlink ref="B102" r:id="rId86" xr:uid="{81D699F9-AB54-2F49-9231-44A8AB88D3A2}"/>
    <hyperlink ref="B104" r:id="rId87" xr:uid="{8B55C61D-4160-C343-9926-B438721DE0AB}"/>
    <hyperlink ref="B106" r:id="rId88" xr:uid="{66C8C292-31DE-884C-A8A7-80D1E0F44703}"/>
    <hyperlink ref="B108" r:id="rId89" xr:uid="{2A22B0D4-1F11-4242-9317-9CC7EBE0F397}"/>
    <hyperlink ref="B110" r:id="rId90" xr:uid="{EED0B22A-91CE-6446-83DC-3A2DD6B8520A}"/>
    <hyperlink ref="B112" r:id="rId91" xr:uid="{882FBEF3-3E2C-AD40-8B9C-BEBC52CEE15A}"/>
    <hyperlink ref="B114" r:id="rId92" xr:uid="{C720F964-6900-5343-B953-C358BA26DE9B}"/>
    <hyperlink ref="B116" r:id="rId93" xr:uid="{2D3E4257-6381-024F-AC24-CFBACAC12874}"/>
    <hyperlink ref="B118" r:id="rId94" xr:uid="{BCFBA5B3-69CC-EF42-8099-AC1A46E74F88}"/>
    <hyperlink ref="B120" r:id="rId95" xr:uid="{1F4029D9-2487-B442-BCF3-D4F3DF46753C}"/>
    <hyperlink ref="B122" r:id="rId96" xr:uid="{B4FFBD51-EE29-4145-A435-01B9770D1558}"/>
    <hyperlink ref="B124" r:id="rId97" xr:uid="{100A0207-DCC1-5841-923A-BACFD00EC44C}"/>
    <hyperlink ref="B126" r:id="rId98" xr:uid="{A629967B-95DB-2140-8842-40B6B4CB0CAF}"/>
    <hyperlink ref="B128" r:id="rId99" xr:uid="{61E84B42-8B7D-794E-AB85-FB6799CE2D8A}"/>
    <hyperlink ref="B130" r:id="rId100" xr:uid="{A3ED8426-51F5-EC49-9B12-49EBBF8A23C8}"/>
    <hyperlink ref="B132" r:id="rId101" xr:uid="{CE787C74-951F-5042-9642-E54A2099A066}"/>
    <hyperlink ref="B134" r:id="rId102" xr:uid="{F72F4115-38F8-CF43-B623-5E9F31CF614F}"/>
    <hyperlink ref="B136" r:id="rId103" xr:uid="{9330D162-4BEB-8946-A7F9-E932ACAD4225}"/>
    <hyperlink ref="B138" r:id="rId104" xr:uid="{4662F9FB-F393-A541-9040-C02FA6E6A1AF}"/>
    <hyperlink ref="B140" r:id="rId105" xr:uid="{C259AEAC-BA73-334C-BAD6-14A355ED6F8C}"/>
    <hyperlink ref="B142" r:id="rId106" xr:uid="{AE960D9B-0471-7D4F-8CB4-E60DD708EF96}"/>
    <hyperlink ref="B144" r:id="rId107" xr:uid="{950BB019-E89D-3C49-8A40-95B5DC7732BB}"/>
    <hyperlink ref="B146" r:id="rId108" xr:uid="{5FAD4D2D-42F3-CA4B-83E1-EC6FA7A633AE}"/>
    <hyperlink ref="B148" r:id="rId109" xr:uid="{9BBA0A2F-A26B-F242-A9BD-7EE3C5410178}"/>
    <hyperlink ref="B151" r:id="rId110" xr:uid="{B271EE64-F2A2-8C40-AF36-97F59074D657}"/>
    <hyperlink ref="B153" r:id="rId111" xr:uid="{B046CD4F-CB5D-F742-AC96-4B21B5510346}"/>
    <hyperlink ref="B155" r:id="rId112" xr:uid="{AFD78B42-9C8D-F646-9E8C-FC3734CB33D1}"/>
    <hyperlink ref="B157" r:id="rId113" xr:uid="{5CC8B2AD-D775-B243-93AF-48FC04345AA0}"/>
    <hyperlink ref="B160" r:id="rId114" xr:uid="{4F401281-C975-AE46-917F-D899AD33D559}"/>
    <hyperlink ref="B162" r:id="rId115" xr:uid="{3DFCF484-A8DF-DD49-94A0-8CA34511C570}"/>
    <hyperlink ref="B165" r:id="rId116" xr:uid="{07FCBC43-C89A-1B47-A8D0-73FBC6E17B49}"/>
    <hyperlink ref="B167" r:id="rId117" xr:uid="{71BA7221-13F7-0E40-BB5A-8A2AA253C448}"/>
    <hyperlink ref="B169" r:id="rId118" xr:uid="{2259C4D5-821D-1444-A7C6-12BC187657C3}"/>
    <hyperlink ref="B171" r:id="rId119" xr:uid="{C368CF65-387B-EA48-B4BF-E7D782664E99}"/>
    <hyperlink ref="B173" r:id="rId120" xr:uid="{4E65AFEE-1F3B-D640-92A6-171C9A146E24}"/>
    <hyperlink ref="B175" r:id="rId121" xr:uid="{CF5BEFE5-56AB-4449-B5E7-79D55A57831B}"/>
    <hyperlink ref="B177" r:id="rId122" xr:uid="{63914BA4-B659-3542-8DF0-FCEBCD9B0C26}"/>
    <hyperlink ref="B179" r:id="rId123" xr:uid="{5E01967E-44B8-C743-B0B7-1913687A7DDC}"/>
    <hyperlink ref="B181" r:id="rId124" xr:uid="{B48DB3D9-FC5E-A14E-A65B-2E40985BE224}"/>
    <hyperlink ref="B183" r:id="rId125" xr:uid="{D8C4A9FD-6CD0-4141-AB31-DF625CD6A321}"/>
    <hyperlink ref="B185" r:id="rId126" xr:uid="{E213474E-9C53-FC45-BC2E-57C14A1CFF4B}"/>
    <hyperlink ref="B187" r:id="rId127" xr:uid="{6A2AC5BE-8521-5F4F-81EB-6D05970C8124}"/>
    <hyperlink ref="B189" r:id="rId128" xr:uid="{1259BD87-DADB-0D4A-BEC3-549D4E8A5A47}"/>
    <hyperlink ref="B191" r:id="rId129" xr:uid="{DCA3B1C2-A7E9-284F-9B5E-06D7FC75E697}"/>
    <hyperlink ref="B193" r:id="rId130" xr:uid="{FDF60991-6661-A244-872D-841FADE23B80}"/>
    <hyperlink ref="B195" r:id="rId131" xr:uid="{EE560155-7EC9-704D-A133-328DC6FFA615}"/>
    <hyperlink ref="B197" r:id="rId132" xr:uid="{7FF7163F-6281-4047-9357-891DFD570B2B}"/>
    <hyperlink ref="B199" r:id="rId133" xr:uid="{C002DFCE-BFAD-4441-9353-DB0A0436F972}"/>
    <hyperlink ref="B201" r:id="rId134" xr:uid="{32F87184-D10D-9244-B125-3532E87A5BA3}"/>
    <hyperlink ref="B203" r:id="rId135" xr:uid="{CFDFEE33-A33B-314E-976C-2AABF176F641}"/>
    <hyperlink ref="B206" r:id="rId136" xr:uid="{95CD12FA-09CA-4D4D-A5DD-E883874C04AC}"/>
    <hyperlink ref="B208" r:id="rId137" xr:uid="{925938B1-DA82-D141-A794-B34D7AEE3622}"/>
    <hyperlink ref="B210" r:id="rId138" xr:uid="{1DB083C2-886B-B649-94D1-2DD52DB24016}"/>
    <hyperlink ref="B212" r:id="rId139" xr:uid="{C36A341E-7397-A34A-BA97-F0D5B8D214D0}"/>
    <hyperlink ref="B214" r:id="rId140" xr:uid="{30FAB3B3-FAEB-8E47-BA36-DAEFA5238817}"/>
    <hyperlink ref="B216" r:id="rId141" xr:uid="{A312E2ED-717C-6D46-A2A6-673807322788}"/>
    <hyperlink ref="B218" r:id="rId142" xr:uid="{F4D32244-DBF4-B74B-9609-EC8E9563501D}"/>
    <hyperlink ref="B220" r:id="rId143" xr:uid="{8195B561-2059-D64E-A0F3-127E249298C7}"/>
    <hyperlink ref="B222" r:id="rId144" xr:uid="{AFBF76A3-B6CF-B34F-8A37-12D0A2CAFFB6}"/>
    <hyperlink ref="B224" r:id="rId145" xr:uid="{14F7DCB9-9D6D-EE4C-A015-D8557F2DF5D4}"/>
    <hyperlink ref="B226" r:id="rId146" xr:uid="{AB85C580-B17C-8141-9B24-200555E0FC1E}"/>
    <hyperlink ref="B228" r:id="rId147" xr:uid="{E175D689-6340-4D45-B37D-F9641FC7CC98}"/>
    <hyperlink ref="B230" r:id="rId148" xr:uid="{A08AF2EA-B0C4-6742-B344-8BA0073E12C3}"/>
    <hyperlink ref="B232" r:id="rId149" xr:uid="{981825D5-BDDB-934A-8D27-2771B5EFD340}"/>
    <hyperlink ref="B234" r:id="rId150" xr:uid="{59FA27E1-834C-4F45-98E4-3F246BC003B9}"/>
    <hyperlink ref="B236" r:id="rId151" xr:uid="{0E414AA6-978C-AC4E-B797-710B83295F2F}"/>
    <hyperlink ref="B238" r:id="rId152" xr:uid="{483C127D-C24A-784C-95EE-61FDE4288784}"/>
    <hyperlink ref="B240" r:id="rId153" xr:uid="{60B9E8C8-DE26-6341-948E-64916AD7683E}"/>
    <hyperlink ref="B242" r:id="rId154" xr:uid="{0FBF8787-7574-274E-82A7-B1FE3ACC5CCF}"/>
    <hyperlink ref="B247" r:id="rId155" xr:uid="{6B9EE2E9-7143-8042-8C3E-DDF7B7230701}"/>
    <hyperlink ref="B249" r:id="rId156" xr:uid="{2528DE65-3115-8645-A728-0655A2BEE6ED}"/>
    <hyperlink ref="B251" r:id="rId157" xr:uid="{A55C19CF-AC89-D245-9F21-A424D2CAA544}"/>
    <hyperlink ref="B253" r:id="rId158" xr:uid="{EEC110AB-D1EC-1946-ADE3-3DD0F1051907}"/>
    <hyperlink ref="B255" r:id="rId159" xr:uid="{330A4275-1E4E-6546-A18B-EBA790F32A7C}"/>
    <hyperlink ref="B257" r:id="rId160" xr:uid="{39C7DD95-A7BF-2E4B-8A4A-EF61FE75966F}"/>
    <hyperlink ref="B259" r:id="rId161" xr:uid="{068CC55A-DF63-3D41-B5C7-7579A41FED14}"/>
    <hyperlink ref="B261" r:id="rId162" xr:uid="{526A4BB4-5AD7-1D40-A2B0-FAC995AC7153}"/>
    <hyperlink ref="B263" r:id="rId163" xr:uid="{AA361501-B581-924C-A77A-2B3AEF76C601}"/>
    <hyperlink ref="B265" r:id="rId164" xr:uid="{46FFA482-D42C-7D43-80F0-F3F7EDB1CA92}"/>
    <hyperlink ref="B267" r:id="rId165" xr:uid="{5D273B26-B7A3-6045-901A-2DD2CBFBBB9A}"/>
    <hyperlink ref="B269" r:id="rId166" xr:uid="{ED4F1688-CA91-1941-A85E-809AA8B474C1}"/>
    <hyperlink ref="B271" r:id="rId167" xr:uid="{0B37D357-6138-934E-86A6-28D945BD184A}"/>
    <hyperlink ref="B77" r:id="rId168" xr:uid="{D03F667E-5EB7-1B46-8601-86A9E133B194}"/>
    <hyperlink ref="B79" r:id="rId169" xr:uid="{3696D958-98A1-EB4B-BABC-4DB353310616}"/>
    <hyperlink ref="B81" r:id="rId170" xr:uid="{4FBA4CC0-5244-CE43-A00B-342494D341F9}"/>
    <hyperlink ref="B83" r:id="rId171" xr:uid="{581F3916-B9CA-E941-ABCB-0665DF95B6D6}"/>
    <hyperlink ref="B85" r:id="rId172" xr:uid="{A35F5072-D94C-4641-97A8-5033E497BE03}"/>
    <hyperlink ref="B87" r:id="rId173" xr:uid="{2ED0AFFF-E9B8-2546-B6E8-C54EF3A2B82E}"/>
    <hyperlink ref="B89" r:id="rId174" xr:uid="{18F45B9F-DF75-1545-A0D7-8D7A3314CF06}"/>
    <hyperlink ref="B91" r:id="rId175" xr:uid="{B0C06B37-7E44-D54D-92C4-3DAE4E7A59F8}"/>
    <hyperlink ref="B93" r:id="rId176" xr:uid="{7CB461A8-21F3-FB4F-8716-0D316590002F}"/>
    <hyperlink ref="B95" r:id="rId177" xr:uid="{736E9E5B-5425-E544-9125-D0B7C12FE301}"/>
    <hyperlink ref="B97" r:id="rId178" xr:uid="{B849E047-08DC-3143-A7FC-D00C90D408CA}"/>
    <hyperlink ref="B99" r:id="rId179" xr:uid="{B2D86CD5-F48E-374B-9C54-F6D32B16B999}"/>
    <hyperlink ref="B101" r:id="rId180" xr:uid="{6A639FA5-B99B-ED4E-910F-5C8B56E787C3}"/>
    <hyperlink ref="B103" r:id="rId181" xr:uid="{08F1561D-F0EF-EA41-8870-0976CF615C1A}"/>
    <hyperlink ref="B105" r:id="rId182" xr:uid="{F9D60FE0-482E-E147-914E-E799D0606C42}"/>
    <hyperlink ref="B107" r:id="rId183" xr:uid="{81DF24BF-EE66-2043-947B-043F823A2913}"/>
    <hyperlink ref="B109" r:id="rId184" xr:uid="{A0B4B47C-CA85-944B-8FDA-8B602C25DBB7}"/>
    <hyperlink ref="B111" r:id="rId185" xr:uid="{6945B14D-C859-CD47-BB11-21094C5F428B}"/>
    <hyperlink ref="B113" r:id="rId186" xr:uid="{FC349026-B9F8-C749-B620-4C4B837327E0}"/>
    <hyperlink ref="B115" r:id="rId187" xr:uid="{CA4C988E-4E39-D94C-8DA9-223C1640AB8B}"/>
    <hyperlink ref="B117" r:id="rId188" xr:uid="{F499E4C0-86E8-AB40-9598-92E7EB81982D}"/>
    <hyperlink ref="B119" r:id="rId189" xr:uid="{3BF4D84D-F329-EF48-87AD-203BBA81345F}"/>
    <hyperlink ref="B121" r:id="rId190" xr:uid="{E19FBA40-34C2-1A43-86DB-BC2F6A2E94B2}"/>
    <hyperlink ref="B123" r:id="rId191" xr:uid="{9BFEF9FE-236C-3046-9FC8-9E6F9E1150C4}"/>
    <hyperlink ref="B125" r:id="rId192" xr:uid="{6E27B2BB-0635-EC4C-944C-0688CABB1BAA}"/>
    <hyperlink ref="B127" r:id="rId193" xr:uid="{B5D56619-8F79-DD43-9502-188FE2C44FC9}"/>
    <hyperlink ref="B129" r:id="rId194" xr:uid="{BF23C305-771A-1C40-911E-C10DEF47B347}"/>
    <hyperlink ref="B131" r:id="rId195" xr:uid="{364079A3-8463-0149-9FA8-911BA486D763}"/>
    <hyperlink ref="B133" r:id="rId196" xr:uid="{1305E7F2-C758-E849-9717-4981DA92991F}"/>
    <hyperlink ref="B135" r:id="rId197" xr:uid="{34D95F45-95FF-D54F-A7F7-454A8956C5D2}"/>
    <hyperlink ref="B137" r:id="rId198" xr:uid="{CDC2180A-919C-804E-9174-36FD2F5CC593}"/>
    <hyperlink ref="B139" r:id="rId199" xr:uid="{1520B8E2-CA80-BC4E-9679-AC949887DFEF}"/>
    <hyperlink ref="B141" r:id="rId200" xr:uid="{9F6413E9-279C-2A43-900D-21265D86CD2D}"/>
    <hyperlink ref="B143" r:id="rId201" xr:uid="{1CB08C16-2DF6-5F4F-93A6-290FCD984958}"/>
    <hyperlink ref="B145" r:id="rId202" xr:uid="{17B5EE91-6F5A-5F4F-9B91-0FA5DDB50D5D}"/>
    <hyperlink ref="B147" r:id="rId203" xr:uid="{C8D82751-021C-344A-8DF4-8F0FCBFB911D}"/>
    <hyperlink ref="B149" r:id="rId204" xr:uid="{2C1BA628-A480-4C42-975E-E1BA5274FE8B}"/>
    <hyperlink ref="B150" r:id="rId205" xr:uid="{B8255700-674C-FA40-A9B6-9EF67ECCC790}"/>
    <hyperlink ref="B152" r:id="rId206" xr:uid="{2491ADB5-E1B6-8143-8F9E-DB1B9B997141}"/>
    <hyperlink ref="B154" r:id="rId207" xr:uid="{ABE8D268-09BF-0049-A98B-F256F4FFDD74}"/>
    <hyperlink ref="B156" r:id="rId208" xr:uid="{F645B811-2543-3647-A397-5C578CAAF19B}"/>
    <hyperlink ref="B158" r:id="rId209" xr:uid="{F02F220B-4B34-8944-8F06-C9E6E8C758B4}"/>
    <hyperlink ref="B159" r:id="rId210" xr:uid="{4445C11D-1C41-A74B-8ADD-23BAA18B0ED7}"/>
    <hyperlink ref="B161" r:id="rId211" xr:uid="{52BB36EA-A2C5-8E43-B726-718561636624}"/>
    <hyperlink ref="B163" r:id="rId212" xr:uid="{0ED81268-CCF2-564E-9604-96AEA92E53E7}"/>
    <hyperlink ref="B164" r:id="rId213" xr:uid="{ED0C65C0-02D6-964B-B493-DED0C6C03C07}"/>
    <hyperlink ref="B166" r:id="rId214" xr:uid="{08A953B4-3823-C240-ABA6-AC4DB8CD18E4}"/>
    <hyperlink ref="B168" r:id="rId215" xr:uid="{6D188BB0-CB21-2A46-8478-82DE4D0DA295}"/>
    <hyperlink ref="B170" r:id="rId216" xr:uid="{7704C5EB-0AE3-FF4D-9B2E-342CEE228327}"/>
    <hyperlink ref="B172" r:id="rId217" xr:uid="{B78B1533-6636-834C-9941-142A0620E294}"/>
    <hyperlink ref="B174" r:id="rId218" xr:uid="{6EC0DEB3-ABC3-FE4D-9023-5418E88E7C34}"/>
    <hyperlink ref="B176" r:id="rId219" xr:uid="{3C5DB9F0-C175-1C44-9768-9C28E67AB3B5}"/>
    <hyperlink ref="B178" r:id="rId220" xr:uid="{16C57FD6-EE94-4C4E-8159-055AC310F5D1}"/>
    <hyperlink ref="B180" r:id="rId221" xr:uid="{975D94DA-C2DC-1247-B7B1-051311A15A3E}"/>
    <hyperlink ref="B182" r:id="rId222" xr:uid="{27AE7E19-87F3-394A-931E-90374FC496B9}"/>
    <hyperlink ref="B184" r:id="rId223" xr:uid="{3038984C-2585-A348-8AC8-06D804287984}"/>
    <hyperlink ref="B186" r:id="rId224" xr:uid="{4DA5E9EC-DC69-0343-BDF2-257990CAA761}"/>
    <hyperlink ref="B188" r:id="rId225" xr:uid="{DFB032AE-7AE6-BC48-9D67-7EF860CD0777}"/>
    <hyperlink ref="B190" r:id="rId226" xr:uid="{345A877D-5391-6143-8DBF-ABBDAD702E32}"/>
    <hyperlink ref="B192" r:id="rId227" xr:uid="{11B0DFFB-A945-E843-AD03-ED761C9BDC7D}"/>
    <hyperlink ref="B194" r:id="rId228" xr:uid="{D03C6B0C-980A-9D49-A41F-DA3C1FD5F69D}"/>
    <hyperlink ref="B196" r:id="rId229" xr:uid="{004F3D25-B5D4-BB40-B02E-2E29628AF727}"/>
    <hyperlink ref="B198" r:id="rId230" xr:uid="{357C50D9-EC08-474B-BE05-B075D2F91D1B}"/>
    <hyperlink ref="B200" r:id="rId231" xr:uid="{00CFF199-139E-CA43-84B6-C55A56258DA2}"/>
    <hyperlink ref="B202" r:id="rId232" xr:uid="{6CF30251-B675-A045-ABD0-FF2710C7D676}"/>
    <hyperlink ref="B204" r:id="rId233" xr:uid="{3FFEC679-5AEE-E348-AF7D-FBB71E5B69DE}"/>
    <hyperlink ref="B205" r:id="rId234" xr:uid="{7ADE8D6C-F61B-6548-9A15-2A64EBB45761}"/>
    <hyperlink ref="B207" r:id="rId235" xr:uid="{FA0690B2-9339-8940-8FF6-BDF100E6D6CD}"/>
    <hyperlink ref="B209" r:id="rId236" xr:uid="{DCF17F5D-6A7A-F643-876B-F79A5F15A0F5}"/>
    <hyperlink ref="B211" r:id="rId237" xr:uid="{B37E65A5-75FD-C541-8BC8-A3B1B0C5C6C9}"/>
    <hyperlink ref="B213" r:id="rId238" xr:uid="{FC3C3898-CA44-9F46-B05E-F9F88E4C01DB}"/>
    <hyperlink ref="B215" r:id="rId239" xr:uid="{FB453E03-86D1-5F4E-999B-1D30CCC1ACA1}"/>
    <hyperlink ref="B217" r:id="rId240" xr:uid="{83D82058-0A42-2546-843B-255AE0E64BD2}"/>
    <hyperlink ref="B219" r:id="rId241" xr:uid="{997C077C-4ABF-4440-8CBC-5482EA4BAFC6}"/>
    <hyperlink ref="B221" r:id="rId242" xr:uid="{787E8412-7D84-E54E-93B1-4663024B9FA0}"/>
    <hyperlink ref="B223" r:id="rId243" xr:uid="{D00933AF-B325-7945-B8E5-4FD746BD9D34}"/>
    <hyperlink ref="B225" r:id="rId244" xr:uid="{F6F01A07-75FB-7543-A1CC-E9B47CA0D986}"/>
    <hyperlink ref="B227" r:id="rId245" xr:uid="{F1F19DA7-B682-414B-BAB9-65AC4D167F9C}"/>
    <hyperlink ref="B229" r:id="rId246" xr:uid="{AD4BD0DD-3FCA-D342-A992-45547196B97C}"/>
    <hyperlink ref="B231" r:id="rId247" xr:uid="{3522DF1B-51C1-0243-86A6-98F71904311B}"/>
    <hyperlink ref="B233" r:id="rId248" xr:uid="{7245998F-6CB7-6D40-9797-7361A3821150}"/>
    <hyperlink ref="B235" r:id="rId249" xr:uid="{2DF5A03E-1605-704E-9B11-DDFAFADE70CE}"/>
    <hyperlink ref="B237" r:id="rId250" xr:uid="{4A65D833-FE12-2C44-8DC6-96DCB53F4D77}"/>
    <hyperlink ref="B239" r:id="rId251" xr:uid="{BDECCF8D-D815-364D-8A1E-E0B6453632D1}"/>
    <hyperlink ref="B241" r:id="rId252" xr:uid="{4C863F17-332C-FE4F-A5EC-0B35D357B64A}"/>
    <hyperlink ref="B243" r:id="rId253" xr:uid="{47941220-D252-2547-8C1E-A0D53F3BD812}"/>
    <hyperlink ref="B246" r:id="rId254" xr:uid="{4FFF3F02-1957-DF42-85E0-B5AF5622021E}"/>
    <hyperlink ref="B248" r:id="rId255" xr:uid="{64DE4D30-A87F-7346-967A-EFA939251F29}"/>
    <hyperlink ref="B250" r:id="rId256" xr:uid="{D94F0829-3236-5240-99BC-49897B932E85}"/>
    <hyperlink ref="B252" r:id="rId257" xr:uid="{F447D8C9-3667-CC4C-8735-F36CFD723B27}"/>
    <hyperlink ref="B254" r:id="rId258" xr:uid="{19FD62DC-8551-C94D-812B-091A99D35138}"/>
    <hyperlink ref="B256" r:id="rId259" xr:uid="{C32B54D9-55E2-C34C-B17A-BFDFE1687E44}"/>
    <hyperlink ref="B258" r:id="rId260" xr:uid="{026CD795-282D-BE44-A9DE-1DA660BE6F55}"/>
    <hyperlink ref="B260" r:id="rId261" xr:uid="{BE145F28-E83F-1649-A1EB-8E9B7478682D}"/>
    <hyperlink ref="B262" r:id="rId262" xr:uid="{44B1CF5E-27D9-6C41-9135-EAE47110B63B}"/>
    <hyperlink ref="B264" r:id="rId263" xr:uid="{D04637B3-0444-7743-B287-AB1FADC4C131}"/>
    <hyperlink ref="B266" r:id="rId264" xr:uid="{534B8AAE-5287-1344-B885-26F8ADEB2074}"/>
    <hyperlink ref="B268" r:id="rId265" xr:uid="{C2FCE50E-F528-6A49-A8D5-200BD7E4D9A3}"/>
    <hyperlink ref="B270" r:id="rId266" xr:uid="{C90CEE2C-05CC-6145-93C9-EAFCE0D351B7}"/>
    <hyperlink ref="B245" r:id="rId267" xr:uid="{84AECD7B-E9C3-4840-88D2-D77B7684FCE4}"/>
    <hyperlink ref="B244" r:id="rId268" xr:uid="{DB0C67CF-0790-504D-830A-8A230641A05D}"/>
  </hyperlinks>
  <pageMargins left="0.7" right="0.7" top="0.75" bottom="0.75" header="0.3" footer="0.3"/>
  <legacyDrawing r:id="rId26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2022-03-17T17:58:05Z</dcterms:modified>
</cp:coreProperties>
</file>